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02B546F9-D02C-4ACC-A54E-A4CEA42636A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C98" i="2"/>
  <c r="AB94" i="2"/>
  <c r="AD98" i="2"/>
  <c r="AE70" i="2"/>
  <c r="AC6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C24" i="2"/>
  <c r="AC78" i="2"/>
  <c r="AC106" i="2"/>
  <c r="AC30" i="2"/>
  <c r="AB24" i="2"/>
  <c r="AE35" i="2"/>
  <c r="AB70" i="2"/>
  <c r="AC66" i="2"/>
  <c r="AD104" i="2"/>
  <c r="AC73" i="2"/>
  <c r="AB8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43" i="2"/>
  <c r="AC82" i="2"/>
  <c r="AC110" i="2"/>
  <c r="AD66" i="2"/>
  <c r="AD110" i="2"/>
  <c r="AF60" i="2"/>
  <c r="AE83" i="2"/>
  <c r="AB106" i="2"/>
  <c r="AD92" i="2"/>
  <c r="AC61" i="2"/>
  <c r="AB3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46" i="2"/>
  <c r="AE85" i="2"/>
  <c r="AE80" i="2"/>
  <c r="AF78" i="2"/>
  <c r="AF94" i="2"/>
  <c r="AE19" i="2"/>
  <c r="AE79" i="2"/>
  <c r="AE107" i="2"/>
  <c r="AF68" i="2"/>
  <c r="AF84" i="2"/>
  <c r="AF104" i="2"/>
  <c r="AC62" i="2"/>
  <c r="AC33" i="2"/>
  <c r="AC48" i="2"/>
  <c r="AB6" i="2"/>
  <c r="AB41" i="2"/>
  <c r="AB57" i="2"/>
  <c r="AD74" i="2"/>
  <c r="AF10" i="2"/>
  <c r="AC57" i="2"/>
  <c r="AC95" i="2"/>
  <c r="AB80" i="2"/>
  <c r="AE7" i="2"/>
  <c r="AC90" i="2"/>
  <c r="AE40" i="2"/>
  <c r="AB68" i="2"/>
  <c r="AB74" i="2"/>
  <c r="AE97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6" i="2"/>
  <c r="AB36" i="2"/>
  <c r="AB64" i="2"/>
  <c r="AC26" i="2"/>
  <c r="AC53" i="2"/>
  <c r="AE68" i="2"/>
  <c r="AE92" i="2"/>
  <c r="AD19" i="2"/>
  <c r="AD54" i="2"/>
  <c r="AE50" i="2"/>
  <c r="AC86" i="2"/>
  <c r="AB11" i="2"/>
  <c r="AB19" i="2"/>
  <c r="AB27" i="2"/>
  <c r="AB35" i="2"/>
  <c r="AB46" i="2"/>
  <c r="AB54" i="2"/>
  <c r="AC9" i="2"/>
  <c r="AC21" i="2"/>
  <c r="AB22" i="2"/>
  <c r="AD82" i="2"/>
  <c r="AD90" i="2"/>
  <c r="AF45" i="2"/>
  <c r="AE82" i="2"/>
  <c r="AC88" i="2"/>
  <c r="AB110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65" i="2"/>
  <c r="AE89" i="2"/>
  <c r="AC6" i="2"/>
  <c r="AB96" i="2"/>
  <c r="AB86" i="2"/>
  <c r="AC8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E84" i="2"/>
  <c r="AB62" i="2"/>
  <c r="AD83" i="2"/>
  <c r="AD99" i="2"/>
  <c r="AE54" i="2"/>
  <c r="AE87" i="2"/>
  <c r="AE23" i="2"/>
  <c r="AD89" i="2"/>
  <c r="AC70" i="2"/>
  <c r="AB40" i="2"/>
  <c r="AB48" i="2"/>
  <c r="AE36" i="2"/>
  <c r="AB26" i="2"/>
  <c r="AD68" i="2"/>
  <c r="AD76" i="2"/>
  <c r="AD84" i="2"/>
  <c r="AC93" i="2"/>
  <c r="AE13" i="2"/>
  <c r="AE106" i="2"/>
  <c r="AB104" i="2"/>
  <c r="AC36" i="2"/>
  <c r="AE73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C99" i="2"/>
  <c r="AF30" i="2"/>
  <c r="AD67" i="2"/>
  <c r="AD73" i="2"/>
  <c r="AD109" i="2"/>
  <c r="AC94" i="2"/>
  <c r="AB29" i="2"/>
  <c r="AB56" i="2"/>
  <c r="AE12" i="2"/>
  <c r="AE24" i="2"/>
  <c r="AE51" i="2"/>
  <c r="AB10" i="2"/>
  <c r="AB45" i="2"/>
  <c r="AD60" i="2"/>
  <c r="AF18" i="2"/>
  <c r="AF53" i="2"/>
  <c r="AF64" i="2"/>
  <c r="AE61" i="2"/>
  <c r="AB90" i="2"/>
  <c r="AB5" i="2"/>
  <c r="AB13" i="2"/>
  <c r="AB21" i="2"/>
  <c r="AB113" i="2"/>
  <c r="AB112" i="2"/>
  <c r="AF113" i="2" l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34" i="1"/>
  <c r="AA138" i="1" s="1"/>
  <c r="AA179" i="1"/>
  <c r="AA173" i="1"/>
  <c r="AA37" i="1"/>
  <c r="AA33" i="1"/>
  <c r="AA10" i="1"/>
  <c r="AA161" i="1"/>
  <c r="AA252" i="1"/>
  <c r="AA231" i="1"/>
  <c r="AA194" i="1"/>
  <c r="AA183" i="1"/>
  <c r="AA182" i="1"/>
  <c r="AA180" i="1"/>
  <c r="AA154" i="1"/>
  <c r="AA156" i="1" s="1"/>
  <c r="B1" i="9"/>
  <c r="AB111" i="2"/>
  <c r="AE111" i="2"/>
  <c r="AF112" i="2"/>
  <c r="AD113" i="2"/>
  <c r="AD112" i="2"/>
  <c r="AD111" i="2"/>
  <c r="AC112" i="2"/>
  <c r="AE112" i="2"/>
  <c r="AE113" i="2"/>
  <c r="L1" i="9"/>
  <c r="AF111" i="2"/>
  <c r="AC113" i="2"/>
  <c r="AC111" i="2"/>
  <c r="A1" i="9"/>
  <c r="AA120" i="1" l="1"/>
  <c r="AA175" i="1" s="1"/>
  <c r="AA168" i="1"/>
  <c r="AA109" i="1" s="1"/>
  <c r="AA16" i="1"/>
  <c r="AA98" i="1"/>
  <c r="AA244" i="1"/>
  <c r="AA246" i="1"/>
  <c r="AA248" i="1"/>
  <c r="AA181" i="1"/>
  <c r="AA185" i="1"/>
  <c r="AA184" i="1" s="1"/>
  <c r="AA129" i="1"/>
  <c r="AA157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AA186" i="1"/>
  <c r="AA165" i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Y87" i="2"/>
  <c r="EX16" i="4" a="1"/>
  <c r="FF9" i="4" a="1"/>
  <c r="FF12" i="4" a="1"/>
  <c r="FD16" i="4" a="1"/>
  <c r="Y89" i="2"/>
  <c r="Z51" i="2"/>
  <c r="Y110" i="2"/>
  <c r="BB11" i="3"/>
  <c r="FA6" i="4" a="1"/>
  <c r="FE12" i="4" a="1"/>
  <c r="FC5" i="4" a="1"/>
  <c r="EX8" i="4" a="1"/>
  <c r="EZ6" i="4" a="1"/>
  <c r="Y77" i="2"/>
  <c r="Z28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FD7" i="4" a="1"/>
  <c r="FF14" i="4" a="1"/>
  <c r="FC6" i="4" a="1"/>
  <c r="FE15" i="4" a="1"/>
  <c r="FA14" i="4" a="1"/>
  <c r="EY5" i="4" a="1"/>
  <c r="FD11" i="4" a="1"/>
  <c r="FB5" i="4" a="1"/>
  <c r="Y11" i="2"/>
  <c r="AA52" i="2"/>
  <c r="BC31" i="3"/>
  <c r="AA31" i="2"/>
  <c r="Z87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Z24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Z84" i="2"/>
  <c r="BB6" i="3"/>
  <c r="Y70" i="2"/>
  <c r="AA69" i="2"/>
  <c r="Z97" i="2"/>
  <c r="BD14" i="3"/>
  <c r="Y40" i="2"/>
  <c r="BD34" i="3"/>
  <c r="BC24" i="3"/>
  <c r="FA5" i="4" a="1"/>
  <c r="FB14" i="4" a="1"/>
  <c r="EY8" i="4" a="1"/>
  <c r="FE13" i="4" a="1"/>
  <c r="BD32" i="3"/>
  <c r="Y42" i="2"/>
  <c r="Y98" i="2"/>
  <c r="Z68" i="2"/>
  <c r="BC14" i="3"/>
  <c r="AA108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AA95" i="2"/>
  <c r="EZ12" i="4" a="1"/>
  <c r="FA12" i="4" a="1"/>
  <c r="EZ7" i="4" a="1"/>
  <c r="EZ5" i="4" a="1"/>
  <c r="Z109" i="2"/>
  <c r="BA40" i="3"/>
  <c r="AA84" i="2"/>
  <c r="BB12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AA93" i="2"/>
  <c r="BA31" i="3"/>
  <c r="BA9" i="3"/>
  <c r="BA22" i="3"/>
  <c r="Z47" i="2"/>
  <c r="AA36" i="2"/>
  <c r="Z96" i="2"/>
  <c r="Y15" i="2"/>
  <c r="BD45" i="3"/>
  <c r="Z18" i="2"/>
  <c r="BB35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59" i="3" s="1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BV39" i="3"/>
  <c r="BF31" i="3"/>
  <c r="BP7" i="3"/>
  <c r="BH18" i="3"/>
  <c r="BJ36" i="3"/>
  <c r="BM35" i="3"/>
  <c r="BE22" i="3"/>
  <c r="AA61" i="2"/>
  <c r="AA105" i="2"/>
  <c r="BC27" i="3"/>
  <c r="AA79" i="2"/>
  <c r="BC28" i="3"/>
  <c r="Y96" i="2"/>
  <c r="Y81" i="2"/>
  <c r="BB8" i="3"/>
  <c r="BC22" i="3"/>
  <c r="AA25" i="2"/>
  <c r="Y105" i="2"/>
  <c r="Y97" i="2"/>
  <c r="FC8" i="4" a="1"/>
  <c r="FE14" i="4" a="1"/>
  <c r="EZ13" i="4" a="1"/>
  <c r="Y90" i="2"/>
  <c r="BA33" i="3"/>
  <c r="BD38" i="3"/>
  <c r="Z56" i="2"/>
  <c r="Z93" i="2"/>
  <c r="FF13" i="4" a="1"/>
  <c r="AA87" i="2"/>
  <c r="Z65" i="2"/>
  <c r="FA13" i="4" a="1"/>
  <c r="BB32" i="3"/>
  <c r="BS5" i="3"/>
  <c r="BM6" i="3"/>
  <c r="BG8" i="3"/>
  <c r="BH34" i="3"/>
  <c r="BL25" i="3"/>
  <c r="BN9" i="3"/>
  <c r="BK35" i="3"/>
  <c r="Y94" i="2"/>
  <c r="AA78" i="2"/>
  <c r="BD39" i="3"/>
  <c r="Z5" i="2"/>
  <c r="BC13" i="3"/>
  <c r="AA20" i="2"/>
  <c r="EX13" i="4" a="1"/>
  <c r="Y28" i="2"/>
  <c r="Y63" i="2"/>
  <c r="FB16" i="4" a="1"/>
  <c r="Z26" i="2"/>
  <c r="FC15" i="4" a="1"/>
  <c r="Y53" i="2"/>
  <c r="EX14" i="4" a="1"/>
  <c r="BS11" i="3"/>
  <c r="BK9" i="3"/>
  <c r="BE9" i="3"/>
  <c r="BN37" i="3"/>
  <c r="BJ38" i="3"/>
  <c r="BJ11" i="3"/>
  <c r="BG37" i="3"/>
  <c r="Y88" i="2"/>
  <c r="Z13" i="2"/>
  <c r="BC12" i="3"/>
  <c r="Y62" i="2"/>
  <c r="BA32" i="3"/>
  <c r="Z35" i="2"/>
  <c r="AA32" i="2"/>
  <c r="BC36" i="3"/>
  <c r="BA10" i="3"/>
  <c r="Y79" i="2"/>
  <c r="Z43" i="2"/>
  <c r="FE5" i="4" a="1"/>
  <c r="EX5" i="4" a="1"/>
  <c r="EX15" i="4" a="1"/>
  <c r="FF5" i="4" a="1"/>
  <c r="FD8" i="4" a="1"/>
  <c r="EY15" i="4" a="1"/>
  <c r="BJ27" i="3"/>
  <c r="Z61" i="2"/>
  <c r="BA41" i="3"/>
  <c r="FA11" i="4" a="1"/>
  <c r="BN7" i="3"/>
  <c r="BK19" i="3"/>
  <c r="Y19" i="2"/>
  <c r="AV10" i="3"/>
  <c r="FE9" i="4" a="1"/>
  <c r="BS17" i="3"/>
  <c r="BK27" i="3"/>
  <c r="BE13" i="3"/>
  <c r="BM14" i="3"/>
  <c r="BF24" i="3"/>
  <c r="BF13" i="3"/>
  <c r="BI38" i="3"/>
  <c r="AA17" i="2"/>
  <c r="Z64" i="2"/>
  <c r="BB15" i="3"/>
  <c r="AA86" i="2"/>
  <c r="BC7" i="3"/>
  <c r="Y8" i="2"/>
  <c r="AA89" i="2"/>
  <c r="BB7" i="3"/>
  <c r="BC6" i="3"/>
  <c r="Z8" i="2"/>
  <c r="Z7" i="2"/>
  <c r="FC14" i="4" a="1"/>
  <c r="FA15" i="4" a="1"/>
  <c r="FA9" i="4" a="1"/>
  <c r="FB15" i="4" a="1"/>
  <c r="Y47" i="2"/>
  <c r="AA21" i="2"/>
  <c r="AA97" i="2"/>
  <c r="Z71" i="2"/>
  <c r="Y41" i="2"/>
  <c r="Z105" i="2"/>
  <c r="BB36" i="3"/>
  <c r="FF8" i="4" a="1"/>
  <c r="Y66" i="2"/>
  <c r="BI33" i="3"/>
  <c r="Y52" i="2"/>
  <c r="BS23" i="3"/>
  <c r="BM30" i="3"/>
  <c r="BM13" i="3"/>
  <c r="BI18" i="3"/>
  <c r="BL9" i="3"/>
  <c r="BH26" i="3"/>
  <c r="BJ40" i="3"/>
  <c r="Z48" i="2"/>
  <c r="AA47" i="2"/>
  <c r="BB37" i="3"/>
  <c r="AA50" i="2"/>
  <c r="BA36" i="3"/>
  <c r="BA25" i="3"/>
  <c r="FC12" i="4" a="1"/>
  <c r="FF7" i="4" a="1"/>
  <c r="BH45" i="3"/>
  <c r="FA7" i="4" a="1"/>
  <c r="BP37" i="3"/>
  <c r="AA40" i="2"/>
  <c r="AA88" i="2"/>
  <c r="AA13" i="2"/>
  <c r="BA30" i="3"/>
  <c r="EZ11" i="4" a="1"/>
  <c r="BS29" i="3"/>
  <c r="BF26" i="3"/>
  <c r="CL47" i="1" s="1"/>
  <c r="BM17" i="3"/>
  <c r="BG35" i="3"/>
  <c r="BT9" i="3"/>
  <c r="BO36" i="3"/>
  <c r="BH37" i="3"/>
  <c r="BK18" i="3"/>
  <c r="BM38" i="3"/>
  <c r="BT19" i="3"/>
  <c r="BL28" i="3"/>
  <c r="BH7" i="3"/>
  <c r="Y46" i="2"/>
  <c r="BC18" i="3"/>
  <c r="Z107" i="2"/>
  <c r="AA63" i="2"/>
  <c r="BC29" i="3"/>
  <c r="AA98" i="2"/>
  <c r="AA82" i="2"/>
  <c r="Z83" i="2"/>
  <c r="BC5" i="3"/>
  <c r="BD27" i="3"/>
  <c r="Z17" i="2"/>
  <c r="FF16" i="4" a="1"/>
  <c r="FC16" i="4" a="1"/>
  <c r="FB6" i="4" a="1"/>
  <c r="FE16" i="4" a="1"/>
  <c r="BK5" i="3"/>
  <c r="BD18" i="3"/>
  <c r="BC45" i="3"/>
  <c r="FE8" i="4" a="1"/>
  <c r="EZ16" i="4" a="1"/>
  <c r="BM39" i="3"/>
  <c r="Y61" i="2"/>
  <c r="BC33" i="3"/>
  <c r="BT21" i="3"/>
  <c r="BT16" i="3"/>
  <c r="BK22" i="3"/>
  <c r="BH15" i="3"/>
  <c r="BP14" i="3"/>
  <c r="BF45" i="3"/>
  <c r="CL63" i="1" s="1"/>
  <c r="AA14" i="2"/>
  <c r="BC37" i="3"/>
  <c r="Z20" i="2"/>
  <c r="Z70" i="2"/>
  <c r="BC42" i="3"/>
  <c r="Z94" i="2"/>
  <c r="X6" i="2"/>
  <c r="Y67" i="2"/>
  <c r="BD31" i="3"/>
  <c r="BC40" i="3"/>
  <c r="Y29" i="2"/>
  <c r="EY7" i="4" a="1"/>
  <c r="FD6" i="4" a="1"/>
  <c r="EY9" i="4" a="1"/>
  <c r="BP42" i="3"/>
  <c r="BT24" i="3"/>
  <c r="BI23" i="3"/>
  <c r="BL29" i="3"/>
  <c r="BP20" i="3"/>
  <c r="C4" i="2"/>
  <c r="AA66" i="2"/>
  <c r="AA58" i="2"/>
  <c r="Y45" i="2"/>
  <c r="BB33" i="3"/>
  <c r="BH17" i="3"/>
  <c r="Z108" i="2"/>
  <c r="BE45" i="3"/>
  <c r="BP41" i="3"/>
  <c r="BK36" i="3"/>
  <c r="BF14" i="3"/>
  <c r="CL23" i="1" s="1"/>
  <c r="BP26" i="3"/>
  <c r="BI6" i="3"/>
  <c r="AB39" i="3"/>
  <c r="Y23" i="2"/>
  <c r="BD22" i="3"/>
  <c r="AA9" i="2"/>
  <c r="Y71" i="2"/>
  <c r="BB46" i="3"/>
  <c r="AA46" i="2"/>
  <c r="BA8" i="3"/>
  <c r="BD16" i="3"/>
  <c r="Y27" i="2"/>
  <c r="BB28" i="3"/>
  <c r="AA57" i="2"/>
  <c r="EZ8" i="4" a="1"/>
  <c r="BF27" i="3"/>
  <c r="BP13" i="3"/>
  <c r="BF15" i="3"/>
  <c r="CL24" i="1" s="1"/>
  <c r="BH33" i="3"/>
  <c r="BK34" i="3"/>
  <c r="BG21" i="3"/>
  <c r="Y83" i="2"/>
  <c r="AA29" i="2"/>
  <c r="BB30" i="3"/>
  <c r="AA30" i="2"/>
  <c r="BA15" i="3"/>
  <c r="Z23" i="2"/>
  <c r="AA99" i="2"/>
  <c r="BD9" i="3"/>
  <c r="BC34" i="3"/>
  <c r="Z52" i="2"/>
  <c r="BC35" i="3"/>
  <c r="AA15" i="2"/>
  <c r="FD15" i="4" a="1"/>
  <c r="EX9" i="4" a="1"/>
  <c r="FC13" i="4" a="1"/>
  <c r="FB12" i="4" a="1"/>
  <c r="EZ9" i="4" a="1"/>
  <c r="BA45" i="3"/>
  <c r="Z90" i="2"/>
  <c r="Z27" i="2"/>
  <c r="FA8" i="4" a="1"/>
  <c r="BD5" i="3"/>
  <c r="BB29" i="3"/>
  <c r="BQ56" i="3" l="1"/>
  <c r="CL65" i="1"/>
  <c r="AA52" i="1"/>
  <c r="AA54" i="1"/>
  <c r="AA193" i="1"/>
  <c r="AA195" i="1" s="1"/>
  <c r="BP60" i="3"/>
  <c r="BP57" i="3"/>
  <c r="CL253" i="1"/>
  <c r="CL194" i="1"/>
  <c r="CL10" i="1"/>
  <c r="CL231" i="1"/>
  <c r="CL252" i="1"/>
  <c r="CL26" i="1"/>
  <c r="CL27" i="1" s="1"/>
  <c r="CK63" i="1"/>
  <c r="CK64" i="1"/>
  <c r="CK65" i="1" s="1"/>
  <c r="CK9" i="1"/>
  <c r="CK14" i="1"/>
  <c r="CK35" i="1"/>
  <c r="CK25" i="1"/>
  <c r="CK46" i="1"/>
  <c r="CK47" i="1"/>
  <c r="CK21" i="1"/>
  <c r="CK13" i="1"/>
  <c r="CK39" i="1"/>
  <c r="CK22" i="1"/>
  <c r="CK8" i="1"/>
  <c r="CK15" i="1"/>
  <c r="CK32" i="1"/>
  <c r="CK36" i="1"/>
  <c r="CK24" i="1"/>
  <c r="CK20" i="1"/>
  <c r="CK51" i="1"/>
  <c r="CK23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59" i="1"/>
  <c r="JP9" i="4" s="1"/>
  <c r="JP16" i="4" s="1"/>
  <c r="JO16" i="4" s="1"/>
  <c r="JO9" i="4" s="1"/>
  <c r="JN9" i="4" s="1"/>
  <c r="JN16" i="4" s="1"/>
  <c r="BH59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V4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T49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H70" i="3"/>
  <c r="BE56" i="3"/>
  <c r="BG77" i="3"/>
  <c r="BI97" i="3"/>
  <c r="BH82" i="3"/>
  <c r="BI57" i="3"/>
  <c r="BR54" i="3"/>
  <c r="BS73" i="3"/>
  <c r="BU64" i="3"/>
  <c r="BV84" i="3"/>
  <c r="BT47" i="3"/>
  <c r="BN67" i="3"/>
  <c r="BN72" i="3"/>
  <c r="BF55" i="3"/>
  <c r="BS62" i="3"/>
  <c r="BH97" i="3"/>
  <c r="BI65" i="3"/>
  <c r="BF58" i="3"/>
  <c r="CL119" i="1" s="1"/>
  <c r="BJ95" i="3"/>
  <c r="BJ73" i="3"/>
  <c r="BK48" i="3"/>
  <c r="BK49" i="3"/>
  <c r="GB5" i="4" a="1"/>
  <c r="GU8" i="4" a="1"/>
  <c r="FW6" i="4" a="1"/>
  <c r="HA9" i="4" a="1"/>
  <c r="GQ8" i="4" a="1"/>
  <c r="GJ6" i="4" a="1"/>
  <c r="GL5" i="4" a="1"/>
  <c r="FQ6" i="4" a="1"/>
  <c r="GK5" i="4" a="1"/>
  <c r="GI5" i="4" a="1"/>
  <c r="FU8" i="4" a="1"/>
  <c r="HD8" i="4" a="1"/>
  <c r="GD13" i="4" a="1"/>
  <c r="GK6" i="4" a="1"/>
  <c r="GU5" i="4" a="1"/>
  <c r="GF11" i="4" a="1"/>
  <c r="FZ8" i="4" a="1"/>
  <c r="GA6" i="4" a="1"/>
  <c r="FL7" i="4" a="1"/>
  <c r="FL12" i="4" a="1"/>
  <c r="FK11" i="4" a="1"/>
  <c r="FJ12" i="4" a="1"/>
  <c r="FI13" i="4" a="1"/>
  <c r="FN7" i="4" a="1"/>
  <c r="HB11" i="4" a="1"/>
  <c r="HA12" i="4" a="1"/>
  <c r="GX13" i="4" a="1"/>
  <c r="GW14" i="4" a="1"/>
  <c r="FK12" i="4" a="1"/>
  <c r="HF14" i="4" a="1"/>
  <c r="GV15" i="4" a="1"/>
  <c r="FT16" i="4" a="1"/>
  <c r="GT16" i="4" a="1"/>
  <c r="GD14" i="4" a="1"/>
  <c r="HG14" i="4" a="1"/>
  <c r="FY15" i="4" a="1"/>
  <c r="GK13" i="4" a="1"/>
  <c r="FU15" i="4" a="1"/>
  <c r="HA15" i="4" a="1"/>
  <c r="FW16" i="4" a="1"/>
  <c r="GY12" i="4" a="1"/>
  <c r="BC73" i="3"/>
  <c r="BD64" i="3"/>
  <c r="BD69" i="3"/>
  <c r="Z112" i="2"/>
  <c r="GY16" i="4" a="1"/>
  <c r="BD57" i="3"/>
  <c r="BU90" i="3"/>
  <c r="BG86" i="3"/>
  <c r="BC49" i="3"/>
  <c r="BM48" i="3"/>
  <c r="BH64" i="3"/>
  <c r="BB82" i="3"/>
  <c r="BL64" i="3"/>
  <c r="BF65" i="3"/>
  <c r="CL150" i="1" s="1"/>
  <c r="BV81" i="3"/>
  <c r="BS47" i="3"/>
  <c r="BU70" i="3"/>
  <c r="BV80" i="3"/>
  <c r="BT56" i="3"/>
  <c r="BN95" i="3"/>
  <c r="BN81" i="3"/>
  <c r="AA111" i="2"/>
  <c r="BS74" i="3"/>
  <c r="BL54" i="3"/>
  <c r="BI79" i="3"/>
  <c r="BF96" i="3"/>
  <c r="CL163" i="1" s="1"/>
  <c r="BJ87" i="3"/>
  <c r="BJ75" i="3"/>
  <c r="BK80" i="3"/>
  <c r="BK65" i="3"/>
  <c r="HG5" i="4" a="1"/>
  <c r="GM5" i="4" a="1"/>
  <c r="HE8" i="4" a="1"/>
  <c r="FO5" i="4" a="1"/>
  <c r="HC5" i="4" a="1"/>
  <c r="GD7" i="4" a="1"/>
  <c r="GF6" i="4" a="1"/>
  <c r="GB6" i="4" a="1"/>
  <c r="GH11" i="4" a="1"/>
  <c r="FT5" i="4" a="1"/>
  <c r="GG8" i="4" a="1"/>
  <c r="FZ9" i="4" a="1"/>
  <c r="HB13" i="4" a="1"/>
  <c r="FG7" i="4" a="1"/>
  <c r="FT6" i="4" a="1"/>
  <c r="GZ6" i="4" a="1"/>
  <c r="FK5" i="4" a="1"/>
  <c r="FP7" i="4" a="1"/>
  <c r="FK8" i="4" a="1"/>
  <c r="GR12" i="4" a="1"/>
  <c r="FO11" i="4" a="1"/>
  <c r="FO12" i="4" a="1"/>
  <c r="FL13" i="4" a="1"/>
  <c r="GI7" i="4" a="1"/>
  <c r="HG11" i="4" a="1"/>
  <c r="HD12" i="4" a="1"/>
  <c r="HC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I9" i="4" a="1"/>
  <c r="GS8" i="4" a="1"/>
  <c r="GT9" i="4" a="1"/>
  <c r="GN9" i="4" a="1"/>
  <c r="FN13" i="4" a="1"/>
  <c r="FR12" i="4" a="1"/>
  <c r="GT7" i="4" a="1"/>
  <c r="FG13" i="4" a="1"/>
  <c r="FI14" i="4" a="1"/>
  <c r="HH14" i="4" a="1"/>
  <c r="FP15" i="4" a="1"/>
  <c r="FX16" i="4" a="1"/>
  <c r="FM15" i="4" a="1"/>
  <c r="HD13" i="4" a="1"/>
  <c r="HE15" i="4" a="1"/>
  <c r="FS14" i="4" a="1"/>
  <c r="BC64" i="3"/>
  <c r="BD48" i="3"/>
  <c r="BC76" i="3"/>
  <c r="BI73" i="3"/>
  <c r="BK83" i="3"/>
  <c r="HG6" i="4" a="1"/>
  <c r="GW7" i="4" a="1"/>
  <c r="FJ15" i="4" a="1"/>
  <c r="FS9" i="4" a="1"/>
  <c r="GT11" i="4" a="1"/>
  <c r="GR15" i="4" a="1"/>
  <c r="GQ14" i="4" a="1"/>
  <c r="GQ16" i="4" a="1"/>
  <c r="BC59" i="3"/>
  <c r="BG63" i="3"/>
  <c r="BC71" i="3"/>
  <c r="BM59" i="3"/>
  <c r="BH68" i="3"/>
  <c r="BB57" i="3"/>
  <c r="BL93" i="3"/>
  <c r="BF47" i="3"/>
  <c r="BV60" i="3"/>
  <c r="BS77" i="3"/>
  <c r="BR74" i="3"/>
  <c r="BV89" i="3"/>
  <c r="BT55" i="3"/>
  <c r="BN64" i="3"/>
  <c r="BN87" i="3"/>
  <c r="Y111" i="2"/>
  <c r="BS81" i="3"/>
  <c r="BL73" i="3"/>
  <c r="BI87" i="3"/>
  <c r="BF56" i="3"/>
  <c r="CL117" i="1" s="1"/>
  <c r="BJ54" i="3"/>
  <c r="BJ77" i="3"/>
  <c r="BK66" i="3"/>
  <c r="BK97" i="3"/>
  <c r="FX6" i="4" a="1"/>
  <c r="FI6" i="4" a="1"/>
  <c r="GA5" i="4" a="1"/>
  <c r="FY6" i="4" a="1"/>
  <c r="FX9" i="4" a="1"/>
  <c r="HA6" i="4" a="1"/>
  <c r="FV7" i="4" a="1"/>
  <c r="GB12" i="4" a="1"/>
  <c r="GF5" i="4" a="1"/>
  <c r="FX14" i="4" a="1"/>
  <c r="FZ7" i="4" a="1"/>
  <c r="FW5" i="4" a="1"/>
  <c r="GN7" i="4" a="1"/>
  <c r="GX16" i="4" a="1"/>
  <c r="GA16" i="4" a="1"/>
  <c r="BC79" i="3"/>
  <c r="BD81" i="3"/>
  <c r="BA67" i="3"/>
  <c r="BR56" i="3"/>
  <c r="BF84" i="3"/>
  <c r="CL146" i="1" s="1"/>
  <c r="BF86" i="3"/>
  <c r="BA78" i="3"/>
  <c r="BL80" i="3"/>
  <c r="BF82" i="3"/>
  <c r="CL145" i="1" s="1"/>
  <c r="CL180" i="1" s="1"/>
  <c r="BT80" i="3"/>
  <c r="BS61" i="3"/>
  <c r="BR72" i="3"/>
  <c r="BV94" i="3"/>
  <c r="BT78" i="3"/>
  <c r="BN55" i="3"/>
  <c r="BN97" i="3"/>
  <c r="BO48" i="3"/>
  <c r="BS89" i="3"/>
  <c r="BE49" i="3"/>
  <c r="BI61" i="3"/>
  <c r="BJ49" i="3"/>
  <c r="BJ48" i="3"/>
  <c r="BJ79" i="3"/>
  <c r="BK60" i="3"/>
  <c r="BK47" i="3"/>
  <c r="GN6" i="4" a="1"/>
  <c r="FG6" i="4" a="1"/>
  <c r="GX11" i="4" a="1"/>
  <c r="FH5" i="4" a="1"/>
  <c r="GG6" i="4" a="1"/>
  <c r="GU11" i="4" a="1"/>
  <c r="FW7" i="4" a="1"/>
  <c r="HF8" i="4" a="1"/>
  <c r="GW12" i="4" a="1"/>
  <c r="GT5" i="4" a="1"/>
  <c r="GP5" i="4" a="1"/>
  <c r="HF9" i="4" a="1"/>
  <c r="GV14" i="4" a="1"/>
  <c r="HC7" i="4" a="1"/>
  <c r="FO9" i="4" a="1"/>
  <c r="HC11" i="4" a="1"/>
  <c r="FJ5" i="4" a="1"/>
  <c r="FJ8" i="4" a="1"/>
  <c r="HG8" i="4" a="1"/>
  <c r="GL13" i="4" a="1"/>
  <c r="FW11" i="4" a="1"/>
  <c r="FW12" i="4" a="1"/>
  <c r="FT13" i="4" a="1"/>
  <c r="FM8" i="4" a="1"/>
  <c r="FM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74" i="3"/>
  <c r="BD90" i="3"/>
  <c r="BE69" i="3"/>
  <c r="FG8" i="4" a="1"/>
  <c r="GR13" i="4" a="1"/>
  <c r="GK12" i="4" a="1"/>
  <c r="GL9" i="4" a="1"/>
  <c r="GY9" i="4" a="1"/>
  <c r="BD97" i="3"/>
  <c r="BG65" i="3"/>
  <c r="FV11" i="4" a="1"/>
  <c r="GG12" i="4" a="1"/>
  <c r="HB7" i="4" a="1"/>
  <c r="HD11" i="4" a="1"/>
  <c r="FQ11" i="4" a="1"/>
  <c r="GP16" i="4" a="1"/>
  <c r="GJ11" i="4" a="1"/>
  <c r="GI14" i="4" a="1"/>
  <c r="GW15" i="4" a="1"/>
  <c r="BB93" i="3"/>
  <c r="BA48" i="3"/>
  <c r="BR61" i="3"/>
  <c r="BF83" i="3"/>
  <c r="CL160" i="1" s="1"/>
  <c r="BF88" i="3"/>
  <c r="CL127" i="1" s="1"/>
  <c r="BA74" i="3"/>
  <c r="BL82" i="3"/>
  <c r="BF93" i="3"/>
  <c r="BT84" i="3"/>
  <c r="BS57" i="3"/>
  <c r="BR59" i="3"/>
  <c r="BV96" i="3"/>
  <c r="BT86" i="3"/>
  <c r="BN90" i="3"/>
  <c r="BP54" i="3"/>
  <c r="BO69" i="3"/>
  <c r="BS49" i="3"/>
  <c r="BE47" i="3"/>
  <c r="BI50" i="3"/>
  <c r="BJ74" i="3"/>
  <c r="BJ62" i="3"/>
  <c r="BK73" i="3"/>
  <c r="BK87" i="3"/>
  <c r="BK79" i="3"/>
  <c r="FJ7" i="4" a="1"/>
  <c r="GE9" i="4" a="1"/>
  <c r="FT12" i="4" a="1"/>
  <c r="GC6" i="4" a="1"/>
  <c r="GA7" i="4" a="1"/>
  <c r="GI13" i="4" a="1"/>
  <c r="GU7" i="4" a="1"/>
  <c r="GM6" i="4" a="1"/>
  <c r="FS13" i="4" a="1"/>
  <c r="FP6" i="4" a="1"/>
  <c r="FL6" i="4" a="1"/>
  <c r="FP11" i="4" a="1"/>
  <c r="FZ15" i="4" a="1"/>
  <c r="FV6" i="4" a="1"/>
  <c r="FJ6" i="4" a="1"/>
  <c r="FY12" i="4" a="1"/>
  <c r="FR5" i="4" a="1"/>
  <c r="GA8" i="4" a="1"/>
  <c r="GC9" i="4" a="1"/>
  <c r="FM14" i="4" a="1"/>
  <c r="GA11" i="4" a="1"/>
  <c r="FZ12" i="4" a="1"/>
  <c r="FY13" i="4" a="1"/>
  <c r="FK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K15" i="4" a="1"/>
  <c r="FG16" i="4" a="1"/>
  <c r="GE16" i="4" a="1"/>
  <c r="HC16" i="4" a="1"/>
  <c r="BC54" i="3"/>
  <c r="BC83" i="3"/>
  <c r="BD72" i="3"/>
  <c r="BD67" i="3"/>
  <c r="BM63" i="3"/>
  <c r="FO15" i="4" a="1"/>
  <c r="FU9" i="4" a="1"/>
  <c r="GD11" i="4" a="1"/>
  <c r="GL11" i="4" a="1"/>
  <c r="GH13" i="4" a="1"/>
  <c r="FJ16" i="4" a="1"/>
  <c r="GL16" i="4" a="1"/>
  <c r="GO11" i="4" a="1"/>
  <c r="GA14" i="4" a="1"/>
  <c r="GG9" i="4" a="1"/>
  <c r="BC77" i="3"/>
  <c r="BD79" i="3"/>
  <c r="BC95" i="3"/>
  <c r="BE88" i="3"/>
  <c r="BF68" i="3"/>
  <c r="CL134" i="1" s="1"/>
  <c r="BJ69" i="3"/>
  <c r="FY8" i="4" a="1"/>
  <c r="GZ13" i="4" a="1"/>
  <c r="GE14" i="4" a="1"/>
  <c r="BA70" i="3"/>
  <c r="BN49" i="3"/>
  <c r="BB55" i="3"/>
  <c r="BD70" i="3"/>
  <c r="BC57" i="3"/>
  <c r="BL87" i="3"/>
  <c r="BQ72" i="3"/>
  <c r="BO55" i="3"/>
  <c r="BU60" i="3"/>
  <c r="BR77" i="3"/>
  <c r="BV63" i="3"/>
  <c r="BT54" i="3"/>
  <c r="BN48" i="3"/>
  <c r="BP69" i="3"/>
  <c r="BO54" i="3"/>
  <c r="BS54" i="3"/>
  <c r="BE79" i="3"/>
  <c r="BM69" i="3"/>
  <c r="BJ82" i="3"/>
  <c r="BJ64" i="3"/>
  <c r="BK69" i="3"/>
  <c r="BK62" i="3"/>
  <c r="BK93" i="3"/>
  <c r="GH7" i="4" a="1"/>
  <c r="FQ7" i="4" a="1"/>
  <c r="GJ12" i="4" a="1"/>
  <c r="GE7" i="4" a="1"/>
  <c r="FL9" i="4" a="1"/>
  <c r="GC14" i="4" a="1"/>
  <c r="GO5" i="4" a="1"/>
  <c r="FP8" i="4" a="1"/>
  <c r="GY13" i="4" a="1"/>
  <c r="GV6" i="4" a="1"/>
  <c r="FR6" i="4" a="1"/>
  <c r="FX11" i="4" a="1"/>
  <c r="FI9" i="4" a="1"/>
  <c r="GT6" i="4" a="1"/>
  <c r="GG7" i="4" a="1"/>
  <c r="GZ12" i="4" a="1"/>
  <c r="GD5" i="4" a="1"/>
  <c r="GO8" i="4" a="1"/>
  <c r="GV9" i="4" a="1"/>
  <c r="GK14" i="4" a="1"/>
  <c r="GE11" i="4" a="1"/>
  <c r="GE12" i="4" a="1"/>
  <c r="GB13" i="4" a="1"/>
  <c r="GA9" i="4" a="1"/>
  <c r="FX12" i="4" a="1"/>
  <c r="FW13" i="4" a="1"/>
  <c r="FT14" i="4" a="1"/>
  <c r="FN8" i="4" a="1"/>
  <c r="GF13" i="4" a="1"/>
  <c r="GF15" i="4" a="1"/>
  <c r="HF15" i="4" a="1"/>
  <c r="GD16" i="4" a="1"/>
  <c r="HD16" i="4" a="1"/>
  <c r="FV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G48" i="3"/>
  <c r="FU7" i="4" a="1"/>
  <c r="GO7" i="4" a="1"/>
  <c r="HA5" i="4" a="1"/>
  <c r="GM11" i="4" a="1"/>
  <c r="GG14" i="4" a="1"/>
  <c r="GL15" i="4" a="1"/>
  <c r="HG9" i="4" a="1"/>
  <c r="GA12" i="4" a="1"/>
  <c r="GS15" i="4" a="1"/>
  <c r="BP73" i="3"/>
  <c r="BT67" i="3"/>
  <c r="BF73" i="3"/>
  <c r="BE81" i="3"/>
  <c r="GH9" i="4" a="1"/>
  <c r="GY8" i="4" a="1"/>
  <c r="GI8" i="4" a="1"/>
  <c r="GP13" i="4" a="1"/>
  <c r="BU58" i="3"/>
  <c r="BA50" i="3"/>
  <c r="BN84" i="3"/>
  <c r="BB65" i="3"/>
  <c r="BD49" i="3"/>
  <c r="BC60" i="3"/>
  <c r="BL79" i="3"/>
  <c r="BQ63" i="3"/>
  <c r="BO59" i="3"/>
  <c r="BU62" i="3"/>
  <c r="BR69" i="3"/>
  <c r="BT71" i="3"/>
  <c r="BT60" i="3"/>
  <c r="BN58" i="3"/>
  <c r="BP95" i="3"/>
  <c r="BO85" i="3"/>
  <c r="BS94" i="3"/>
  <c r="BE54" i="3"/>
  <c r="BM75" i="3"/>
  <c r="BJ84" i="3"/>
  <c r="BJ92" i="3"/>
  <c r="BK82" i="3"/>
  <c r="BK76" i="3"/>
  <c r="BK61" i="3"/>
  <c r="HF7" i="4" a="1"/>
  <c r="HH7" i="4" a="1"/>
  <c r="HE12" i="4" a="1"/>
  <c r="GX7" i="4" a="1"/>
  <c r="GJ9" i="4" a="1"/>
  <c r="HD14" i="4" a="1"/>
  <c r="FK6" i="4" a="1"/>
  <c r="FJ9" i="4" a="1"/>
  <c r="FU14" i="4" a="1"/>
  <c r="FO7" i="4" a="1"/>
  <c r="FK7" i="4" a="1"/>
  <c r="GU6" i="4" a="1"/>
  <c r="FQ5" i="4" a="1"/>
  <c r="FM7" i="4" a="1"/>
  <c r="FX8" i="4" a="1"/>
  <c r="FV13" i="4" a="1"/>
  <c r="GY5" i="4" a="1"/>
  <c r="HA8" i="4" a="1"/>
  <c r="FH11" i="4" a="1"/>
  <c r="FG15" i="4" a="1"/>
  <c r="GK11" i="4" a="1"/>
  <c r="GH12" i="4" a="1"/>
  <c r="GJ13" i="4" a="1"/>
  <c r="GF9" i="4" a="1"/>
  <c r="GC12" i="4" a="1"/>
  <c r="FZ13" i="4" a="1"/>
  <c r="FY14" i="4" a="1"/>
  <c r="GT8" i="4" a="1"/>
  <c r="HA13" i="4" a="1"/>
  <c r="GH15" i="4" a="1"/>
  <c r="HH15" i="4" a="1"/>
  <c r="GF16" i="4" a="1"/>
  <c r="HF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O83" i="3"/>
  <c r="BJ72" i="3"/>
  <c r="BK94" i="3"/>
  <c r="FK15" i="4" a="1"/>
  <c r="HA14" i="4" a="1"/>
  <c r="FS6" i="4" a="1"/>
  <c r="FM9" i="4" a="1"/>
  <c r="FQ8" i="4" a="1"/>
  <c r="GZ9" i="4" a="1"/>
  <c r="GS6" i="4" a="1"/>
  <c r="FR8" i="4" a="1"/>
  <c r="GV11" i="4" a="1"/>
  <c r="GU12" i="4" a="1"/>
  <c r="FO14" i="4" a="1"/>
  <c r="GC13" i="4" a="1"/>
  <c r="GX14" i="4" a="1"/>
  <c r="FO16" i="4" a="1"/>
  <c r="GM16" i="4" a="1"/>
  <c r="BC67" i="3"/>
  <c r="BC68" i="3"/>
  <c r="BD59" i="3"/>
  <c r="BC48" i="3"/>
  <c r="BD66" i="3"/>
  <c r="Y113" i="2"/>
  <c r="BB78" i="3"/>
  <c r="BO93" i="3"/>
  <c r="BK91" i="3"/>
  <c r="GH8" i="4" a="1"/>
  <c r="GP8" i="4" a="1"/>
  <c r="BD77" i="3"/>
  <c r="BA63" i="3"/>
  <c r="BG55" i="3"/>
  <c r="BB69" i="3"/>
  <c r="BU48" i="3"/>
  <c r="BQ55" i="3"/>
  <c r="BE72" i="3"/>
  <c r="BQ81" i="3"/>
  <c r="BO89" i="3"/>
  <c r="BU71" i="3"/>
  <c r="BR96" i="3"/>
  <c r="BT63" i="3"/>
  <c r="BT62" i="3"/>
  <c r="BN94" i="3"/>
  <c r="BP79" i="3"/>
  <c r="BO61" i="3"/>
  <c r="BP65" i="3"/>
  <c r="BE65" i="3"/>
  <c r="BM87" i="3"/>
  <c r="BJ66" i="3"/>
  <c r="BJ94" i="3"/>
  <c r="BK77" i="3"/>
  <c r="BK86" i="3"/>
  <c r="GT14" i="4" a="1"/>
  <c r="GR5" i="4" a="1"/>
  <c r="GB8" i="4" a="1"/>
  <c r="GA13" i="4" a="1"/>
  <c r="GW5" i="4" a="1"/>
  <c r="GX6" i="4" a="1"/>
  <c r="FW15" i="4" a="1"/>
  <c r="GI6" i="4" a="1"/>
  <c r="GK9" i="4" a="1"/>
  <c r="GS14" i="4" a="1"/>
  <c r="GP7" i="4" a="1"/>
  <c r="FW9" i="4" a="1"/>
  <c r="FH9" i="4" a="1"/>
  <c r="GE5" i="4" a="1"/>
  <c r="GF7" i="4" a="1"/>
  <c r="GV8" i="4" a="1"/>
  <c r="GT13" i="4" a="1"/>
  <c r="FU6" i="4" a="1"/>
  <c r="HF5" i="4" a="1"/>
  <c r="FT11" i="4" a="1"/>
  <c r="GV5" i="4" a="1"/>
  <c r="GN11" i="4" a="1"/>
  <c r="GP12" i="4" a="1"/>
  <c r="GO13" i="4" a="1"/>
  <c r="GI11" i="4" a="1"/>
  <c r="GF12" i="4" a="1"/>
  <c r="GE13" i="4" a="1"/>
  <c r="GB14" i="4" a="1"/>
  <c r="FQ9" i="4" a="1"/>
  <c r="FJ14" i="4" a="1"/>
  <c r="GJ15" i="4" a="1"/>
  <c r="FH16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F81" i="3"/>
  <c r="CL144" i="1" s="1"/>
  <c r="CL179" i="1" s="1"/>
  <c r="BJ63" i="3"/>
  <c r="BK55" i="3"/>
  <c r="GZ8" i="4" a="1"/>
  <c r="FI8" i="4" a="1"/>
  <c r="FN5" i="4" a="1"/>
  <c r="FP14" i="4" a="1"/>
  <c r="GN5" i="4" a="1"/>
  <c r="BC61" i="3"/>
  <c r="BU76" i="3"/>
  <c r="BO82" i="3"/>
  <c r="BV79" i="3"/>
  <c r="GS9" i="4" a="1"/>
  <c r="GS12" i="4" a="1"/>
  <c r="FP16" i="4" a="1"/>
  <c r="FS16" i="4" a="1"/>
  <c r="BC92" i="3"/>
  <c r="BA55" i="3"/>
  <c r="BG78" i="3"/>
  <c r="BB74" i="3"/>
  <c r="BU54" i="3"/>
  <c r="BQ57" i="3"/>
  <c r="BE80" i="3"/>
  <c r="BQ82" i="3"/>
  <c r="BO94" i="3"/>
  <c r="BU85" i="3"/>
  <c r="BV62" i="3"/>
  <c r="BT58" i="3"/>
  <c r="BT89" i="3"/>
  <c r="BN47" i="3"/>
  <c r="BN79" i="3"/>
  <c r="FL11" i="4" a="1"/>
  <c r="HG12" i="4" a="1"/>
  <c r="GC11" i="4" a="1"/>
  <c r="BC97" i="3"/>
  <c r="BP56" i="3"/>
  <c r="BG83" i="3"/>
  <c r="BB87" i="3"/>
  <c r="BI69" i="3"/>
  <c r="BH71" i="3"/>
  <c r="BE70" i="3"/>
  <c r="BU75" i="3"/>
  <c r="BO79" i="3"/>
  <c r="BU89" i="3"/>
  <c r="BV50" i="3"/>
  <c r="BT59" i="3"/>
  <c r="BN82" i="3"/>
  <c r="BN66" i="3"/>
  <c r="BF77" i="3"/>
  <c r="CL140" i="1" s="1"/>
  <c r="BO91" i="3"/>
  <c r="BG47" i="3"/>
  <c r="BE77" i="3"/>
  <c r="BM55" i="3"/>
  <c r="BJ78" i="3"/>
  <c r="BJ67" i="3"/>
  <c r="BK88" i="3"/>
  <c r="BK95" i="3"/>
  <c r="GE15" i="4" a="1"/>
  <c r="FO8" i="4" a="1"/>
  <c r="FR9" i="4" a="1"/>
  <c r="FT7" i="4" a="1"/>
  <c r="GQ6" i="4" a="1"/>
  <c r="HB9" i="4" a="1"/>
  <c r="GX8" i="4" a="1"/>
  <c r="GM8" i="4" a="1"/>
  <c r="FJ11" i="4" a="1"/>
  <c r="FI7" i="4" a="1"/>
  <c r="GD6" i="4" a="1"/>
  <c r="HC6" i="4" a="1"/>
  <c r="FI12" i="4" a="1"/>
  <c r="FZ5" i="4" a="1"/>
  <c r="FW8" i="4" a="1"/>
  <c r="GR9" i="4" a="1"/>
  <c r="GN14" i="4" a="1"/>
  <c r="FR7" i="4" a="1"/>
  <c r="GW6" i="4" a="1"/>
  <c r="GO6" i="4" a="1"/>
  <c r="GW9" i="4" a="1"/>
  <c r="HA11" i="4" a="1"/>
  <c r="GX12" i="4" a="1"/>
  <c r="GW13" i="4" a="1"/>
  <c r="GQ11" i="4" a="1"/>
  <c r="GN12" i="4" a="1"/>
  <c r="GM13" i="4" a="1"/>
  <c r="GJ14" i="4" a="1"/>
  <c r="HC9" i="4" a="1"/>
  <c r="FZ14" i="4" a="1"/>
  <c r="GN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BJ80" i="3"/>
  <c r="HD9" i="4" a="1"/>
  <c r="HE9" i="4" a="1"/>
  <c r="FH13" i="4" a="1"/>
  <c r="FN15" i="4" a="1"/>
  <c r="BD56" i="3"/>
  <c r="BH62" i="3"/>
  <c r="BH96" i="3"/>
  <c r="BE62" i="3"/>
  <c r="BG94" i="3"/>
  <c r="BI74" i="3"/>
  <c r="BH80" i="3"/>
  <c r="BI47" i="3"/>
  <c r="BR63" i="3"/>
  <c r="BS85" i="3"/>
  <c r="BU88" i="3"/>
  <c r="BV88" i="3"/>
  <c r="BT70" i="3"/>
  <c r="BN89" i="3"/>
  <c r="BN70" i="3"/>
  <c r="BF69" i="3"/>
  <c r="BO96" i="3"/>
  <c r="BG90" i="3"/>
  <c r="BI63" i="3"/>
  <c r="BF74" i="3"/>
  <c r="CL137" i="1" s="1"/>
  <c r="BJ96" i="3"/>
  <c r="BJ71" i="3"/>
  <c r="BK75" i="3"/>
  <c r="BK54" i="3"/>
  <c r="FS5" i="4" a="1"/>
  <c r="GK8" i="4" a="1"/>
  <c r="GX9" i="4" a="1"/>
  <c r="FY9" i="4" a="1"/>
  <c r="GC7" i="4" a="1"/>
  <c r="GB11" i="4" a="1"/>
  <c r="FG5" i="4" a="1"/>
  <c r="GX5" i="4" a="1"/>
  <c r="GS5" i="4" a="1"/>
  <c r="FI5" i="4" a="1"/>
  <c r="HD7" i="4" a="1"/>
  <c r="GF8" i="4" a="1"/>
  <c r="HH12" i="4" a="1"/>
  <c r="FM6" i="4" a="1"/>
  <c r="GW8" i="4" a="1"/>
  <c r="FN11" i="4" a="1"/>
  <c r="GE6" i="4" a="1"/>
  <c r="FL8" i="4" a="1"/>
  <c r="GM9" i="4" a="1"/>
  <c r="GP11" i="4" a="1"/>
  <c r="FG11" i="4" a="1"/>
  <c r="FG12" i="4" a="1"/>
  <c r="HF12" i="4" a="1"/>
  <c r="HE6" i="4" a="1"/>
  <c r="GY11" i="4" a="1"/>
  <c r="GV12" i="4" a="1"/>
  <c r="GU13" i="4" a="1"/>
  <c r="GR14" i="4" a="1"/>
  <c r="GG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A65" i="3"/>
  <c r="FN12" i="4" a="1"/>
  <c r="GU16" i="4" a="1"/>
  <c r="BC89" i="3"/>
  <c r="BC80" i="3"/>
  <c r="GR6" i="4" a="1"/>
  <c r="GJ8" i="4" a="1"/>
  <c r="FS11" i="4" a="1"/>
  <c r="FQ13" i="4" a="1"/>
  <c r="FH12" i="4" a="1"/>
  <c r="GQ12" i="4" a="1"/>
  <c r="GZ15" i="4" a="1"/>
  <c r="FV15" i="4" a="1"/>
  <c r="GT12" i="4" a="1"/>
  <c r="GD8" i="4" a="1"/>
  <c r="GG15" i="4" a="1"/>
  <c r="BH58" i="3"/>
  <c r="BN68" i="3"/>
  <c r="BG84" i="3"/>
  <c r="FM5" i="4" a="1"/>
  <c r="GK7" i="4" a="1"/>
  <c r="GJ5" i="4" a="1"/>
  <c r="GM7" i="4" a="1"/>
  <c r="HC12" i="4" a="1"/>
  <c r="GO14" i="4" a="1"/>
  <c r="CH140" i="1" l="1"/>
  <c r="CI140" i="1" s="1"/>
  <c r="AA202" i="1"/>
  <c r="CL98" i="1"/>
  <c r="CL99" i="1" s="1"/>
  <c r="CL128" i="1"/>
  <c r="CL148" i="1"/>
  <c r="CL16" i="1"/>
  <c r="X183" i="1"/>
  <c r="CO20" i="1"/>
  <c r="CS20" i="1" s="1"/>
  <c r="CH143" i="1"/>
  <c r="Z148" i="1"/>
  <c r="CL182" i="1"/>
  <c r="CL161" i="1"/>
  <c r="CL168" i="1" s="1"/>
  <c r="CL109" i="1" s="1"/>
  <c r="CL120" i="1"/>
  <c r="CL129" i="1" s="1"/>
  <c r="CL138" i="1"/>
  <c r="CL156" i="1"/>
  <c r="CK26" i="1"/>
  <c r="CK27" i="1" s="1"/>
  <c r="CK16" i="1"/>
  <c r="X148" i="1"/>
  <c r="X179" i="1"/>
  <c r="CH161" i="1"/>
  <c r="Y148" i="1"/>
  <c r="Y196" i="1" s="1"/>
  <c r="Z161" i="1"/>
  <c r="AA209" i="1" s="1"/>
  <c r="CJ159" i="1"/>
  <c r="CJ150" i="1"/>
  <c r="KC16" i="4" s="1"/>
  <c r="JU16" i="4" s="1"/>
  <c r="JT16" i="4" s="1"/>
  <c r="KA9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G9" i="4" s="1"/>
  <c r="KF9" i="4" s="1"/>
  <c r="JT9" i="4" s="1"/>
  <c r="JY15" i="4" s="1"/>
  <c r="KC9" i="4" s="1"/>
  <c r="CJ152" i="1"/>
  <c r="JR14" i="4" s="1"/>
  <c r="CJ140" i="1"/>
  <c r="CK140" i="1" s="1"/>
  <c r="CL202" i="1" s="1"/>
  <c r="CJ151" i="1"/>
  <c r="KA16" i="4" s="1"/>
  <c r="KA21" i="4" s="1"/>
  <c r="JS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Q15" i="4" s="1"/>
  <c r="JZ9" i="4" s="1"/>
  <c r="CJ73" i="1"/>
  <c r="CG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33" i="1"/>
  <c r="CK133" i="1" s="1"/>
  <c r="CM133" i="1" s="1"/>
  <c r="CN133" i="1" s="1"/>
  <c r="CO133" i="1" s="1"/>
  <c r="CP133" i="1" s="1"/>
  <c r="JW8" i="4" s="1"/>
  <c r="JY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5" i="4" s="1"/>
  <c r="KF16" i="4" s="1"/>
  <c r="KF21" i="4" s="1"/>
  <c r="JS14" i="4" s="1"/>
  <c r="KB16" i="4" s="1"/>
  <c r="KE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S9" i="4" s="1"/>
  <c r="KG7" i="4" s="1"/>
  <c r="CK73" i="1"/>
  <c r="CJ144" i="1"/>
  <c r="CJ179" i="1" s="1"/>
  <c r="CK179" i="1" s="1"/>
  <c r="JW16" i="4" s="1"/>
  <c r="KB7" i="4" s="1"/>
  <c r="JV9" i="4" s="1"/>
  <c r="KC14" i="4" s="1"/>
  <c r="KC15" i="4" s="1"/>
  <c r="JR15" i="4" s="1"/>
  <c r="JU14" i="4" s="1"/>
  <c r="JS15" i="4" s="1"/>
  <c r="JV16" i="4" s="1"/>
  <c r="JV21" i="4" s="1"/>
  <c r="CJ134" i="1"/>
  <c r="CK33" i="1" s="1"/>
  <c r="CJ154" i="1"/>
  <c r="KD16" i="4" s="1"/>
  <c r="CI73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49" i="1"/>
  <c r="JX14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X73" i="1"/>
  <c r="KB8" i="4" s="1"/>
  <c r="KB9" i="4" s="1"/>
  <c r="Z74" i="1"/>
  <c r="CJ153" i="1"/>
  <c r="CJ183" i="1" s="1"/>
  <c r="CK183" i="1" s="1"/>
  <c r="CJ147" i="1"/>
  <c r="Y74" i="1"/>
  <c r="CI74" i="1"/>
  <c r="Z73" i="1"/>
  <c r="CJ160" i="1"/>
  <c r="JU8" i="4" s="1"/>
  <c r="CK74" i="1"/>
  <c r="CJ142" i="1"/>
  <c r="CH73" i="1"/>
  <c r="KF8" i="4" s="1"/>
  <c r="KH16" i="4" s="1"/>
  <c r="CJ74" i="1"/>
  <c r="CJ155" i="1"/>
  <c r="CJ124" i="1"/>
  <c r="CK124" i="1" s="1"/>
  <c r="CM124" i="1" s="1"/>
  <c r="CG73" i="1"/>
  <c r="X10" i="1"/>
  <c r="X98" i="1" s="1"/>
  <c r="Z154" i="1"/>
  <c r="CH154" i="1" s="1"/>
  <c r="CH156" i="1" s="1"/>
  <c r="CH185" i="1" s="1"/>
  <c r="CK98" i="1"/>
  <c r="CK99" i="1" s="1"/>
  <c r="Y26" i="1"/>
  <c r="Z252" i="1"/>
  <c r="X180" i="1"/>
  <c r="Y173" i="1"/>
  <c r="Y161" i="1"/>
  <c r="Z209" i="1" s="1"/>
  <c r="X252" i="1"/>
  <c r="Y134" i="1"/>
  <c r="CJ137" i="1"/>
  <c r="CJ143" i="1"/>
  <c r="Y179" i="1"/>
  <c r="X173" i="1"/>
  <c r="X194" i="1"/>
  <c r="X253" i="1"/>
  <c r="Y194" i="1"/>
  <c r="Y253" i="1"/>
  <c r="Y252" i="1"/>
  <c r="Y10" i="1"/>
  <c r="Y231" i="1"/>
  <c r="Y183" i="1"/>
  <c r="CH117" i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182" i="1"/>
  <c r="Z196" i="1"/>
  <c r="CI209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G21" i="4" l="1"/>
  <c r="JY16" i="4" s="1"/>
  <c r="KE21" i="4"/>
  <c r="Z134" i="1"/>
  <c r="CH131" i="1"/>
  <c r="Z182" i="1"/>
  <c r="AA196" i="1"/>
  <c r="AA11" i="1"/>
  <c r="AA188" i="1"/>
  <c r="AA249" i="1"/>
  <c r="AA206" i="1"/>
  <c r="AA205" i="1" s="1"/>
  <c r="KC21" i="4"/>
  <c r="JQ8" i="4"/>
  <c r="JU15" i="4"/>
  <c r="JU20" i="4" s="1"/>
  <c r="JS8" i="4"/>
  <c r="JS20" i="4" s="1"/>
  <c r="KH8" i="4"/>
  <c r="JW7" i="4"/>
  <c r="JT15" i="4"/>
  <c r="JQ7" i="4"/>
  <c r="X157" i="1"/>
  <c r="JS7" i="4"/>
  <c r="CL19" i="1"/>
  <c r="CK17" i="1"/>
  <c r="CK28" i="1"/>
  <c r="CL28" i="1"/>
  <c r="CL17" i="1"/>
  <c r="CL181" i="1"/>
  <c r="CL248" i="1"/>
  <c r="CL246" i="1"/>
  <c r="CL92" i="1"/>
  <c r="JV15" i="4"/>
  <c r="JV20" i="4" s="1"/>
  <c r="JT21" i="4"/>
  <c r="KD15" i="4"/>
  <c r="KD20" i="4" s="1"/>
  <c r="KA8" i="4"/>
  <c r="KA20" i="4" s="1"/>
  <c r="KG14" i="4"/>
  <c r="KG19" i="4" s="1"/>
  <c r="KE8" i="4"/>
  <c r="KG15" i="4"/>
  <c r="JX15" i="4"/>
  <c r="JR8" i="4"/>
  <c r="JR20" i="4" s="1"/>
  <c r="CL79" i="1" s="1"/>
  <c r="JT14" i="4"/>
  <c r="KD14" i="4"/>
  <c r="KB15" i="4"/>
  <c r="KB20" i="4" s="1"/>
  <c r="KD8" i="4"/>
  <c r="JW14" i="4"/>
  <c r="JU7" i="4"/>
  <c r="JU19" i="4" s="1"/>
  <c r="JT7" i="4"/>
  <c r="JY14" i="4"/>
  <c r="KD7" i="4"/>
  <c r="KF7" i="4"/>
  <c r="KG8" i="4"/>
  <c r="JV7" i="4"/>
  <c r="JQ14" i="4"/>
  <c r="CL185" i="1"/>
  <c r="CL157" i="1"/>
  <c r="CL165" i="1" s="1"/>
  <c r="CL166" i="1" s="1"/>
  <c r="CI16" i="1"/>
  <c r="CL244" i="1"/>
  <c r="CL225" i="1"/>
  <c r="CL188" i="1"/>
  <c r="CL11" i="1"/>
  <c r="CJ161" i="1"/>
  <c r="CK209" i="1" s="1"/>
  <c r="KC8" i="4"/>
  <c r="KC20" i="4" s="1"/>
  <c r="KE15" i="4"/>
  <c r="KE20" i="4" s="1"/>
  <c r="X16" i="1"/>
  <c r="JX8" i="4"/>
  <c r="CJ156" i="1"/>
  <c r="CJ185" i="1" s="1"/>
  <c r="CJ184" i="1" s="1"/>
  <c r="CK184" i="1" s="1"/>
  <c r="KH14" i="4"/>
  <c r="JX7" i="4"/>
  <c r="JX19" i="4" s="1"/>
  <c r="JW15" i="4"/>
  <c r="JW20" i="4" s="1"/>
  <c r="KE7" i="4"/>
  <c r="JR7" i="4"/>
  <c r="JR19" i="4" s="1"/>
  <c r="CL78" i="1" s="1"/>
  <c r="CJ131" i="1"/>
  <c r="CK131" i="1" s="1"/>
  <c r="CJ202" i="1"/>
  <c r="JZ14" i="4"/>
  <c r="JV14" i="4"/>
  <c r="JV8" i="4"/>
  <c r="KB14" i="4"/>
  <c r="KF15" i="4"/>
  <c r="KF20" i="4" s="1"/>
  <c r="Y182" i="1"/>
  <c r="X27" i="1"/>
  <c r="KC7" i="4"/>
  <c r="KC19" i="4" s="1"/>
  <c r="CJ120" i="1"/>
  <c r="Z156" i="1"/>
  <c r="KH7" i="4"/>
  <c r="KB21" i="4"/>
  <c r="KE14" i="4"/>
  <c r="JT8" i="4"/>
  <c r="KA14" i="4"/>
  <c r="JZ8" i="4"/>
  <c r="JS21" i="4"/>
  <c r="JZ15" i="4"/>
  <c r="JZ20" i="4" s="1"/>
  <c r="JY8" i="4"/>
  <c r="JY20" i="4" s="1"/>
  <c r="KA7" i="4"/>
  <c r="CJ128" i="1"/>
  <c r="CJ148" i="1"/>
  <c r="CJ182" i="1" s="1"/>
  <c r="Y138" i="1"/>
  <c r="Y33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Z175" i="1"/>
  <c r="Z248" i="1"/>
  <c r="CH179" i="1"/>
  <c r="CI179" i="1" s="1"/>
  <c r="CH148" i="1"/>
  <c r="Z181" i="1"/>
  <c r="Z27" i="1"/>
  <c r="Y98" i="1"/>
  <c r="Y188" i="1"/>
  <c r="Y27" i="1"/>
  <c r="Y16" i="1"/>
  <c r="Y11" i="1"/>
  <c r="CI117" i="1"/>
  <c r="CH120" i="1"/>
  <c r="CH248" i="1" s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24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I131" i="1"/>
  <c r="CI134" i="1" s="1"/>
  <c r="CJ33" i="1" s="1"/>
  <c r="CH134" i="1"/>
  <c r="X181" i="1"/>
  <c r="Z138" i="1"/>
  <c r="AA203" i="1" s="1"/>
  <c r="AA201" i="1" s="1"/>
  <c r="Z33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V19" i="4" l="1"/>
  <c r="JY21" i="4"/>
  <c r="JU9" i="4" s="1"/>
  <c r="JU21" i="4" s="1"/>
  <c r="JQ16" i="4"/>
  <c r="KG20" i="4"/>
  <c r="JX20" i="4"/>
  <c r="JT19" i="4"/>
  <c r="KD19" i="4"/>
  <c r="JW19" i="4"/>
  <c r="JQ19" i="4"/>
  <c r="CK78" i="1" s="1"/>
  <c r="KA19" i="4"/>
  <c r="KB19" i="4"/>
  <c r="JQ20" i="4"/>
  <c r="CK79" i="1" s="1"/>
  <c r="Y181" i="1"/>
  <c r="JS19" i="4"/>
  <c r="Z157" i="1"/>
  <c r="AA197" i="1"/>
  <c r="AA198" i="1" s="1"/>
  <c r="AA199" i="1" s="1"/>
  <c r="CJ248" i="1"/>
  <c r="KH19" i="4"/>
  <c r="KE19" i="4"/>
  <c r="JT20" i="4"/>
  <c r="CK29" i="1"/>
  <c r="CK34" i="1"/>
  <c r="CK38" i="1" s="1"/>
  <c r="CL184" i="1"/>
  <c r="CL186" i="1"/>
  <c r="CI17" i="1"/>
  <c r="CI28" i="1"/>
  <c r="X17" i="1"/>
  <c r="X28" i="1"/>
  <c r="CL31" i="1"/>
  <c r="CL250" i="1"/>
  <c r="CL29" i="1"/>
  <c r="CL232" i="1"/>
  <c r="CL233" i="1" s="1"/>
  <c r="CL34" i="1"/>
  <c r="CL38" i="1" s="1"/>
  <c r="CL104" i="1"/>
  <c r="CL108" i="1"/>
  <c r="CL111" i="1" s="1"/>
  <c r="CL96" i="1"/>
  <c r="CL103" i="1"/>
  <c r="CL107" i="1"/>
  <c r="CL110" i="1" s="1"/>
  <c r="CL95" i="1"/>
  <c r="CL249" i="1"/>
  <c r="CL206" i="1"/>
  <c r="Z185" i="1"/>
  <c r="CJ92" i="1"/>
  <c r="CJ129" i="1"/>
  <c r="X165" i="1"/>
  <c r="CJ157" i="1"/>
  <c r="CJ206" i="1"/>
  <c r="Z197" i="1"/>
  <c r="Z198" i="1" s="1"/>
  <c r="CJ249" i="1"/>
  <c r="CJ165" i="1"/>
  <c r="CJ166" i="1" s="1"/>
  <c r="Y246" i="1"/>
  <c r="Y244" i="1"/>
  <c r="CJ244" i="1"/>
  <c r="CJ246" i="1"/>
  <c r="CH182" i="1"/>
  <c r="CH157" i="1"/>
  <c r="Z17" i="1"/>
  <c r="Z28" i="1"/>
  <c r="Y165" i="1"/>
  <c r="Y166" i="1" s="1"/>
  <c r="CK104" i="1"/>
  <c r="CK108" i="1"/>
  <c r="CK103" i="1"/>
  <c r="CK107" i="1"/>
  <c r="CM27" i="1"/>
  <c r="X244" i="1"/>
  <c r="Y203" i="1"/>
  <c r="Y201" i="1" s="1"/>
  <c r="X166" i="1"/>
  <c r="Z18" i="1"/>
  <c r="Y18" i="1"/>
  <c r="Y28" i="1"/>
  <c r="Y17" i="1"/>
  <c r="CH92" i="1"/>
  <c r="CH129" i="1"/>
  <c r="CU133" i="1"/>
  <c r="CV133" i="1" s="1"/>
  <c r="CW133" i="1" s="1"/>
  <c r="CX133" i="1" s="1"/>
  <c r="AC133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CI138" i="1"/>
  <c r="CJ203" i="1" s="1"/>
  <c r="CJ201" i="1" s="1"/>
  <c r="Z203" i="1"/>
  <c r="Z201" i="1" s="1"/>
  <c r="Z246" i="1"/>
  <c r="Z244" i="1"/>
  <c r="CI33" i="1"/>
  <c r="CH138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Z165" i="1" l="1"/>
  <c r="Z166" i="1" s="1"/>
  <c r="JX16" i="4"/>
  <c r="AA210" i="1"/>
  <c r="AA211" i="1" s="1"/>
  <c r="AA213" i="1"/>
  <c r="AA30" i="1"/>
  <c r="AA250" i="1"/>
  <c r="AA251" i="1" s="1"/>
  <c r="CK40" i="1"/>
  <c r="CK41" i="1"/>
  <c r="CL226" i="1"/>
  <c r="CL112" i="1"/>
  <c r="X112" i="1"/>
  <c r="X29" i="1"/>
  <c r="X232" i="1"/>
  <c r="X233" i="1" s="1"/>
  <c r="X34" i="1"/>
  <c r="CL40" i="1"/>
  <c r="CL41" i="1"/>
  <c r="CL251" i="1"/>
  <c r="Z186" i="1"/>
  <c r="Z184" i="1"/>
  <c r="CJ94" i="1"/>
  <c r="CJ96" i="1"/>
  <c r="CJ95" i="1"/>
  <c r="CH181" i="1"/>
  <c r="CI181" i="1" s="1"/>
  <c r="CH186" i="1"/>
  <c r="CL189" i="1" s="1"/>
  <c r="Y250" i="1"/>
  <c r="Y251" i="1" s="1"/>
  <c r="Y30" i="1"/>
  <c r="CI38" i="1"/>
  <c r="Z250" i="1"/>
  <c r="Z251" i="1" s="1"/>
  <c r="Z34" i="1"/>
  <c r="Z112" i="1"/>
  <c r="Z29" i="1"/>
  <c r="Z232" i="1"/>
  <c r="Z233" i="1" s="1"/>
  <c r="CG29" i="1"/>
  <c r="CG232" i="1"/>
  <c r="CG233" i="1" s="1"/>
  <c r="CG34" i="1"/>
  <c r="CG38" i="1" s="1"/>
  <c r="CK30" i="1"/>
  <c r="CI250" i="1"/>
  <c r="CI251" i="1" s="1"/>
  <c r="CK112" i="1"/>
  <c r="CM17" i="1"/>
  <c r="Y112" i="1"/>
  <c r="Y34" i="1"/>
  <c r="Y29" i="1"/>
  <c r="Y232" i="1"/>
  <c r="Y233" i="1" s="1"/>
  <c r="Z30" i="1"/>
  <c r="CH94" i="1"/>
  <c r="CH96" i="1"/>
  <c r="CH95" i="1"/>
  <c r="Y189" i="1"/>
  <c r="Y190" i="1" s="1"/>
  <c r="CY133" i="1"/>
  <c r="CZ133" i="1" s="1"/>
  <c r="DA133" i="1" s="1"/>
  <c r="DB133" i="1" s="1"/>
  <c r="AE133" i="1" s="1"/>
  <c r="AD133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KH15" i="4" l="1"/>
  <c r="CL114" i="1"/>
  <c r="CL113" i="1"/>
  <c r="CI41" i="1"/>
  <c r="CI40" i="1"/>
  <c r="Z189" i="1"/>
  <c r="Z190" i="1" s="1"/>
  <c r="AA189" i="1"/>
  <c r="AA190" i="1" s="1"/>
  <c r="CK48" i="1"/>
  <c r="CK42" i="1"/>
  <c r="X38" i="1"/>
  <c r="X55" i="1"/>
  <c r="CJ38" i="1"/>
  <c r="CL55" i="1"/>
  <c r="CL44" i="1"/>
  <c r="CL234" i="1"/>
  <c r="CL48" i="1"/>
  <c r="CL42" i="1"/>
  <c r="CL245" i="1" s="1"/>
  <c r="CI146" i="1"/>
  <c r="CI182" i="1"/>
  <c r="CK134" i="1"/>
  <c r="CL132" i="1"/>
  <c r="CL131" i="1" s="1"/>
  <c r="Z55" i="1"/>
  <c r="Z38" i="1"/>
  <c r="CG40" i="1"/>
  <c r="CG41" i="1"/>
  <c r="Y55" i="1"/>
  <c r="Y38" i="1"/>
  <c r="CN202" i="1"/>
  <c r="CO140" i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KH20" i="4" l="1"/>
  <c r="JW9" i="4"/>
  <c r="CL227" i="1"/>
  <c r="CI42" i="1"/>
  <c r="CI245" i="1" s="1"/>
  <c r="CI234" i="1"/>
  <c r="CI48" i="1"/>
  <c r="CK52" i="1"/>
  <c r="CK66" i="1"/>
  <c r="X40" i="1"/>
  <c r="X41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Z41" i="1"/>
  <c r="AA43" i="1" s="1"/>
  <c r="Z40" i="1"/>
  <c r="Y41" i="1"/>
  <c r="Y40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O202" i="1"/>
  <c r="CP140" i="1"/>
  <c r="CP202" i="1" s="1"/>
  <c r="CK43" i="1"/>
  <c r="CJ227" i="1"/>
  <c r="CG42" i="1"/>
  <c r="CG245" i="1" s="1"/>
  <c r="CG234" i="1"/>
  <c r="CG48" i="1"/>
  <c r="CH44" i="1"/>
  <c r="CI44" i="1"/>
  <c r="CH48" i="1"/>
  <c r="CJ44" i="1"/>
  <c r="CJ42" i="1"/>
  <c r="CJ245" i="1" s="1"/>
  <c r="CK44" i="1"/>
  <c r="CJ234" i="1"/>
  <c r="CJ48" i="1"/>
  <c r="CL54" i="1" s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X19" i="3"/>
  <c r="AZ30" i="3"/>
  <c r="AY10" i="3"/>
  <c r="AP5" i="3"/>
  <c r="AV28" i="3"/>
  <c r="AF12" i="3"/>
  <c r="AW14" i="3"/>
  <c r="AW33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V29" i="3"/>
  <c r="AI5" i="6" a="1"/>
  <c r="D6" i="6" a="1"/>
  <c r="EM7" i="4" a="1"/>
  <c r="ET14" i="4" a="1"/>
  <c r="AV8" i="3"/>
  <c r="AT38" i="3"/>
  <c r="I6" i="6" a="1"/>
  <c r="AF29" i="3"/>
  <c r="AS18" i="3"/>
  <c r="AY6" i="3"/>
  <c r="AY12" i="3"/>
  <c r="ET8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Y34" i="3"/>
  <c r="AT9" i="3"/>
  <c r="AU35" i="3"/>
  <c r="AV22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V17" i="3"/>
  <c r="AF6" i="3"/>
  <c r="AS30" i="3"/>
  <c r="AY38" i="3"/>
  <c r="AV31" i="3"/>
  <c r="AW32" i="3"/>
  <c r="AV6" i="6" a="1"/>
  <c r="AS10" i="3"/>
  <c r="EP13" i="4" a="1"/>
  <c r="EW15" i="4" a="1"/>
  <c r="ER5" i="4" a="1"/>
  <c r="EL9" i="4" a="1"/>
  <c r="EM12" i="4" a="1"/>
  <c r="EV8" i="4" a="1"/>
  <c r="EV12" i="4" a="1"/>
  <c r="AX9" i="3"/>
  <c r="AX46" i="3"/>
  <c r="AU7" i="3"/>
  <c r="ET15" i="4" a="1"/>
  <c r="EQ8" i="4" a="1"/>
  <c r="F45" i="3"/>
  <c r="AF16" i="3"/>
  <c r="AZ19" i="3"/>
  <c r="ES8" i="4" a="1"/>
  <c r="EW5" i="4" a="1"/>
  <c r="ET9" i="4" a="1"/>
  <c r="AU41" i="3"/>
  <c r="AX24" i="3"/>
  <c r="AY21" i="3"/>
  <c r="AX39" i="3"/>
  <c r="AZ9" i="3"/>
  <c r="L5" i="6" a="1"/>
  <c r="AZ26" i="3"/>
  <c r="ES16" i="4" a="1"/>
  <c r="EV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R6" i="3"/>
  <c r="AS20" i="3"/>
  <c r="AX40" i="3"/>
  <c r="AY31" i="3"/>
  <c r="AS37" i="3"/>
  <c r="AW34" i="3"/>
  <c r="AV5" i="3"/>
  <c r="AZ45" i="3"/>
  <c r="AK6" i="6" a="1"/>
  <c r="AJ6" i="6" a="1"/>
  <c r="AS26" i="3"/>
  <c r="AF7" i="3"/>
  <c r="AW19" i="3"/>
  <c r="AC5" i="6" a="1"/>
  <c r="AT36" i="3"/>
  <c r="EQ15" i="4" a="1"/>
  <c r="ER8" i="4" a="1"/>
  <c r="EN11" i="4" a="1"/>
  <c r="ER9" i="4" a="1"/>
  <c r="J6" i="6" a="1"/>
  <c r="AX42" i="3"/>
  <c r="ET12" i="4" a="1"/>
  <c r="AU23" i="3"/>
  <c r="AW17" i="3"/>
  <c r="AF27" i="3"/>
  <c r="AF46" i="3"/>
  <c r="AO6" i="6" a="1"/>
  <c r="AZ27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U39" i="3"/>
  <c r="AU21" i="3"/>
  <c r="AN6" i="6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F34" i="3"/>
  <c r="AU40" i="3"/>
  <c r="AB5" i="6" a="1"/>
  <c r="AV13" i="3"/>
  <c r="AP7" i="3"/>
  <c r="AZ34" i="3"/>
  <c r="EP15" i="4" a="1"/>
  <c r="EO9" i="4" a="1"/>
  <c r="EO7" i="4" a="1"/>
  <c r="EN16" i="4" a="1"/>
  <c r="EU6" i="4" a="1"/>
  <c r="EU5" i="4" a="1"/>
  <c r="EN9" i="4" a="1"/>
  <c r="AX13" i="3"/>
  <c r="EO12" i="4" a="1"/>
  <c r="EP11" i="4" a="1"/>
  <c r="ER7" i="4" a="1"/>
  <c r="ES12" i="4" a="1"/>
  <c r="EL12" i="4" a="1"/>
  <c r="EM6" i="4" a="1"/>
  <c r="EV11" i="4" a="1"/>
  <c r="AT24" i="3"/>
  <c r="AW28" i="3"/>
  <c r="AU16" i="3"/>
  <c r="AU19" i="3"/>
  <c r="AS8" i="3"/>
  <c r="AY25" i="3"/>
  <c r="AU5" i="3"/>
  <c r="C5" i="3"/>
  <c r="AY35" i="3"/>
  <c r="AX45" i="3"/>
  <c r="AZ33" i="3"/>
  <c r="AU37" i="3"/>
  <c r="ER12" i="4" a="1"/>
  <c r="AZ39" i="3"/>
  <c r="AT32" i="3"/>
  <c r="AZ32" i="3"/>
  <c r="AM5" i="6" a="1"/>
  <c r="EQ12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S22" i="3"/>
  <c r="AS13" i="3"/>
  <c r="AU26" i="3"/>
  <c r="AD6" i="6" a="1"/>
  <c r="AT6" i="6" a="1"/>
  <c r="AV27" i="3"/>
  <c r="AV12" i="3"/>
  <c r="AF5" i="6" a="1"/>
  <c r="EU14" i="4" a="1"/>
  <c r="EV7" i="4" a="1"/>
  <c r="EM8" i="4" a="1"/>
  <c r="EN12" i="4" a="1"/>
  <c r="AT33" i="3"/>
  <c r="ES5" i="4" a="1"/>
  <c r="EL6" i="4" a="1"/>
  <c r="EU7" i="4" a="1"/>
  <c r="ER6" i="4" a="1"/>
  <c r="AZ11" i="3"/>
  <c r="AY42" i="3"/>
  <c r="EM5" i="4" a="1"/>
  <c r="AW13" i="3"/>
  <c r="AY13" i="3"/>
  <c r="AZ23" i="3"/>
  <c r="AV45" i="3"/>
  <c r="AY8" i="3"/>
  <c r="EO16" i="4" a="1"/>
  <c r="EP16" i="4" a="1"/>
  <c r="AS24" i="3"/>
  <c r="Z5" i="6" a="1"/>
  <c r="AA6" i="6" a="1"/>
  <c r="AF23" i="3"/>
  <c r="AF17" i="3"/>
  <c r="EM11" i="4" a="1"/>
  <c r="EL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W15" i="3"/>
  <c r="AT35" i="3"/>
  <c r="AZ46" i="3"/>
  <c r="ER11" i="4" a="1"/>
  <c r="EN7" i="4" a="1"/>
  <c r="EL13" i="4" a="1"/>
  <c r="EO6" i="4" a="1"/>
  <c r="EW9" i="4" a="1"/>
  <c r="AW46" i="3"/>
  <c r="AV20" i="3"/>
  <c r="AS25" i="3"/>
  <c r="AX27" i="3"/>
  <c r="ET11" i="4" a="1"/>
  <c r="AS29" i="3"/>
  <c r="AU46" i="3"/>
  <c r="AF5" i="3"/>
  <c r="AT3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U15" i="3"/>
  <c r="AJ5" i="6" a="1"/>
  <c r="AV40" i="3"/>
  <c r="AV26" i="3"/>
  <c r="AW23" i="3"/>
  <c r="AQ6" i="6" a="1"/>
  <c r="AZ24" i="3"/>
  <c r="AU12" i="3"/>
  <c r="AY15" i="3"/>
  <c r="AY37" i="3"/>
  <c r="EV13" i="4" a="1"/>
  <c r="ES13" i="4" a="1"/>
  <c r="AU6" i="6" a="1"/>
  <c r="AS34" i="3"/>
  <c r="AV23" i="3"/>
  <c r="AF31" i="3"/>
  <c r="AF39" i="3"/>
  <c r="EM9" i="4" a="1"/>
  <c r="AT28" i="3"/>
  <c r="AF6" i="6" a="1"/>
  <c r="AR5" i="3"/>
  <c r="AU30" i="3"/>
  <c r="EP12" i="4" a="1"/>
  <c r="EM14" i="4" a="1"/>
  <c r="EM13" i="4" a="1"/>
  <c r="EV1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T27" i="3"/>
  <c r="EV15" i="4" a="1"/>
  <c r="O5" i="6" a="1"/>
  <c r="AZ12" i="3"/>
  <c r="X5" i="6" a="1"/>
  <c r="ER16" i="4" a="1"/>
  <c r="JW21" i="4" l="1"/>
  <c r="KD9" i="4"/>
  <c r="AB131" i="1"/>
  <c r="CQ131" i="1"/>
  <c r="CR131" i="1" s="1"/>
  <c r="CS131" i="1" s="1"/>
  <c r="CT131" i="1" s="1"/>
  <c r="CJ54" i="1"/>
  <c r="CG193" i="1"/>
  <c r="CG195" i="1" s="1"/>
  <c r="CG52" i="1"/>
  <c r="CG66" i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77" i="3"/>
  <c r="AY66" i="3"/>
  <c r="AF72" i="3"/>
  <c r="AV83" i="3"/>
  <c r="AW97" i="3"/>
  <c r="AZ94" i="3"/>
  <c r="AW86" i="3"/>
  <c r="AT80" i="3"/>
  <c r="AW59" i="3"/>
  <c r="AW48" i="3"/>
  <c r="AV64" i="3"/>
  <c r="AV81" i="3"/>
  <c r="AF93" i="3"/>
  <c r="C97" i="3"/>
  <c r="AW92" i="3"/>
  <c r="AV91" i="3"/>
  <c r="AT78" i="3"/>
  <c r="C61" i="3"/>
  <c r="AX82" i="3"/>
  <c r="AW65" i="3"/>
  <c r="AF55" i="3"/>
  <c r="AX70" i="3"/>
  <c r="AT79" i="3"/>
  <c r="C64" i="3"/>
  <c r="AY58" i="3"/>
  <c r="C81" i="3"/>
  <c r="AS80" i="3"/>
  <c r="AV61" i="3"/>
  <c r="AT56" i="3"/>
  <c r="AS64" i="3"/>
  <c r="AU65" i="3"/>
  <c r="C78" i="3"/>
  <c r="AX65" i="3"/>
  <c r="AT48" i="3"/>
  <c r="AY70" i="3"/>
  <c r="AY83" i="3"/>
  <c r="AY79" i="3"/>
  <c r="AX80" i="3"/>
  <c r="AT9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C60" i="3"/>
  <c r="AX54" i="3"/>
  <c r="AS85" i="3"/>
  <c r="AX48" i="3"/>
  <c r="AV57" i="3"/>
  <c r="C91" i="3"/>
  <c r="AU54" i="3"/>
  <c r="AY72" i="3"/>
  <c r="AT70" i="3"/>
  <c r="AZ69" i="3"/>
  <c r="AY82" i="3"/>
  <c r="AX68" i="3"/>
  <c r="AX50" i="3"/>
  <c r="AZ73" i="3"/>
  <c r="AT69" i="3"/>
  <c r="AZ88" i="3"/>
  <c r="AS76" i="3"/>
  <c r="AT73" i="3"/>
  <c r="AU48" i="3"/>
  <c r="AW55" i="3"/>
  <c r="AS89" i="3"/>
  <c r="AT83" i="3"/>
  <c r="AZ55" i="3"/>
  <c r="AS69" i="3"/>
  <c r="AV60" i="3"/>
  <c r="AX77" i="3"/>
  <c r="AT58" i="3"/>
  <c r="AY97" i="3"/>
  <c r="AS68" i="3"/>
  <c r="AU73" i="3"/>
  <c r="AX90" i="3"/>
  <c r="AF87" i="3"/>
  <c r="AU97" i="3"/>
  <c r="AV78" i="3"/>
  <c r="AW85" i="3"/>
  <c r="AU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Y50" i="3"/>
  <c r="AZ97" i="3"/>
  <c r="AW62" i="3"/>
  <c r="AW87" i="3"/>
  <c r="AF60" i="3"/>
  <c r="AX62" i="3"/>
  <c r="AT63" i="3"/>
  <c r="AF78" i="3"/>
  <c r="C54" i="3"/>
  <c r="AZ47" i="3"/>
  <c r="AF88" i="3"/>
  <c r="AS90" i="3"/>
  <c r="AU70" i="3"/>
  <c r="AS92" i="3"/>
  <c r="AT47" i="3"/>
  <c r="AW93" i="3"/>
  <c r="AX79" i="3"/>
  <c r="AZ62" i="3"/>
  <c r="AU84" i="3"/>
  <c r="AV58" i="3"/>
  <c r="C74" i="3"/>
  <c r="AS97" i="3"/>
  <c r="AY63" i="3"/>
  <c r="AV76" i="3"/>
  <c r="AF47" i="3"/>
  <c r="C92" i="3"/>
  <c r="AV50" i="3"/>
  <c r="AU87" i="3"/>
  <c r="AS82" i="3"/>
  <c r="AV73" i="3"/>
  <c r="AU5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C55" i="3"/>
  <c r="AV71" i="3"/>
  <c r="AS93" i="3"/>
  <c r="AU63" i="3"/>
  <c r="AT86" i="3"/>
  <c r="AV87" i="3"/>
  <c r="AY75" i="3"/>
  <c r="AX56" i="3"/>
  <c r="AZ63" i="3"/>
  <c r="AF81" i="3"/>
  <c r="AY49" i="3"/>
  <c r="AZ79" i="3"/>
  <c r="AX88" i="3"/>
  <c r="AS75" i="3"/>
  <c r="AZ90" i="3"/>
  <c r="AU57" i="3"/>
  <c r="AF76" i="3"/>
  <c r="AU50" i="3"/>
  <c r="AY57" i="3"/>
  <c r="AU62" i="3"/>
  <c r="AV86" i="3"/>
  <c r="AX61" i="3"/>
  <c r="AY67" i="3"/>
  <c r="AT55" i="3"/>
  <c r="AS57" i="3"/>
  <c r="AU86" i="3"/>
  <c r="AZ80" i="3"/>
  <c r="C82" i="3"/>
  <c r="AW91" i="3"/>
  <c r="AW57" i="3"/>
  <c r="AS87" i="3"/>
  <c r="AW71" i="3"/>
  <c r="AF90" i="3"/>
  <c r="C96" i="3"/>
  <c r="AZ59" i="3"/>
  <c r="AX83" i="3"/>
  <c r="AS59" i="3"/>
  <c r="AY74" i="3"/>
  <c r="AZ8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Z81" i="3"/>
  <c r="AU61" i="3"/>
  <c r="AF82" i="3"/>
  <c r="AT93" i="3"/>
  <c r="AF79" i="3"/>
  <c r="AV95" i="3"/>
  <c r="AU76" i="3"/>
  <c r="C63" i="3"/>
  <c r="AY86" i="3"/>
  <c r="AZ95" i="3"/>
  <c r="AX59" i="3"/>
  <c r="AU49" i="3"/>
  <c r="AY91" i="3"/>
  <c r="C58" i="3"/>
  <c r="AW80" i="3"/>
  <c r="AW66" i="3"/>
  <c r="AW56" i="3"/>
  <c r="AY64" i="3"/>
  <c r="AV54" i="3"/>
  <c r="AS91" i="3"/>
  <c r="AZ86" i="3"/>
  <c r="AX91" i="3"/>
  <c r="AT74" i="3"/>
  <c r="AS72" i="3"/>
  <c r="AS79" i="3"/>
  <c r="AY6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AT95" i="3"/>
  <c r="AU83" i="3"/>
  <c r="AX47" i="3"/>
  <c r="AT60" i="3"/>
  <c r="AZ87" i="3"/>
  <c r="AU79" i="3"/>
  <c r="AT88" i="3"/>
  <c r="AV80" i="3"/>
  <c r="C65" i="3"/>
  <c r="KD21" i="4" l="1"/>
  <c r="JQ9" i="4"/>
  <c r="AC131" i="1"/>
  <c r="CU131" i="1"/>
  <c r="CV131" i="1" s="1"/>
  <c r="CW131" i="1" s="1"/>
  <c r="CX131" i="1" s="1"/>
  <c r="CL87" i="1"/>
  <c r="CL86" i="1"/>
  <c r="CK69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JQ21" i="4" l="1"/>
  <c r="CK77" i="1" s="1"/>
  <c r="JR9" i="4"/>
  <c r="JY7" i="4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K85" i="1" l="1"/>
  <c r="CK102" i="1"/>
  <c r="JY19" i="4"/>
  <c r="JZ7" i="4"/>
  <c r="JZ19" i="4" s="1"/>
  <c r="CF28" i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AB202" i="1" l="1"/>
  <c r="CM63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W9" i="2"/>
  <c r="S35" i="2"/>
  <c r="K5" i="2"/>
  <c r="J24" i="2"/>
  <c r="X41" i="2"/>
  <c r="D9" i="2"/>
  <c r="O1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T35" i="2"/>
  <c r="X19" i="2"/>
  <c r="V26" i="2"/>
  <c r="K29" i="2"/>
  <c r="K36" i="2"/>
  <c r="H6" i="2"/>
  <c r="P8" i="2"/>
  <c r="O11" i="2"/>
  <c r="V22" i="2"/>
  <c r="W15" i="2"/>
  <c r="T6" i="2"/>
  <c r="AR49" i="3"/>
  <c r="N34" i="2"/>
  <c r="AR85" i="3"/>
  <c r="G12" i="2"/>
  <c r="U9" i="2"/>
  <c r="AR61" i="3"/>
  <c r="F8" i="3"/>
  <c r="AR24" i="3"/>
  <c r="E14" i="3"/>
  <c r="D21" i="3"/>
  <c r="AR25" i="3"/>
  <c r="Q45" i="3"/>
  <c r="AD7" i="3"/>
  <c r="M45" i="3"/>
  <c r="T5" i="2"/>
  <c r="K33" i="2"/>
  <c r="U11" i="2"/>
  <c r="D28" i="2"/>
  <c r="O22" i="2"/>
  <c r="D10" i="2"/>
  <c r="G24" i="2"/>
  <c r="D33" i="2"/>
  <c r="Q20" i="2"/>
  <c r="C14" i="2"/>
  <c r="AR55" i="3"/>
  <c r="K22" i="2"/>
  <c r="AR84" i="3"/>
  <c r="C15" i="2"/>
  <c r="C30" i="2"/>
  <c r="AR78" i="3"/>
  <c r="F22" i="3"/>
  <c r="F19" i="3"/>
  <c r="AR33" i="3"/>
  <c r="V45" i="3"/>
  <c r="K46" i="3"/>
  <c r="AQ45" i="3"/>
  <c r="E13" i="3"/>
  <c r="D38" i="3"/>
  <c r="E34" i="3"/>
  <c r="D31" i="3"/>
  <c r="F41" i="3"/>
  <c r="E16" i="4" a="1"/>
  <c r="DM5" i="4" a="1"/>
  <c r="BL13" i="4" a="1"/>
  <c r="J9" i="4" a="1"/>
  <c r="D14" i="4" a="1"/>
  <c r="DK5" i="4" a="1"/>
  <c r="DF15" i="4" a="1"/>
  <c r="DV7" i="4" a="1"/>
  <c r="DP9" i="4" a="1"/>
  <c r="T7" i="4" a="1"/>
  <c r="DG15" i="4" a="1"/>
  <c r="DM15" i="4" a="1"/>
  <c r="AE6" i="4" a="1"/>
  <c r="DO12" i="4" a="1"/>
  <c r="DC7" i="4" a="1"/>
  <c r="AQ15" i="4" a="1"/>
  <c r="AG9" i="4" a="1"/>
  <c r="DX6" i="4" a="1"/>
  <c r="AK6" i="4" a="1"/>
  <c r="BE7" i="4" a="1"/>
  <c r="AU11" i="4" a="1"/>
  <c r="BS12" i="4" a="1"/>
  <c r="AI8" i="4" a="1"/>
  <c r="CG8" i="4" a="1"/>
  <c r="CF6" i="4" a="1"/>
  <c r="CS12" i="4" a="1"/>
  <c r="N13" i="4" a="1"/>
  <c r="CH14" i="4" a="1"/>
  <c r="AN11" i="4" a="1"/>
  <c r="DJ6" i="4" a="1"/>
  <c r="CH6" i="4" a="1"/>
  <c r="CB5" i="4" a="1"/>
  <c r="BG7" i="4" a="1"/>
  <c r="K9" i="4" a="1"/>
  <c r="DH6" i="4" a="1"/>
  <c r="DT16" i="4" a="1"/>
  <c r="EF14" i="4" a="1"/>
  <c r="BO16" i="4" a="1"/>
  <c r="D11" i="4" a="1"/>
  <c r="CS5" i="4" a="1"/>
  <c r="DN15" i="4" a="1"/>
  <c r="BM9" i="4" a="1"/>
  <c r="BJ8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D19" i="2"/>
  <c r="D47" i="2"/>
  <c r="E14" i="2"/>
  <c r="M8" i="2"/>
  <c r="T7" i="2"/>
  <c r="L15" i="2"/>
  <c r="J36" i="2"/>
  <c r="L22" i="2"/>
  <c r="X92" i="2"/>
  <c r="H28" i="2"/>
  <c r="AR50" i="3"/>
  <c r="J23" i="2"/>
  <c r="AR91" i="3"/>
  <c r="N20" i="2"/>
  <c r="S11" i="2"/>
  <c r="AF48" i="3"/>
  <c r="G11" i="3"/>
  <c r="G5" i="3"/>
  <c r="AD18" i="3"/>
  <c r="AR40" i="3"/>
  <c r="C46" i="3"/>
  <c r="G18" i="3"/>
  <c r="G10" i="3"/>
  <c r="AR14" i="3"/>
  <c r="F15" i="3"/>
  <c r="AR23" i="3"/>
  <c r="R45" i="3"/>
  <c r="AZ14" i="4" a="1"/>
  <c r="DZ14" i="4" a="1"/>
  <c r="EJ5" i="4" a="1"/>
  <c r="AT14" i="4" a="1"/>
  <c r="E14" i="4" a="1"/>
  <c r="DL14" i="4" a="1"/>
  <c r="DR16" i="4" a="1"/>
  <c r="D6" i="4" a="1"/>
  <c r="BW15" i="4" a="1"/>
  <c r="T16" i="4" a="1"/>
  <c r="EG5" i="4" a="1"/>
  <c r="AQ12" i="4" a="1"/>
  <c r="X7" i="4" a="1"/>
  <c r="DU8" i="4" a="1"/>
  <c r="K14" i="4" a="1"/>
  <c r="CN14" i="4" a="1"/>
  <c r="M14" i="4" a="1"/>
  <c r="AK7" i="4" a="1"/>
  <c r="CP14" i="4" a="1"/>
  <c r="BD5" i="4" a="1"/>
  <c r="DF13" i="4" a="1"/>
  <c r="T8" i="4" a="1"/>
  <c r="DP12" i="4" a="1"/>
  <c r="BU13" i="4" a="1"/>
  <c r="BB16" i="4" a="1"/>
  <c r="AM6" i="4" a="1"/>
  <c r="BX5" i="4" a="1"/>
  <c r="BQ8" i="4" a="1"/>
  <c r="AW14" i="4" a="1"/>
  <c r="V16" i="4" a="1"/>
  <c r="AL15" i="4" a="1"/>
  <c r="V6" i="4" a="1"/>
  <c r="DZ11" i="4" a="1"/>
  <c r="EI12" i="4" a="1"/>
  <c r="BT16" i="4" a="1"/>
  <c r="DX7" i="4" a="1"/>
  <c r="AA13" i="4" a="1"/>
  <c r="AW5" i="4" a="1"/>
  <c r="G11" i="4" a="1"/>
  <c r="Y12" i="4" a="1"/>
  <c r="L16" i="4" a="1"/>
  <c r="BP12" i="4" a="1"/>
  <c r="N14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G17" i="2"/>
  <c r="R33" i="2"/>
  <c r="U34" i="2"/>
  <c r="J25" i="2"/>
  <c r="S20" i="2"/>
  <c r="P6" i="2"/>
  <c r="X27" i="2"/>
  <c r="T14" i="2"/>
  <c r="C18" i="2"/>
  <c r="J17" i="2"/>
  <c r="J5" i="2"/>
  <c r="C26" i="2"/>
  <c r="AR95" i="3"/>
  <c r="X29" i="2"/>
  <c r="J30" i="2"/>
  <c r="AA46" i="3"/>
  <c r="E25" i="3"/>
  <c r="E26" i="3"/>
  <c r="L46" i="3"/>
  <c r="D15" i="3"/>
  <c r="E42" i="3"/>
  <c r="AD46" i="3"/>
  <c r="D22" i="3"/>
  <c r="AO46" i="3"/>
  <c r="AR28" i="3"/>
  <c r="D35" i="3"/>
  <c r="AD11" i="3"/>
  <c r="X13" i="4" a="1"/>
  <c r="CI15" i="4" a="1"/>
  <c r="AK9" i="4" a="1"/>
  <c r="BR12" i="4" a="1"/>
  <c r="DL15" i="4" a="1"/>
  <c r="BT7" i="4" a="1"/>
  <c r="BQ7" i="4" a="1"/>
  <c r="K7" i="4" a="1"/>
  <c r="CQ14" i="4" a="1"/>
  <c r="EH16" i="4" a="1"/>
  <c r="BN16" i="4" a="1"/>
  <c r="BA9" i="4" a="1"/>
  <c r="CX6" i="4" a="1"/>
  <c r="N11" i="2"/>
  <c r="X23" i="2"/>
  <c r="S26" i="2"/>
  <c r="N35" i="2"/>
  <c r="J7" i="2"/>
  <c r="X63" i="2"/>
  <c r="G25" i="2"/>
  <c r="F19" i="2"/>
  <c r="G11" i="2"/>
  <c r="P25" i="2"/>
  <c r="M24" i="2"/>
  <c r="T25" i="2"/>
  <c r="D30" i="2"/>
  <c r="C33" i="2"/>
  <c r="V25" i="2"/>
  <c r="AJ46" i="3"/>
  <c r="F18" i="3"/>
  <c r="AR21" i="3"/>
  <c r="D17" i="3"/>
  <c r="E22" i="3"/>
  <c r="U45" i="3"/>
  <c r="O46" i="3"/>
  <c r="AD5" i="3"/>
  <c r="AR20" i="3"/>
  <c r="E45" i="3"/>
  <c r="AM45" i="3"/>
  <c r="F28" i="3"/>
  <c r="EJ14" i="4" a="1"/>
  <c r="EC15" i="4" a="1"/>
  <c r="BC9" i="4" a="1"/>
  <c r="J16" i="4" a="1"/>
  <c r="EG12" i="4" a="1"/>
  <c r="BF7" i="4" a="1"/>
  <c r="C15" i="4" a="1"/>
  <c r="AB13" i="4" a="1"/>
  <c r="EI14" i="4" a="1"/>
  <c r="S15" i="4" a="1"/>
  <c r="BZ5" i="4" a="1"/>
  <c r="BE12" i="4" a="1"/>
  <c r="BK6" i="4" a="1"/>
  <c r="CS8" i="4" a="1"/>
  <c r="AE7" i="4" a="1"/>
  <c r="CV12" i="4" a="1"/>
  <c r="AM5" i="4" a="1"/>
  <c r="CU8" i="4" a="1"/>
  <c r="CU9" i="4" a="1"/>
  <c r="ED9" i="4" a="1"/>
  <c r="EB8" i="4" a="1"/>
  <c r="DG5" i="4" a="1"/>
  <c r="CR5" i="4" a="1"/>
  <c r="DS6" i="4" a="1"/>
  <c r="CN15" i="4" a="1"/>
  <c r="EJ16" i="4" a="1"/>
  <c r="DO6" i="4" a="1"/>
  <c r="CP8" i="4" a="1"/>
  <c r="BM14" i="4" a="1"/>
  <c r="DT9" i="4" a="1"/>
  <c r="DY14" i="4" a="1"/>
  <c r="EF15" i="4" a="1"/>
  <c r="DS5" i="4" a="1"/>
  <c r="DX8" i="4" a="1"/>
  <c r="AW7" i="4" a="1"/>
  <c r="AA16" i="4" a="1"/>
  <c r="AJ5" i="4" a="1"/>
  <c r="BD11" i="4" a="1"/>
  <c r="AS15" i="4" a="1"/>
  <c r="W6" i="4" a="1"/>
  <c r="AR5" i="4" a="1"/>
  <c r="AG11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N9" i="2"/>
  <c r="F6" i="2"/>
  <c r="P23" i="2"/>
  <c r="X10" i="2"/>
  <c r="E29" i="2"/>
  <c r="O36" i="2"/>
  <c r="M12" i="2"/>
  <c r="C35" i="2"/>
  <c r="O10" i="2"/>
  <c r="L11" i="2"/>
  <c r="AR68" i="3"/>
  <c r="X32" i="2"/>
  <c r="AS47" i="3"/>
  <c r="C13" i="2"/>
  <c r="J34" i="2"/>
  <c r="AQ6" i="3"/>
  <c r="D19" i="3"/>
  <c r="AR9" i="3"/>
  <c r="AP45" i="3"/>
  <c r="T45" i="3"/>
  <c r="F13" i="3"/>
  <c r="AP46" i="3"/>
  <c r="G13" i="3"/>
  <c r="AO45" i="3"/>
  <c r="AH45" i="3"/>
  <c r="D14" i="3"/>
  <c r="F35" i="3"/>
  <c r="CX7" i="4" a="1"/>
  <c r="BU6" i="4" a="1"/>
  <c r="AI9" i="4" a="1"/>
  <c r="DG12" i="4" a="1"/>
  <c r="AS6" i="4" a="1"/>
  <c r="CZ12" i="4" a="1"/>
  <c r="L9" i="4" a="1"/>
  <c r="C9" i="4" a="1"/>
  <c r="CN16" i="4" a="1"/>
  <c r="DM12" i="4" a="1"/>
  <c r="BA5" i="4" a="1"/>
  <c r="M7" i="4" a="1"/>
  <c r="CN8" i="4" a="1"/>
  <c r="DY16" i="4" a="1"/>
  <c r="CV6" i="4" a="1"/>
  <c r="CU6" i="4" a="1"/>
  <c r="AY7" i="4" a="1"/>
  <c r="W13" i="4" a="1"/>
  <c r="C7" i="4" a="1"/>
  <c r="DP11" i="4" a="1"/>
  <c r="AH5" i="4" a="1"/>
  <c r="EE11" i="4" a="1"/>
  <c r="DQ14" i="4" a="1"/>
  <c r="DJ14" i="4" a="1"/>
  <c r="AY12" i="4" a="1"/>
  <c r="DE16" i="4" a="1"/>
  <c r="AX16" i="4" a="1"/>
  <c r="BA7" i="4" a="1"/>
  <c r="DW15" i="4" a="1"/>
  <c r="DB8" i="4" a="1"/>
  <c r="BL16" i="4" a="1"/>
  <c r="DF12" i="4" a="1"/>
  <c r="BE5" i="4" a="1"/>
  <c r="BM16" i="4" a="1"/>
  <c r="AA9" i="4" a="1"/>
  <c r="BV9" i="4" a="1"/>
  <c r="CH15" i="4" a="1"/>
  <c r="E9" i="4" a="1"/>
  <c r="CB14" i="4" a="1"/>
  <c r="AJ16" i="4" a="1"/>
  <c r="BQ15" i="4" a="1"/>
  <c r="EB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U6" i="2"/>
  <c r="R54" i="2"/>
  <c r="D17" i="2"/>
  <c r="L32" i="2"/>
  <c r="Q8" i="2"/>
  <c r="T24" i="2"/>
  <c r="K9" i="2"/>
  <c r="I22" i="2"/>
  <c r="H10" i="2"/>
  <c r="N21" i="2"/>
  <c r="U28" i="2"/>
  <c r="C23" i="2"/>
  <c r="N8" i="2"/>
  <c r="E9" i="2"/>
  <c r="AR86" i="3"/>
  <c r="E9" i="3"/>
  <c r="AE46" i="3"/>
  <c r="F29" i="3"/>
  <c r="AE45" i="3"/>
  <c r="AB45" i="3"/>
  <c r="F31" i="3"/>
  <c r="AL45" i="3"/>
  <c r="E24" i="3"/>
  <c r="AR8" i="3"/>
  <c r="E15" i="3"/>
  <c r="K45" i="3"/>
  <c r="AD9" i="4" a="1"/>
  <c r="DO14" i="4" a="1"/>
  <c r="Y5" i="4" a="1"/>
  <c r="AM11" i="4" a="1"/>
  <c r="DK7" i="4" a="1"/>
  <c r="AH13" i="4" a="1"/>
  <c r="DG8" i="4" a="1"/>
  <c r="W11" i="4" a="1"/>
  <c r="CX14" i="4" a="1"/>
  <c r="DC9" i="4" a="1"/>
  <c r="AK14" i="4" a="1"/>
  <c r="BY13" i="4" a="1"/>
  <c r="CY16" i="4" a="1"/>
  <c r="BL12" i="4" a="1"/>
  <c r="DZ16" i="4" a="1"/>
  <c r="DA7" i="4" a="1"/>
  <c r="AV16" i="4" a="1"/>
  <c r="X5" i="4" a="1"/>
  <c r="AX6" i="4" a="1"/>
  <c r="BF12" i="4" a="1"/>
  <c r="AB9" i="4" a="1"/>
  <c r="BO5" i="4" a="1"/>
  <c r="EJ7" i="4" a="1"/>
  <c r="AZ8" i="4" a="1"/>
  <c r="DI13" i="4" a="1"/>
  <c r="BV15" i="4" a="1"/>
  <c r="W12" i="4" a="1"/>
  <c r="D7" i="4" a="1"/>
  <c r="BA6" i="4" a="1"/>
  <c r="BV16" i="4" a="1"/>
  <c r="DG14" i="4" a="1"/>
  <c r="AC6" i="4" a="1"/>
  <c r="D9" i="4" a="1"/>
  <c r="EH13" i="4" a="1"/>
  <c r="Z16" i="4" a="1"/>
  <c r="DJ16" i="4" a="1"/>
  <c r="CG14" i="4" a="1"/>
  <c r="BV11" i="4" a="1"/>
  <c r="EG7" i="4" a="1"/>
  <c r="AL8" i="4" a="1"/>
  <c r="BF14" i="4" a="1"/>
  <c r="CM15" i="4" a="1"/>
  <c r="AQ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D32" i="2"/>
  <c r="I31" i="2"/>
  <c r="K17" i="2"/>
  <c r="N14" i="2"/>
  <c r="S15" i="2"/>
  <c r="U13" i="2"/>
  <c r="H27" i="2"/>
  <c r="H11" i="2"/>
  <c r="L6" i="2"/>
  <c r="R36" i="2"/>
  <c r="V20" i="2"/>
  <c r="C65" i="2"/>
  <c r="X26" i="2"/>
  <c r="H5" i="2"/>
  <c r="AR66" i="3"/>
  <c r="F32" i="3"/>
  <c r="AR12" i="3"/>
  <c r="AA45" i="3"/>
  <c r="D29" i="3"/>
  <c r="E23" i="3"/>
  <c r="E35" i="3"/>
  <c r="D8" i="3"/>
  <c r="AD12" i="3"/>
  <c r="AR18" i="3"/>
  <c r="AR29" i="3"/>
  <c r="D46" i="3"/>
  <c r="N9" i="4" a="1"/>
  <c r="AL12" i="4" a="1"/>
  <c r="BK8" i="4" a="1"/>
  <c r="CZ16" i="4" a="1"/>
  <c r="AN7" i="4" a="1"/>
  <c r="DM6" i="4" a="1"/>
  <c r="BH5" i="4" a="1"/>
  <c r="AI7" i="4" a="1"/>
  <c r="AF16" i="4" a="1"/>
  <c r="CM8" i="4" a="1"/>
  <c r="DI14" i="4" a="1"/>
  <c r="CW14" i="4" a="1"/>
  <c r="AK13" i="4" a="1"/>
  <c r="P7" i="4" a="1"/>
  <c r="AQ13" i="4" a="1"/>
  <c r="CO13" i="4" a="1"/>
  <c r="DG11" i="4" a="1"/>
  <c r="CB9" i="4" a="1"/>
  <c r="AD5" i="4" a="1"/>
  <c r="DW6" i="4" a="1"/>
  <c r="CN7" i="4" a="1"/>
  <c r="DN12" i="4" a="1"/>
  <c r="G12" i="4" a="1"/>
  <c r="CL9" i="4" a="1"/>
  <c r="BS16" i="4" a="1"/>
  <c r="CC16" i="4" a="1"/>
  <c r="AD12" i="4" a="1"/>
  <c r="T12" i="4" a="1"/>
  <c r="AU7" i="4" a="1"/>
  <c r="DQ15" i="4" a="1"/>
  <c r="BM13" i="4" a="1"/>
  <c r="BI9" i="4" a="1"/>
  <c r="U12" i="4" a="1"/>
  <c r="CJ8" i="4" a="1"/>
  <c r="CT5" i="4" a="1"/>
  <c r="CG7" i="4" a="1"/>
  <c r="T6" i="4" a="1"/>
  <c r="BW12" i="4" a="1"/>
  <c r="AJ13" i="4" a="1"/>
  <c r="CZ9" i="4" a="1"/>
  <c r="BU14" i="4" a="1"/>
  <c r="DT11" i="4" a="1"/>
  <c r="BB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T36" i="2"/>
  <c r="C17" i="2"/>
  <c r="F34" i="2"/>
  <c r="Q16" i="2"/>
  <c r="T12" i="2"/>
  <c r="I19" i="2"/>
  <c r="S9" i="2"/>
  <c r="P28" i="2"/>
  <c r="X20" i="2"/>
  <c r="N7" i="2"/>
  <c r="N6" i="2"/>
  <c r="U26" i="2"/>
  <c r="Q36" i="2"/>
  <c r="U24" i="2"/>
  <c r="Q34" i="2"/>
  <c r="AR47" i="3"/>
  <c r="V27" i="2"/>
  <c r="AR96" i="3"/>
  <c r="H45" i="3"/>
  <c r="AR36" i="3"/>
  <c r="E20" i="3"/>
  <c r="W46" i="3"/>
  <c r="AR32" i="3"/>
  <c r="AR38" i="3"/>
  <c r="P45" i="3"/>
  <c r="D6" i="3"/>
  <c r="E29" i="3"/>
  <c r="F7" i="3"/>
  <c r="G22" i="3"/>
  <c r="BO14" i="4" a="1"/>
  <c r="BY7" i="4" a="1"/>
  <c r="BF13" i="4" a="1"/>
  <c r="AV9" i="4" a="1"/>
  <c r="CM16" i="4" a="1"/>
  <c r="S11" i="4" a="1"/>
  <c r="BO8" i="4" a="1"/>
  <c r="DS12" i="4" a="1"/>
  <c r="DF5" i="4" a="1"/>
  <c r="BB13" i="4" a="1"/>
  <c r="EK5" i="4" a="1"/>
  <c r="CQ13" i="4" a="1"/>
  <c r="R14" i="4" a="1"/>
  <c r="DQ13" i="4" a="1"/>
  <c r="CO9" i="4" a="1"/>
  <c r="P16" i="4" a="1"/>
  <c r="CA8" i="4" a="1"/>
  <c r="J7" i="4" a="1"/>
  <c r="DP16" i="4" a="1"/>
  <c r="DL11" i="4" a="1"/>
  <c r="EK8" i="4" a="1"/>
  <c r="AP16" i="4" a="1"/>
  <c r="AH15" i="4" a="1"/>
  <c r="CQ8" i="4" a="1"/>
  <c r="F8" i="4" a="1"/>
  <c r="BG11" i="4" a="1"/>
  <c r="BG12" i="4" a="1"/>
  <c r="BO13" i="4" a="1"/>
  <c r="BJ5" i="4" a="1"/>
  <c r="CK11" i="4" a="1"/>
  <c r="H6" i="4" a="1"/>
  <c r="L6" i="4" a="1"/>
  <c r="CT15" i="4" a="1"/>
  <c r="DK16" i="4" a="1"/>
  <c r="U14" i="4" a="1"/>
  <c r="CD6" i="4" a="1"/>
  <c r="AN13" i="4" a="1"/>
  <c r="DK14" i="4" a="1"/>
  <c r="EA16" i="4" a="1"/>
  <c r="AK15" i="4" a="1"/>
  <c r="BI15" i="4" a="1"/>
  <c r="CD15" i="4" a="1"/>
  <c r="V12" i="2"/>
  <c r="J10" i="2"/>
  <c r="O30" i="2"/>
  <c r="C22" i="2"/>
  <c r="V10" i="2"/>
  <c r="I24" i="2"/>
  <c r="L21" i="2"/>
  <c r="P32" i="2"/>
  <c r="E23" i="2"/>
  <c r="T11" i="2"/>
  <c r="D11" i="2"/>
  <c r="R7" i="2"/>
  <c r="P21" i="2"/>
  <c r="F15" i="2"/>
  <c r="E45" i="2"/>
  <c r="E5" i="3"/>
  <c r="AR13" i="3"/>
  <c r="X45" i="3"/>
  <c r="E6" i="3"/>
  <c r="D23" i="3"/>
  <c r="G9" i="3"/>
  <c r="E38" i="3"/>
  <c r="G24" i="3"/>
  <c r="F23" i="3"/>
  <c r="AD6" i="3"/>
  <c r="F26" i="3"/>
  <c r="ED16" i="4" a="1"/>
  <c r="DL9" i="4" a="1"/>
  <c r="AJ12" i="4" a="1"/>
  <c r="BJ12" i="4" a="1"/>
  <c r="AX11" i="4" a="1"/>
  <c r="DU7" i="4" a="1"/>
  <c r="BU7" i="4" a="1"/>
  <c r="AJ14" i="4" a="1"/>
  <c r="AM7" i="4" a="1"/>
  <c r="CT14" i="4" a="1"/>
  <c r="BN11" i="4" a="1"/>
  <c r="DN9" i="4" a="1"/>
  <c r="DH8" i="4" a="1"/>
  <c r="AG15" i="4" a="1"/>
  <c r="V14" i="4" a="1"/>
  <c r="AO5" i="4" a="1"/>
  <c r="DQ8" i="4" a="1"/>
  <c r="X15" i="4" a="1"/>
  <c r="AD7" i="4" a="1"/>
  <c r="AY9" i="4" a="1"/>
  <c r="CM6" i="4" a="1"/>
  <c r="BE6" i="4" a="1"/>
  <c r="DG16" i="4" a="1"/>
  <c r="Y6" i="4" a="1"/>
  <c r="CH8" i="4" a="1"/>
  <c r="BB6" i="4" a="1"/>
  <c r="DP15" i="4" a="1"/>
  <c r="AP11" i="4" a="1"/>
  <c r="DC15" i="4" a="1"/>
  <c r="DA14" i="4" a="1"/>
  <c r="BP5" i="4" a="1"/>
  <c r="Z5" i="4" a="1"/>
  <c r="Z7" i="4" a="1"/>
  <c r="AB5" i="4" a="1"/>
  <c r="AT15" i="4" a="1"/>
  <c r="BS14" i="4" a="1"/>
  <c r="AZ12" i="4" a="1"/>
  <c r="BV8" i="4" a="1"/>
  <c r="AL13" i="4" a="1"/>
  <c r="AH12" i="4" a="1"/>
  <c r="DO16" i="4" a="1"/>
  <c r="F9" i="4" a="1"/>
  <c r="EB16" i="4" a="1"/>
  <c r="AO7" i="4" a="1"/>
  <c r="DG7" i="4" a="1"/>
  <c r="Q56" i="2"/>
  <c r="U25" i="2"/>
  <c r="W12" i="2"/>
  <c r="L9" i="2"/>
  <c r="O28" i="2"/>
  <c r="K24" i="2"/>
  <c r="W33" i="2"/>
  <c r="C25" i="2"/>
  <c r="T31" i="2"/>
  <c r="AR90" i="3"/>
  <c r="R26" i="2"/>
  <c r="E20" i="2"/>
  <c r="M9" i="2"/>
  <c r="T17" i="2"/>
  <c r="I26" i="2"/>
  <c r="F17" i="3"/>
  <c r="E28" i="3"/>
  <c r="D34" i="3"/>
  <c r="AR42" i="3"/>
  <c r="AR17" i="3"/>
  <c r="AL46" i="3"/>
  <c r="D45" i="3"/>
  <c r="AR39" i="3"/>
  <c r="AR26" i="3"/>
  <c r="D18" i="3"/>
  <c r="D5" i="3"/>
  <c r="DO5" i="4" a="1"/>
  <c r="CY15" i="4" a="1"/>
  <c r="BJ11" i="4" a="1"/>
  <c r="BX9" i="4" a="1"/>
  <c r="CR13" i="4" a="1"/>
  <c r="CR8" i="4" a="1"/>
  <c r="BS6" i="4" a="1"/>
  <c r="BL9" i="4" a="1"/>
  <c r="CQ6" i="4" a="1"/>
  <c r="AZ7" i="4" a="1"/>
  <c r="DE14" i="4" a="1"/>
  <c r="AB11" i="4" a="1"/>
  <c r="DG13" i="4" a="1"/>
  <c r="CV9" i="4" a="1"/>
  <c r="I11" i="4" a="1"/>
  <c r="N16" i="2"/>
  <c r="W45" i="3"/>
  <c r="J45" i="3"/>
  <c r="D8" i="4" a="1"/>
  <c r="CA15" i="4" a="1"/>
  <c r="CH7" i="4" a="1"/>
  <c r="F16" i="4" a="1"/>
  <c r="EI6" i="4" a="1"/>
  <c r="DA8" i="4" a="1"/>
  <c r="DQ5" i="4" a="1"/>
  <c r="EI9" i="4" a="1"/>
  <c r="BW16" i="4" a="1"/>
  <c r="AO14" i="4" a="1"/>
  <c r="DB7" i="4" a="1"/>
  <c r="D12" i="4" a="1"/>
  <c r="DC14" i="4" a="1"/>
  <c r="DQ7" i="4" a="1"/>
  <c r="O8" i="4" a="1"/>
  <c r="AY5" i="4" a="1"/>
  <c r="EK12" i="4" a="1"/>
  <c r="I12" i="4" a="1"/>
  <c r="AP14" i="4" a="1"/>
  <c r="CY14" i="4" a="1"/>
  <c r="AS11" i="4" a="1"/>
  <c r="BK5" i="4" a="1"/>
  <c r="CY13" i="4" a="1"/>
  <c r="CL15" i="4" a="1"/>
  <c r="AP5" i="4" a="1"/>
  <c r="X16" i="4" a="1"/>
  <c r="AH6" i="4" a="1"/>
  <c r="CY12" i="4" a="1"/>
  <c r="CA16" i="4" a="1"/>
  <c r="CC7" i="4" a="1"/>
  <c r="J12" i="2"/>
  <c r="D24" i="3"/>
  <c r="AK45" i="3"/>
  <c r="DT12" i="4" a="1"/>
  <c r="EA5" i="4" a="1"/>
  <c r="BR5" i="4" a="1"/>
  <c r="BR13" i="4" a="1"/>
  <c r="DF11" i="4" a="1"/>
  <c r="DP5" i="4" a="1"/>
  <c r="CP12" i="4" a="1"/>
  <c r="CL16" i="4" a="1"/>
  <c r="BY14" i="4" a="1"/>
  <c r="CK5" i="4" a="1"/>
  <c r="AO9" i="4" a="1"/>
  <c r="BC16" i="4" a="1"/>
  <c r="BG15" i="4" a="1"/>
  <c r="BP15" i="4" a="1"/>
  <c r="EI5" i="4" a="1"/>
  <c r="CV13" i="4" a="1"/>
  <c r="DH13" i="4" a="1"/>
  <c r="CO15" i="4" a="1"/>
  <c r="DC16" i="4" a="1"/>
  <c r="DT13" i="4" a="1"/>
  <c r="J13" i="4" a="1"/>
  <c r="AB14" i="4" a="1"/>
  <c r="CO16" i="4" a="1"/>
  <c r="CU14" i="4" a="1"/>
  <c r="C11" i="4" a="1"/>
  <c r="CD7" i="4" a="1"/>
  <c r="U7" i="4" a="1"/>
  <c r="DU9" i="4" a="1"/>
  <c r="CX8" i="4" a="1"/>
  <c r="DN7" i="4" a="1"/>
  <c r="DJ11" i="4" a="1"/>
  <c r="G13" i="4" a="1"/>
  <c r="AV6" i="4" a="1"/>
  <c r="DU13" i="4" a="1"/>
  <c r="BB7" i="4" a="1"/>
  <c r="Q15" i="4" a="1"/>
  <c r="AP6" i="4" a="1"/>
  <c r="DN5" i="4" a="1"/>
  <c r="BQ13" i="4" a="1"/>
  <c r="L8" i="4" a="1"/>
  <c r="H9" i="4" a="1"/>
  <c r="AO16" i="4" a="1"/>
  <c r="BE16" i="4" a="1"/>
  <c r="DB11" i="4" a="1"/>
  <c r="G15" i="4" a="1"/>
  <c r="CG13" i="4" a="1"/>
  <c r="BC6" i="4" a="1"/>
  <c r="AT12" i="4" a="1"/>
  <c r="EJ9" i="4" a="1"/>
  <c r="H13" i="4" a="1"/>
  <c r="BD7" i="4" a="1"/>
  <c r="AJ15" i="4" a="1"/>
  <c r="AC7" i="4" a="1"/>
  <c r="DA5" i="4" a="1"/>
  <c r="BK7" i="4" a="1"/>
  <c r="C12" i="4" a="1"/>
  <c r="DT15" i="4" a="1"/>
  <c r="BF8" i="4" a="1"/>
  <c r="O13" i="4" a="1"/>
  <c r="CC14" i="4" a="1"/>
  <c r="AL7" i="4" a="1"/>
  <c r="BR7" i="4" a="1"/>
  <c r="CO7" i="4" a="1"/>
  <c r="CV7" i="4" a="1"/>
  <c r="BD16" i="4" a="1"/>
  <c r="S7" i="4" a="1"/>
  <c r="CD13" i="4" a="1"/>
  <c r="CR7" i="4" a="1"/>
  <c r="AG8" i="4" a="1"/>
  <c r="BA11" i="4" a="1"/>
  <c r="CR15" i="4" a="1"/>
  <c r="O16" i="4" a="1"/>
  <c r="CU13" i="4" a="1"/>
  <c r="AL14" i="4" a="1"/>
  <c r="BO6" i="4" a="1"/>
  <c r="AL11" i="4" a="1"/>
  <c r="BL6" i="4" a="1"/>
  <c r="DR7" i="4" a="1"/>
  <c r="DJ8" i="4" a="1"/>
  <c r="E13" i="4" a="1"/>
  <c r="W7" i="4" a="1"/>
  <c r="J15" i="4" a="1"/>
  <c r="T5" i="4" a="1"/>
  <c r="AX12" i="4" a="1"/>
  <c r="BU9" i="4" a="1"/>
  <c r="R12" i="4" a="1"/>
  <c r="EE9" i="4" a="1"/>
  <c r="AR6" i="4" a="1"/>
  <c r="CB6" i="4" a="1"/>
  <c r="AU14" i="4" a="1"/>
  <c r="DI11" i="4" a="1"/>
  <c r="DU15" i="4" a="1"/>
  <c r="DS7" i="4" a="1"/>
  <c r="BX15" i="4" a="1"/>
  <c r="BD8" i="4" a="1"/>
  <c r="DI12" i="4" a="1"/>
  <c r="CE16" i="4" a="1"/>
  <c r="Q6" i="4" a="1"/>
  <c r="BI11" i="4" a="1"/>
  <c r="K11" i="4" a="1"/>
  <c r="W16" i="4" a="1"/>
  <c r="EK11" i="4" a="1"/>
  <c r="S13" i="4" a="1"/>
  <c r="DG6" i="4" a="1"/>
  <c r="EG15" i="4" a="1"/>
  <c r="Q9" i="4" a="1"/>
  <c r="EH12" i="4" a="1"/>
  <c r="CR14" i="4" a="1"/>
  <c r="AQ6" i="4" a="1"/>
  <c r="CS9" i="4" a="1"/>
  <c r="BN9" i="4" a="1"/>
  <c r="W15" i="4" a="1"/>
  <c r="EA14" i="4" a="1"/>
  <c r="BY16" i="4" a="1"/>
  <c r="AO13" i="4" a="1"/>
  <c r="DH7" i="4" a="1"/>
  <c r="BH13" i="4" a="1"/>
  <c r="CU12" i="4" a="1"/>
  <c r="EG11" i="4" a="1"/>
  <c r="DD14" i="4" a="1"/>
  <c r="CX13" i="4" a="1"/>
  <c r="CI9" i="4" a="1"/>
  <c r="DI6" i="4" a="1"/>
  <c r="CH9" i="4" a="1"/>
  <c r="BV12" i="4" a="1"/>
  <c r="S28" i="2"/>
  <c r="D26" i="3"/>
  <c r="R16" i="4" a="1"/>
  <c r="AD8" i="4" a="1"/>
  <c r="U16" i="4" a="1"/>
  <c r="CC8" i="4" a="1"/>
  <c r="X8" i="4" a="1"/>
  <c r="BY15" i="4" a="1"/>
  <c r="DV15" i="4" a="1"/>
  <c r="DU11" i="4" a="1"/>
  <c r="AZ6" i="4" a="1"/>
  <c r="AJ9" i="4" a="1"/>
  <c r="EA7" i="4" a="1"/>
  <c r="J14" i="4" a="1"/>
  <c r="CJ12" i="4" a="1"/>
  <c r="F13" i="4" a="1"/>
  <c r="AE15" i="4" a="1"/>
  <c r="R5" i="4" a="1"/>
  <c r="AV5" i="4" a="1"/>
  <c r="DC8" i="4" a="1"/>
  <c r="AH7" i="4" a="1"/>
  <c r="AD6" i="4" a="1"/>
  <c r="CH5" i="4" a="1"/>
  <c r="CG9" i="4" a="1"/>
  <c r="CP6" i="4" a="1"/>
  <c r="CJ7" i="4" a="1"/>
  <c r="CH11" i="4" a="1"/>
  <c r="AX7" i="4" a="1"/>
  <c r="DJ13" i="4" a="1"/>
  <c r="CJ16" i="4" a="1"/>
  <c r="CU7" i="4" a="1"/>
  <c r="BA13" i="4" a="1"/>
  <c r="BQ12" i="4" a="1"/>
  <c r="BY6" i="4" a="1"/>
  <c r="EI13" i="4" a="1"/>
  <c r="BW14" i="4" a="1"/>
  <c r="BW9" i="4" a="1"/>
  <c r="CE15" i="4" a="1"/>
  <c r="CJ15" i="4" a="1"/>
  <c r="CK12" i="4" a="1"/>
  <c r="BP13" i="4" a="1"/>
  <c r="BH11" i="4" a="1"/>
  <c r="BQ5" i="4" a="1"/>
  <c r="T11" i="4" a="1"/>
  <c r="CM11" i="4" a="1"/>
  <c r="CZ5" i="4" a="1"/>
  <c r="W9" i="4" a="1"/>
  <c r="AW9" i="4" a="1"/>
  <c r="N15" i="4" a="1"/>
  <c r="AY8" i="4" a="1"/>
  <c r="ED15" i="4" a="1"/>
  <c r="M20" i="2"/>
  <c r="AN45" i="3"/>
  <c r="AZ15" i="4" a="1"/>
  <c r="BZ15" i="4" a="1"/>
  <c r="AD11" i="4" a="1"/>
  <c r="BE8" i="4" a="1"/>
  <c r="BL8" i="4" a="1"/>
  <c r="U9" i="4" a="1"/>
  <c r="CE6" i="4" a="1"/>
  <c r="BC8" i="4" a="1"/>
  <c r="BJ16" i="4" a="1"/>
  <c r="AR13" i="4" a="1"/>
  <c r="DT6" i="4" a="1"/>
  <c r="AN15" i="4" a="1"/>
  <c r="CP9" i="4" a="1"/>
  <c r="CL6" i="4" a="1"/>
  <c r="BJ7" i="4" a="1"/>
  <c r="AZ5" i="4" a="1"/>
  <c r="AX9" i="4" a="1"/>
  <c r="AE11" i="4" a="1"/>
  <c r="H14" i="4" a="1"/>
  <c r="CI11" i="4" a="1"/>
  <c r="J28" i="2"/>
  <c r="AH46" i="3"/>
  <c r="BY8" i="4" a="1"/>
  <c r="I14" i="4" a="1"/>
  <c r="AC14" i="4" a="1"/>
  <c r="CK14" i="4" a="1"/>
  <c r="CF14" i="4" a="1"/>
  <c r="EE12" i="4" a="1"/>
  <c r="BK11" i="4" a="1"/>
  <c r="I13" i="4" a="1"/>
  <c r="BB14" i="4" a="1"/>
  <c r="BH16" i="4" a="1"/>
  <c r="BX12" i="4" a="1"/>
  <c r="AL6" i="4" a="1"/>
  <c r="CQ11" i="4" a="1"/>
  <c r="AV11" i="4" a="1"/>
  <c r="U6" i="4" a="1"/>
  <c r="DC13" i="4" a="1"/>
  <c r="CF13" i="4" a="1"/>
  <c r="DP6" i="4" a="1"/>
  <c r="ED11" i="4" a="1"/>
  <c r="EE15" i="4" a="1"/>
  <c r="X14" i="4" a="1"/>
  <c r="DJ7" i="4" a="1"/>
  <c r="DA13" i="4" a="1"/>
  <c r="DB6" i="4" a="1"/>
  <c r="EK14" i="4" a="1"/>
  <c r="CX16" i="4" a="1"/>
  <c r="BY9" i="4" a="1"/>
  <c r="EA11" i="4" a="1"/>
  <c r="CH12" i="4" a="1"/>
  <c r="T13" i="4" a="1"/>
  <c r="CE14" i="4" a="1"/>
  <c r="BN13" i="4" a="1"/>
  <c r="CN6" i="4" a="1"/>
  <c r="BR8" i="4" a="1"/>
  <c r="CW16" i="4" a="1"/>
  <c r="BR9" i="4" a="1"/>
  <c r="AM13" i="4" a="1"/>
  <c r="AR14" i="4" a="1"/>
  <c r="CE9" i="4" a="1"/>
  <c r="DV11" i="4" a="1"/>
  <c r="DY12" i="4" a="1"/>
  <c r="ED13" i="4" a="1"/>
  <c r="BL5" i="4" a="1"/>
  <c r="BQ6" i="4" a="1"/>
  <c r="EI7" i="4" a="1"/>
  <c r="DB5" i="4" a="1"/>
  <c r="BI12" i="4" a="1"/>
  <c r="AC8" i="4" a="1"/>
  <c r="EB14" i="4" a="1"/>
  <c r="EC6" i="4" a="1"/>
  <c r="K13" i="4" a="1"/>
  <c r="AP8" i="4" a="1"/>
  <c r="DN13" i="4" a="1"/>
  <c r="AP12" i="4" a="1"/>
  <c r="Q11" i="4" a="1"/>
  <c r="CA13" i="4" a="1"/>
  <c r="DD15" i="4" a="1"/>
  <c r="CO12" i="4" a="1"/>
  <c r="BA16" i="4" a="1"/>
  <c r="CQ9" i="4" a="1"/>
  <c r="AF5" i="4" a="1"/>
  <c r="CY11" i="4" a="1"/>
  <c r="BA8" i="4" a="1"/>
  <c r="L15" i="4" a="1"/>
  <c r="BP6" i="4" a="1"/>
  <c r="CL14" i="4" a="1"/>
  <c r="EE5" i="4" a="1"/>
  <c r="T14" i="4" a="1"/>
  <c r="AN14" i="4" a="1"/>
  <c r="BX11" i="4" a="1"/>
  <c r="AF6" i="4" a="1"/>
  <c r="CU11" i="4" a="1"/>
  <c r="BU15" i="4" a="1"/>
  <c r="DU12" i="4" a="1"/>
  <c r="EJ8" i="4" a="1"/>
  <c r="BY12" i="4" a="1"/>
  <c r="BC11" i="4" a="1"/>
  <c r="DY13" i="4" a="1"/>
  <c r="CO11" i="4" a="1"/>
  <c r="DP13" i="4" a="1"/>
  <c r="DK8" i="4" a="1"/>
  <c r="BT5" i="4" a="1"/>
  <c r="BX13" i="4" a="1"/>
  <c r="P5" i="4" a="1"/>
  <c r="P11" i="4" a="1"/>
  <c r="DR9" i="4" a="1"/>
  <c r="DH9" i="4" a="1"/>
  <c r="CL13" i="4" a="1"/>
  <c r="CP5" i="4" a="1"/>
  <c r="DY9" i="4" a="1"/>
  <c r="AH16" i="4" a="1"/>
  <c r="CC9" i="4" a="1"/>
  <c r="DJ12" i="4" a="1"/>
  <c r="N5" i="4" a="1"/>
  <c r="Z11" i="4" a="1"/>
  <c r="AX5" i="4" a="1"/>
  <c r="AR89" i="3"/>
  <c r="F6" i="3"/>
  <c r="CI7" i="4" a="1"/>
  <c r="DP14" i="4" a="1"/>
  <c r="BS7" i="4" a="1"/>
  <c r="BY5" i="4" a="1"/>
  <c r="EC11" i="4" a="1"/>
  <c r="CF12" i="4" a="1"/>
  <c r="P8" i="4" a="1"/>
  <c r="AY11" i="4" a="1"/>
  <c r="AA11" i="4" a="1"/>
  <c r="DI7" i="4" a="1"/>
  <c r="CZ8" i="4" a="1"/>
  <c r="AN9" i="4" a="1"/>
  <c r="BD12" i="4" a="1"/>
  <c r="AG16" i="4" a="1"/>
  <c r="BA15" i="4" a="1"/>
  <c r="CL11" i="4" a="1"/>
  <c r="DS13" i="4" a="1"/>
  <c r="T15" i="4" a="1"/>
  <c r="EC12" i="4" a="1"/>
  <c r="E8" i="4" a="1"/>
  <c r="CT9" i="4" a="1"/>
  <c r="BB9" i="4" a="1"/>
  <c r="CW13" i="4" a="1"/>
  <c r="K8" i="4" a="1"/>
  <c r="BD14" i="4" a="1"/>
  <c r="AY13" i="4" a="1"/>
  <c r="CR12" i="4" a="1"/>
  <c r="AW15" i="4" a="1"/>
  <c r="BZ12" i="4" a="1"/>
  <c r="AW8" i="4" a="1"/>
  <c r="V13" i="4" a="1"/>
  <c r="EG8" i="4" a="1"/>
  <c r="BJ13" i="4" a="1"/>
  <c r="AU8" i="4" a="1"/>
  <c r="ED8" i="4" a="1"/>
  <c r="O14" i="4" a="1"/>
  <c r="AZ11" i="4" a="1"/>
  <c r="CK7" i="4" a="1"/>
  <c r="AY15" i="4" a="1"/>
  <c r="O24" i="2"/>
  <c r="F11" i="3"/>
  <c r="AK11" i="4" a="1"/>
  <c r="Q12" i="4" a="1"/>
  <c r="CJ5" i="4" a="1"/>
  <c r="AC12" i="4" a="1"/>
  <c r="AF8" i="4" a="1"/>
  <c r="DU5" i="4" a="1"/>
  <c r="CT7" i="4" a="1"/>
  <c r="BH7" i="4" a="1"/>
  <c r="AT8" i="4" a="1"/>
  <c r="BC15" i="4" a="1"/>
  <c r="G14" i="4" a="1"/>
  <c r="AX13" i="4" a="1"/>
  <c r="E6" i="4" a="1"/>
  <c r="CE7" i="4" a="1"/>
  <c r="CB15" i="4" a="1"/>
  <c r="AJ7" i="4" a="1"/>
  <c r="DL16" i="4" a="1"/>
  <c r="AQ16" i="4" a="1"/>
  <c r="BN6" i="4" a="1"/>
  <c r="BY11" i="4" a="1"/>
  <c r="AQ9" i="4" a="1"/>
  <c r="AN12" i="4" a="1"/>
  <c r="F6" i="4" a="1"/>
  <c r="BT8" i="4" a="1"/>
  <c r="EF11" i="4" a="1"/>
  <c r="AW13" i="4" a="1"/>
  <c r="CS13" i="4" a="1"/>
  <c r="DC5" i="4" a="1"/>
  <c r="AG13" i="4" a="1"/>
  <c r="CL5" i="4" a="1"/>
  <c r="CU16" i="4" a="1"/>
  <c r="AF12" i="4" a="1"/>
  <c r="DR15" i="4" a="1"/>
  <c r="BG13" i="4" a="1"/>
  <c r="EI11" i="4" a="1"/>
  <c r="AU9" i="4" a="1"/>
  <c r="CP16" i="4" a="1"/>
  <c r="EH15" i="4" a="1"/>
  <c r="BS5" i="4" a="1"/>
  <c r="CZ7" i="4" a="1"/>
  <c r="AU6" i="4" a="1"/>
  <c r="AE5" i="4" a="1"/>
  <c r="AH11" i="4" a="1"/>
  <c r="BQ14" i="4" a="1"/>
  <c r="DC6" i="4" a="1"/>
  <c r="DE7" i="4" a="1"/>
  <c r="Z14" i="4" a="1"/>
  <c r="AM9" i="4" a="1"/>
  <c r="DZ5" i="4" a="1"/>
  <c r="EK13" i="4" a="1"/>
  <c r="AA5" i="4" a="1"/>
  <c r="DA16" i="4" a="1"/>
  <c r="AG6" i="4" a="1"/>
  <c r="EH14" i="4" a="1"/>
  <c r="DY15" i="4" a="1"/>
  <c r="BM7" i="4" a="1"/>
  <c r="DA6" i="4" a="1"/>
  <c r="DF8" i="4" a="1"/>
  <c r="DT8" i="4" a="1"/>
  <c r="W14" i="4" a="1"/>
  <c r="AS12" i="4" a="1"/>
  <c r="CW7" i="4" a="1"/>
  <c r="AR12" i="4" a="1"/>
  <c r="AT6" i="4" a="1"/>
  <c r="AG14" i="4" a="1"/>
  <c r="DB12" i="4" a="1"/>
  <c r="AB6" i="4" a="1"/>
  <c r="CE11" i="4" a="1"/>
  <c r="AF11" i="4" a="1"/>
  <c r="BT14" i="4" a="1"/>
  <c r="BZ14" i="4" a="1"/>
  <c r="AY14" i="4" a="1"/>
  <c r="BE13" i="4" a="1"/>
  <c r="BZ16" i="4" a="1"/>
  <c r="AD15" i="4" a="1"/>
  <c r="EK7" i="4" a="1"/>
  <c r="CW6" i="4" a="1"/>
  <c r="BF16" i="4" a="1"/>
  <c r="EF16" i="4" a="1"/>
  <c r="DU14" i="4" a="1"/>
  <c r="DW9" i="4" a="1"/>
  <c r="AO8" i="4" a="1"/>
  <c r="BU16" i="4" a="1"/>
  <c r="EB13" i="4" a="1"/>
  <c r="AJ11" i="4" a="1"/>
  <c r="AS7" i="4" a="1"/>
  <c r="AL16" i="4" a="1"/>
  <c r="CM5" i="4" a="1"/>
  <c r="AT7" i="4" a="1"/>
  <c r="DM7" i="4" a="1"/>
  <c r="DX12" i="4" a="1"/>
  <c r="AC9" i="4" a="1"/>
  <c r="CY9" i="4" a="1"/>
  <c r="G21" i="2"/>
  <c r="N46" i="3"/>
  <c r="J8" i="4" a="1"/>
  <c r="BC12" i="4" a="1"/>
  <c r="AO11" i="4" a="1"/>
  <c r="C8" i="4" a="1"/>
  <c r="BK12" i="4" a="1"/>
  <c r="CM7" i="4" a="1"/>
  <c r="L5" i="4" a="1"/>
  <c r="U5" i="4" a="1"/>
  <c r="AV15" i="4" a="1"/>
  <c r="AA6" i="4" a="1"/>
  <c r="BS13" i="4" a="1"/>
  <c r="DN6" i="4" a="1"/>
  <c r="EC8" i="4" a="1"/>
  <c r="CF11" i="4" a="1"/>
  <c r="T9" i="4" a="1"/>
  <c r="DO8" i="4" a="1"/>
  <c r="C13" i="4" a="1"/>
  <c r="E12" i="4" a="1"/>
  <c r="V9" i="4" a="1"/>
  <c r="BE9" i="4" a="1"/>
  <c r="DO11" i="4" a="1"/>
  <c r="AA8" i="4" a="1"/>
  <c r="I9" i="4" a="1"/>
  <c r="DU6" i="4" a="1"/>
  <c r="CW5" i="4" a="1"/>
  <c r="M12" i="4" a="1"/>
  <c r="CE8" i="4" a="1"/>
  <c r="EC5" i="4" a="1"/>
  <c r="R7" i="4" a="1"/>
  <c r="BG16" i="4" a="1"/>
  <c r="DM14" i="4" a="1"/>
  <c r="AS16" i="4" a="1"/>
  <c r="EB12" i="4" a="1"/>
  <c r="P13" i="4" a="1"/>
  <c r="DS9" i="4" a="1"/>
  <c r="AL9" i="4" a="1"/>
  <c r="BO7" i="4" a="1"/>
  <c r="S8" i="4" a="1"/>
  <c r="BN5" i="4" a="1"/>
  <c r="CB16" i="4" a="1"/>
  <c r="CF5" i="4" a="1"/>
  <c r="DS15" i="4" a="1"/>
  <c r="EF12" i="4" a="1"/>
  <c r="BS8" i="4" a="1"/>
  <c r="EB7" i="4" a="1"/>
  <c r="E7" i="4" a="1"/>
  <c r="AN16" i="4" a="1"/>
  <c r="CY7" i="4" a="1"/>
  <c r="BG9" i="4" a="1"/>
  <c r="BE14" i="4" a="1"/>
  <c r="AV7" i="4" a="1"/>
  <c r="BF6" i="4" a="1"/>
  <c r="BW5" i="4" a="1"/>
  <c r="AW16" i="4" a="1"/>
  <c r="G5" i="4" a="1"/>
  <c r="CI6" i="4" a="1"/>
  <c r="AH14" i="4" a="1"/>
  <c r="DB16" i="4" a="1"/>
  <c r="W8" i="4" a="1"/>
  <c r="DL5" i="4" a="1"/>
  <c r="F15" i="4" a="1"/>
  <c r="AX15" i="4" a="1"/>
  <c r="EE6" i="4" a="1"/>
  <c r="C16" i="4" a="1"/>
  <c r="AU15" i="4" a="1"/>
  <c r="DR14" i="4" a="1"/>
  <c r="K6" i="4" a="1"/>
  <c r="AV14" i="4" a="1"/>
  <c r="DD5" i="4" a="1"/>
  <c r="BF5" i="4" a="1"/>
  <c r="CB8" i="4" a="1"/>
  <c r="AZ16" i="4" a="1"/>
  <c r="CT16" i="4" a="1"/>
  <c r="AF14" i="4" a="1"/>
  <c r="CZ13" i="4" a="1"/>
  <c r="BD13" i="4" a="1"/>
  <c r="DB15" i="4" a="1"/>
  <c r="G16" i="4" a="1"/>
  <c r="DE5" i="4" a="1"/>
  <c r="DW8" i="4" a="1"/>
  <c r="N16" i="4" a="1"/>
  <c r="BK14" i="4" a="1"/>
  <c r="D5" i="4" a="1"/>
  <c r="AX14" i="4" a="1"/>
  <c r="CP7" i="4" a="1"/>
  <c r="U15" i="4" a="1"/>
  <c r="BD9" i="4" a="1"/>
  <c r="Z6" i="4" a="1"/>
  <c r="AC13" i="4" a="1"/>
  <c r="H11" i="4" a="1"/>
  <c r="K5" i="4" a="1"/>
  <c r="AE8" i="4" a="1"/>
  <c r="DN16" i="4" a="1"/>
  <c r="DO7" i="4" a="1"/>
  <c r="W22" i="2"/>
  <c r="E12" i="3"/>
  <c r="DH14" i="4" a="1"/>
  <c r="DQ16" i="4" a="1"/>
  <c r="DI8" i="4" a="1"/>
  <c r="AR73" i="3"/>
  <c r="E7" i="3"/>
  <c r="CF7" i="4" a="1"/>
  <c r="CB13" i="4" a="1"/>
  <c r="BP11" i="4" a="1"/>
  <c r="DQ9" i="4" a="1"/>
  <c r="CP13" i="4" a="1"/>
  <c r="AU13" i="4" a="1"/>
  <c r="AE12" i="4" a="1"/>
  <c r="I5" i="4" a="1"/>
  <c r="AD16" i="4" a="1"/>
  <c r="Q13" i="4" a="1"/>
  <c r="EB6" i="4" a="1"/>
  <c r="BI14" i="4" a="1"/>
  <c r="V8" i="4" a="1"/>
  <c r="I21" i="2"/>
  <c r="G20" i="3"/>
  <c r="AI14" i="4" a="1"/>
  <c r="CG12" i="4" a="1"/>
  <c r="CZ15" i="4" a="1"/>
  <c r="AL5" i="4" a="1"/>
  <c r="DR11" i="4" a="1"/>
  <c r="D15" i="4" a="1"/>
  <c r="DF16" i="4" a="1"/>
  <c r="X9" i="4" a="1"/>
  <c r="I16" i="4" a="1"/>
  <c r="N12" i="4" a="1"/>
  <c r="CB12" i="4" a="1"/>
  <c r="BJ15" i="4" a="1"/>
  <c r="P6" i="4" a="1"/>
  <c r="BC13" i="4" a="1"/>
  <c r="R8" i="4" a="1"/>
  <c r="DX11" i="4" a="1"/>
  <c r="K12" i="4" a="1"/>
  <c r="DZ13" i="4" a="1"/>
  <c r="AF13" i="4" a="1"/>
  <c r="DJ9" i="4" a="1"/>
  <c r="DO15" i="4" a="1"/>
  <c r="CC6" i="4" a="1"/>
  <c r="O9" i="4" a="1"/>
  <c r="DK9" i="4" a="1"/>
  <c r="DL12" i="4" a="1"/>
  <c r="M11" i="4" a="1"/>
  <c r="CA5" i="4" a="1"/>
  <c r="C14" i="4" a="1"/>
  <c r="CH16" i="4" a="1"/>
  <c r="V7" i="4" a="1"/>
  <c r="AT9" i="4" a="1"/>
  <c r="CK8" i="4" a="1"/>
  <c r="AM8" i="4" a="1"/>
  <c r="AB7" i="4" a="1"/>
  <c r="M15" i="4" a="1"/>
  <c r="AM12" i="4" a="1"/>
  <c r="CC12" i="4" a="1"/>
  <c r="BL15" i="4" a="1"/>
  <c r="DW11" i="4" a="1"/>
  <c r="DH16" i="4" a="1"/>
  <c r="E5" i="4" a="1"/>
  <c r="P15" i="4" a="1"/>
  <c r="Y15" i="4" a="1"/>
  <c r="AN6" i="4" a="1"/>
  <c r="CA14" i="4" a="1"/>
  <c r="DE13" i="4" a="1"/>
  <c r="CK16" i="4" a="1"/>
  <c r="CB11" i="4" a="1"/>
  <c r="CP11" i="4" a="1"/>
  <c r="EE7" i="4" a="1"/>
  <c r="BF15" i="4" a="1"/>
  <c r="DR13" i="4" a="1"/>
  <c r="AM15" i="4" a="1"/>
  <c r="E11" i="4" a="1"/>
  <c r="DD16" i="4" a="1"/>
  <c r="AJ6" i="4" a="1"/>
  <c r="DW12" i="4" a="1"/>
  <c r="N8" i="4" a="1"/>
  <c r="CN5" i="4" a="1"/>
  <c r="CX11" i="4" a="1"/>
  <c r="I6" i="4" a="1"/>
  <c r="DK12" i="4" a="1"/>
  <c r="CZ6" i="4" a="1"/>
  <c r="AD14" i="4" a="1"/>
  <c r="EG13" i="4" a="1"/>
  <c r="CQ16" i="4" a="1"/>
  <c r="DL8" i="4" a="1"/>
  <c r="S6" i="4" a="1"/>
  <c r="AV13" i="4" a="1"/>
  <c r="BN14" i="4" a="1"/>
  <c r="DE9" i="4" a="1"/>
  <c r="EI15" i="4" a="1"/>
  <c r="DV14" i="4" a="1"/>
  <c r="EK9" i="4" a="1"/>
  <c r="DO13" i="4" a="1"/>
  <c r="EC16" i="4" a="1"/>
  <c r="CG11" i="4" a="1"/>
  <c r="CS11" i="4" a="1"/>
  <c r="CL7" i="4" a="1"/>
  <c r="X12" i="4" a="1"/>
  <c r="CW12" i="4" a="1"/>
  <c r="H8" i="4" a="1"/>
  <c r="Q7" i="4" a="1"/>
  <c r="AG5" i="4" a="1"/>
  <c r="H7" i="4" a="1"/>
  <c r="CU15" i="4" a="1"/>
  <c r="Z12" i="4" a="1"/>
  <c r="AB8" i="4" a="1"/>
  <c r="DA15" i="4" a="1"/>
  <c r="CV8" i="4" a="1"/>
  <c r="AQ11" i="4" a="1"/>
  <c r="CZ14" i="4" a="1"/>
  <c r="AO15" i="4" a="1"/>
  <c r="BS9" i="4" a="1"/>
  <c r="BO11" i="4" a="1"/>
  <c r="DN11" i="4" a="1"/>
  <c r="AI12" i="4" a="1"/>
  <c r="BU5" i="4" a="1"/>
  <c r="AW6" i="4" a="1"/>
  <c r="Q16" i="4" a="1"/>
  <c r="DV13" i="4" a="1"/>
  <c r="DK11" i="4" a="1"/>
  <c r="BG14" i="4" a="1"/>
  <c r="ED12" i="4" a="1"/>
  <c r="AR77" i="3"/>
  <c r="AB46" i="3"/>
  <c r="BE15" i="4" a="1"/>
  <c r="EK15" i="4" a="1"/>
  <c r="CJ9" i="4" a="1"/>
  <c r="BI16" i="4" a="1"/>
  <c r="AK5" i="4" a="1"/>
  <c r="BP8" i="4" a="1"/>
  <c r="K16" i="4" a="1"/>
  <c r="CJ13" i="4" a="1"/>
  <c r="M6" i="4" a="1"/>
  <c r="DE8" i="4" a="1"/>
  <c r="AU5" i="4" a="1"/>
  <c r="CE13" i="4" a="1"/>
  <c r="DM11" i="4" a="1"/>
  <c r="L7" i="4" a="1"/>
  <c r="CD16" i="4" a="1"/>
  <c r="AI15" i="4" a="1"/>
  <c r="CT13" i="4" a="1"/>
  <c r="AT5" i="4" a="1"/>
  <c r="BM6" i="4" a="1"/>
  <c r="DN14" i="4" a="1"/>
  <c r="CN13" i="4" a="1"/>
  <c r="BR15" i="4" a="1"/>
  <c r="AS14" i="4" a="1"/>
  <c r="CI5" i="4" a="1"/>
  <c r="N6" i="4" a="1"/>
  <c r="DQ6" i="4" a="1"/>
  <c r="DD8" i="4" a="1"/>
  <c r="BH8" i="4" a="1"/>
  <c r="BN15" i="4" a="1"/>
  <c r="AI6" i="4" a="1"/>
  <c r="EG9" i="4" a="1"/>
  <c r="DV12" i="4" a="1"/>
  <c r="EI8" i="4" a="1"/>
  <c r="DQ12" i="4" a="1"/>
  <c r="S14" i="4" a="1"/>
  <c r="CX9" i="4" a="1"/>
  <c r="AA15" i="4" a="1"/>
  <c r="DB9" i="4" a="1"/>
  <c r="O5" i="4" a="1"/>
  <c r="CV16" i="4" a="1"/>
  <c r="DZ15" i="4" a="1"/>
  <c r="AT11" i="4" a="1"/>
  <c r="CC15" i="4" a="1"/>
  <c r="DV9" i="4" a="1"/>
  <c r="AO6" i="4" a="1"/>
  <c r="D72" i="3"/>
  <c r="D67" i="3"/>
  <c r="F49" i="3"/>
  <c r="G80" i="3"/>
  <c r="E67" i="3"/>
  <c r="F91" i="3"/>
  <c r="AD63" i="3"/>
  <c r="F61" i="3"/>
  <c r="G76" i="3"/>
  <c r="AD58" i="3"/>
  <c r="F76" i="3"/>
  <c r="E93" i="3"/>
  <c r="D86" i="3"/>
  <c r="AD74" i="3"/>
  <c r="F65" i="3"/>
  <c r="G68" i="3"/>
  <c r="D76" i="3"/>
  <c r="F67" i="3"/>
  <c r="D88" i="3"/>
  <c r="E62" i="3"/>
  <c r="D68" i="3"/>
  <c r="D95" i="3"/>
  <c r="F79" i="3"/>
  <c r="G55" i="3"/>
  <c r="E55" i="3"/>
  <c r="D93" i="3"/>
  <c r="AD72" i="3"/>
  <c r="F89" i="3"/>
  <c r="G54" i="3"/>
  <c r="F66" i="3"/>
  <c r="E84" i="3"/>
  <c r="E74" i="3"/>
  <c r="D66" i="3"/>
  <c r="AD79" i="3"/>
  <c r="E82" i="3"/>
  <c r="G63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E57" i="3"/>
  <c r="D57" i="3"/>
  <c r="F85" i="3"/>
  <c r="G58" i="3"/>
  <c r="E86" i="3"/>
  <c r="AD69" i="3"/>
  <c r="AD90" i="3"/>
  <c r="E92" i="3"/>
  <c r="F47" i="3"/>
  <c r="E76" i="3"/>
  <c r="D65" i="3"/>
  <c r="F68" i="3"/>
  <c r="E91" i="3"/>
  <c r="AD75" i="3"/>
  <c r="D92" i="3"/>
  <c r="F88" i="3"/>
  <c r="E64" i="3"/>
  <c r="D94" i="3"/>
  <c r="F93" i="3"/>
  <c r="G77" i="3"/>
  <c r="D56" i="3"/>
  <c r="AD78" i="3"/>
  <c r="F86" i="3"/>
  <c r="E59" i="3"/>
  <c r="F70" i="3"/>
  <c r="F74" i="3"/>
  <c r="AD64" i="3"/>
  <c r="F78" i="3"/>
  <c r="E73" i="3"/>
  <c r="AD96" i="3"/>
  <c r="E87" i="3"/>
  <c r="E70" i="3"/>
  <c r="AD73" i="3"/>
  <c r="E89" i="3"/>
  <c r="G93" i="3"/>
  <c r="D63" i="3"/>
  <c r="F55" i="3"/>
  <c r="E90" i="3"/>
  <c r="AD89" i="3"/>
  <c r="G64" i="3"/>
  <c r="D82" i="3"/>
  <c r="E56" i="3"/>
  <c r="E68" i="3"/>
  <c r="G69" i="3"/>
  <c r="F75" i="3"/>
  <c r="F63" i="3"/>
  <c r="G95" i="3"/>
  <c r="F92" i="3"/>
  <c r="E54" i="3"/>
  <c r="AD57" i="3"/>
  <c r="F90" i="3"/>
  <c r="D74" i="3"/>
  <c r="F60" i="3"/>
  <c r="D61" i="3"/>
  <c r="G70" i="3"/>
  <c r="F54" i="3"/>
  <c r="E66" i="3"/>
  <c r="F97" i="3"/>
  <c r="D79" i="3"/>
  <c r="F77" i="3"/>
  <c r="F62" i="3"/>
  <c r="E61" i="3"/>
  <c r="D70" i="3"/>
  <c r="G57" i="3"/>
  <c r="D87" i="3"/>
  <c r="E79" i="3"/>
  <c r="D89" i="3"/>
  <c r="E78" i="3"/>
  <c r="E88" i="3"/>
  <c r="G83" i="3"/>
  <c r="D73" i="3"/>
  <c r="E69" i="3"/>
  <c r="AD61" i="3"/>
  <c r="E94" i="3"/>
  <c r="D59" i="3"/>
  <c r="G89" i="3"/>
  <c r="AD85" i="3"/>
  <c r="G94" i="3"/>
  <c r="F57" i="3"/>
  <c r="D96" i="3"/>
  <c r="AD84" i="3"/>
  <c r="G67" i="3"/>
  <c r="D71" i="3"/>
  <c r="G97" i="3"/>
  <c r="G59" i="3"/>
  <c r="AD70" i="3"/>
  <c r="AD65" i="3"/>
  <c r="F69" i="3"/>
  <c r="AD62" i="3"/>
  <c r="E63" i="3"/>
  <c r="E58" i="3"/>
  <c r="G85" i="3"/>
  <c r="D75" i="3"/>
  <c r="F82" i="3"/>
  <c r="D60" i="3"/>
  <c r="E65" i="3"/>
  <c r="D80" i="3"/>
  <c r="G81" i="3"/>
  <c r="G61" i="3"/>
  <c r="F80" i="3"/>
  <c r="F96" i="3"/>
  <c r="AD55" i="3"/>
  <c r="AD76" i="3"/>
  <c r="AD97" i="3"/>
  <c r="E81" i="3"/>
  <c r="AD77" i="3"/>
  <c r="G75" i="3"/>
  <c r="AD95" i="3"/>
  <c r="E60" i="3"/>
  <c r="AD94" i="3"/>
  <c r="G66" i="3"/>
  <c r="AD88" i="3"/>
  <c r="G73" i="3"/>
  <c r="F59" i="3"/>
  <c r="AD54" i="3"/>
  <c r="G90" i="3"/>
  <c r="G96" i="3"/>
  <c r="F81" i="3"/>
  <c r="G60" i="3"/>
  <c r="G65" i="3"/>
  <c r="E71" i="3"/>
  <c r="E97" i="3"/>
  <c r="AD92" i="3"/>
  <c r="F64" i="3"/>
  <c r="G91" i="3"/>
  <c r="F73" i="3"/>
  <c r="AD82" i="3"/>
  <c r="AD68" i="3"/>
  <c r="AD83" i="3"/>
  <c r="AD66" i="3"/>
  <c r="AD91" i="3"/>
  <c r="AD56" i="3"/>
  <c r="E85" i="3"/>
  <c r="E75" i="3"/>
  <c r="F56" i="3"/>
  <c r="AD59" i="3"/>
  <c r="F84" i="3"/>
  <c r="D85" i="3"/>
  <c r="F87" i="3"/>
  <c r="AD93" i="3"/>
  <c r="G84" i="3"/>
  <c r="D58" i="3"/>
  <c r="F48" i="3"/>
  <c r="G86" i="3"/>
  <c r="G82" i="3"/>
  <c r="F58" i="3"/>
  <c r="AD81" i="3"/>
  <c r="G56" i="3"/>
  <c r="G78" i="3"/>
  <c r="G62" i="3"/>
  <c r="D81" i="3"/>
  <c r="E95" i="3"/>
  <c r="AD86" i="3"/>
  <c r="G79" i="3"/>
  <c r="D83" i="3"/>
  <c r="F71" i="3"/>
  <c r="E72" i="3"/>
  <c r="G72" i="3"/>
  <c r="F72" i="3"/>
  <c r="F95" i="3"/>
  <c r="G92" i="3"/>
  <c r="F50" i="3"/>
  <c r="D54" i="3" l="1"/>
  <c r="D64" i="3"/>
  <c r="AJ149" i="1" s="1"/>
  <c r="AK149" i="1" s="1"/>
  <c r="D77" i="3"/>
  <c r="AJ140" i="1" s="1"/>
  <c r="AK140" i="1" s="1"/>
  <c r="D69" i="3"/>
  <c r="AJ132" i="1" s="1"/>
  <c r="D90" i="3"/>
  <c r="AJ126" i="1" s="1"/>
  <c r="AK126" i="1" s="1"/>
  <c r="D97" i="3"/>
  <c r="D91" i="3"/>
  <c r="AJ154" i="1" s="1"/>
  <c r="AK154" i="1" s="1"/>
  <c r="JD9" i="4" s="1"/>
  <c r="IV9" i="4" s="1"/>
  <c r="BX140" i="1"/>
  <c r="BY140" i="1" s="1"/>
  <c r="BZ202" i="1" s="1"/>
  <c r="JI9" i="4" s="1"/>
  <c r="IX16" i="4" s="1"/>
  <c r="HS9" i="4" s="1"/>
  <c r="IZ9" i="4" s="1"/>
  <c r="HQ16" i="4" s="1"/>
  <c r="HV9" i="4" s="1"/>
  <c r="AM9" i="1"/>
  <c r="HX16" i="4" s="1"/>
  <c r="AK14" i="1"/>
  <c r="JC9" i="4" s="1"/>
  <c r="IC16" i="4" s="1"/>
  <c r="HQ9" i="4" s="1"/>
  <c r="HQ21" i="4" s="1"/>
  <c r="AK77" i="1" s="1"/>
  <c r="IG9" i="4" s="1"/>
  <c r="IN16" i="4" s="1"/>
  <c r="IW16" i="4" s="1"/>
  <c r="AL15" i="1"/>
  <c r="IG14" i="4" s="1"/>
  <c r="IF9" i="4" s="1"/>
  <c r="HY16" i="4" s="1"/>
  <c r="IZ7" i="4" s="1"/>
  <c r="AL8" i="1"/>
  <c r="BX153" i="1"/>
  <c r="IO9" i="4" s="1"/>
  <c r="JE9" i="4" s="1"/>
  <c r="IV16" i="4" s="1"/>
  <c r="AJ47" i="1"/>
  <c r="IQ9" i="4" s="1"/>
  <c r="IJ9" i="4" s="1"/>
  <c r="IG8" i="4" s="1"/>
  <c r="JG9" i="4" s="1"/>
  <c r="HS16" i="4" s="1"/>
  <c r="HY8" i="4" s="1"/>
  <c r="JD15" i="4" s="1"/>
  <c r="II7" i="4" s="1"/>
  <c r="IG7" i="4" s="1"/>
  <c r="IG16" i="4" s="1"/>
  <c r="IG21" i="4" s="1"/>
  <c r="BA77" i="1" s="1"/>
  <c r="JB7" i="4" s="1"/>
  <c r="IV8" i="4" s="1"/>
  <c r="IS16" i="4" s="1"/>
  <c r="IH15" i="4" s="1"/>
  <c r="IR16" i="4" s="1"/>
  <c r="I15" i="1"/>
  <c r="HV16" i="4" s="1"/>
  <c r="IR15" i="4" s="1"/>
  <c r="IM16" i="4" s="1"/>
  <c r="AJ25" i="1"/>
  <c r="BX47" i="1"/>
  <c r="BX21" i="1"/>
  <c r="BX51" i="1"/>
  <c r="AJ45" i="1"/>
  <c r="AK32" i="1"/>
  <c r="AK194" i="1" s="1"/>
  <c r="AL21" i="1"/>
  <c r="S21" i="1"/>
  <c r="BX126" i="1"/>
  <c r="BY126" i="1" s="1"/>
  <c r="B36" i="1"/>
  <c r="V46" i="1"/>
  <c r="V15" i="1"/>
  <c r="T36" i="1"/>
  <c r="P127" i="1"/>
  <c r="JF16" i="4" s="1"/>
  <c r="AL47" i="1"/>
  <c r="BJ8" i="1"/>
  <c r="BJ231" i="1" s="1"/>
  <c r="AL35" i="1"/>
  <c r="AJ35" i="1"/>
  <c r="AK8" i="1"/>
  <c r="D122" i="1"/>
  <c r="E23" i="1"/>
  <c r="Q9" i="1"/>
  <c r="C13" i="1"/>
  <c r="S13" i="1"/>
  <c r="D35" i="1"/>
  <c r="O45" i="1"/>
  <c r="N39" i="1"/>
  <c r="U15" i="1"/>
  <c r="IB16" i="4" s="1"/>
  <c r="JB16" i="4" s="1"/>
  <c r="IS9" i="4" s="1"/>
  <c r="ID9" i="4" s="1"/>
  <c r="AK39" i="1"/>
  <c r="AJ8" i="1"/>
  <c r="AJ231" i="1" s="1"/>
  <c r="AK9" i="1"/>
  <c r="BX163" i="1"/>
  <c r="BY163" i="1" s="1"/>
  <c r="U32" i="1"/>
  <c r="M8" i="1"/>
  <c r="M231" i="1" s="1"/>
  <c r="M9" i="1"/>
  <c r="H22" i="1"/>
  <c r="S15" i="1"/>
  <c r="B21" i="1"/>
  <c r="II16" i="4" s="1"/>
  <c r="II21" i="4" s="1"/>
  <c r="BC77" i="1" s="1"/>
  <c r="JF9" i="4" s="1"/>
  <c r="JI15" i="4" s="1"/>
  <c r="HT9" i="4" s="1"/>
  <c r="IW9" i="4" s="1"/>
  <c r="JA16" i="4" s="1"/>
  <c r="IO16" i="4" s="1"/>
  <c r="IR9" i="4" s="1"/>
  <c r="BX39" i="1"/>
  <c r="BX25" i="1"/>
  <c r="BJ14" i="1"/>
  <c r="AK46" i="1"/>
  <c r="AK35" i="1"/>
  <c r="AJ39" i="1"/>
  <c r="BX14" i="1"/>
  <c r="BX151" i="1"/>
  <c r="BY151" i="1" s="1"/>
  <c r="K8" i="1"/>
  <c r="K231" i="1" s="1"/>
  <c r="G13" i="1"/>
  <c r="G32" i="1"/>
  <c r="G194" i="1" s="1"/>
  <c r="T24" i="1"/>
  <c r="R23" i="1"/>
  <c r="M20" i="1"/>
  <c r="J21" i="1"/>
  <c r="C45" i="1"/>
  <c r="IA16" i="4" s="1"/>
  <c r="JA9" i="4" s="1"/>
  <c r="IH9" i="4" s="1"/>
  <c r="JH9" i="4" s="1"/>
  <c r="IZ16" i="4" s="1"/>
  <c r="ID16" i="4" s="1"/>
  <c r="IA14" i="4" s="1"/>
  <c r="JA7" i="4" s="1"/>
  <c r="HX9" i="4" s="1"/>
  <c r="AK24" i="1"/>
  <c r="BX8" i="1"/>
  <c r="AL39" i="1"/>
  <c r="B35" i="1"/>
  <c r="K45" i="1"/>
  <c r="C21" i="1"/>
  <c r="Q153" i="1"/>
  <c r="T8" i="1"/>
  <c r="T231" i="1" s="1"/>
  <c r="IE16" i="4" s="1"/>
  <c r="HZ16" i="4" s="1"/>
  <c r="AL46" i="1"/>
  <c r="AJ23" i="1"/>
  <c r="B24" i="1"/>
  <c r="W45" i="1"/>
  <c r="BX131" i="1"/>
  <c r="K13" i="1"/>
  <c r="B51" i="1"/>
  <c r="L15" i="1"/>
  <c r="D47" i="1"/>
  <c r="O35" i="1"/>
  <c r="E8" i="1"/>
  <c r="IR14" i="4" s="1"/>
  <c r="II9" i="4" s="1"/>
  <c r="IC7" i="4" s="1"/>
  <c r="IY9" i="4" s="1"/>
  <c r="AL32" i="1"/>
  <c r="AL194" i="1" s="1"/>
  <c r="BX9" i="1"/>
  <c r="AJ21" i="1"/>
  <c r="BX22" i="1"/>
  <c r="AL25" i="1"/>
  <c r="U36" i="1"/>
  <c r="U252" i="1" s="1"/>
  <c r="B46" i="1"/>
  <c r="C39" i="1"/>
  <c r="S36" i="1"/>
  <c r="O36" i="1"/>
  <c r="F13" i="1"/>
  <c r="E22" i="1"/>
  <c r="F36" i="1"/>
  <c r="W132" i="1"/>
  <c r="I9" i="1"/>
  <c r="M51" i="1"/>
  <c r="W35" i="1"/>
  <c r="M13" i="1"/>
  <c r="IJ16" i="4" s="1"/>
  <c r="JH16" i="4" s="1"/>
  <c r="BJ15" i="1"/>
  <c r="AJ46" i="1"/>
  <c r="BX32" i="1"/>
  <c r="BX194" i="1" s="1"/>
  <c r="AK51" i="1"/>
  <c r="AJ24" i="1"/>
  <c r="AK47" i="1"/>
  <c r="AK36" i="1"/>
  <c r="I39" i="1"/>
  <c r="W47" i="1"/>
  <c r="BX164" i="1"/>
  <c r="BY164" i="1" s="1"/>
  <c r="I21" i="1"/>
  <c r="B25" i="1"/>
  <c r="S20" i="1"/>
  <c r="W32" i="1"/>
  <c r="O8" i="1"/>
  <c r="I36" i="1"/>
  <c r="Q46" i="1"/>
  <c r="F21" i="1"/>
  <c r="HW14" i="4" s="1"/>
  <c r="IK16" i="4" s="1"/>
  <c r="IK21" i="4" s="1"/>
  <c r="BE77" i="1" s="1"/>
  <c r="JI16" i="4" s="1"/>
  <c r="HR16" i="4" s="1"/>
  <c r="IL16" i="4" s="1"/>
  <c r="IK8" i="4" s="1"/>
  <c r="IF16" i="4" s="1"/>
  <c r="BX35" i="1"/>
  <c r="AL24" i="1"/>
  <c r="BX23" i="1"/>
  <c r="AM13" i="1"/>
  <c r="AM25" i="1"/>
  <c r="BJ25" i="1"/>
  <c r="AM15" i="1"/>
  <c r="R13" i="1"/>
  <c r="BX154" i="1"/>
  <c r="BY154" i="1" s="1"/>
  <c r="I35" i="1"/>
  <c r="BX74" i="1"/>
  <c r="K23" i="1"/>
  <c r="S9" i="1"/>
  <c r="D20" i="1"/>
  <c r="C124" i="1"/>
  <c r="C22" i="1"/>
  <c r="JH8" i="4" s="1"/>
  <c r="JC16" i="4" s="1"/>
  <c r="JF7" i="4" s="1"/>
  <c r="JE7" i="4" s="1"/>
  <c r="IQ8" i="4" s="1"/>
  <c r="HZ8" i="4" s="1"/>
  <c r="HY9" i="4" s="1"/>
  <c r="HY21" i="4" s="1"/>
  <c r="AS77" i="1" s="1"/>
  <c r="IX7" i="4" s="1"/>
  <c r="JA15" i="4" s="1"/>
  <c r="JB9" i="4" s="1"/>
  <c r="HP14" i="4" s="1"/>
  <c r="AK45" i="1"/>
  <c r="BX142" i="1"/>
  <c r="BY142" i="1" s="1"/>
  <c r="B39" i="1"/>
  <c r="B23" i="1"/>
  <c r="BX146" i="1"/>
  <c r="BY146" i="1" s="1"/>
  <c r="B20" i="1"/>
  <c r="C46" i="1"/>
  <c r="T13" i="1"/>
  <c r="J46" i="1"/>
  <c r="BX36" i="1"/>
  <c r="AJ22" i="1"/>
  <c r="AK23" i="1"/>
  <c r="F15" i="1"/>
  <c r="BX147" i="1"/>
  <c r="BY147" i="1" s="1"/>
  <c r="BX73" i="1"/>
  <c r="S8" i="1"/>
  <c r="S231" i="1" s="1"/>
  <c r="V23" i="1"/>
  <c r="N13" i="1"/>
  <c r="G8" i="1"/>
  <c r="G231" i="1" s="1"/>
  <c r="J47" i="1"/>
  <c r="W22" i="1"/>
  <c r="S51" i="1"/>
  <c r="S39" i="1"/>
  <c r="I23" i="1"/>
  <c r="E51" i="1"/>
  <c r="J35" i="1"/>
  <c r="F46" i="1"/>
  <c r="P39" i="1"/>
  <c r="K15" i="1"/>
  <c r="R36" i="1"/>
  <c r="L25" i="1"/>
  <c r="T15" i="1"/>
  <c r="II15" i="4" s="1"/>
  <c r="IX9" i="4" s="1"/>
  <c r="IP8" i="4" s="1"/>
  <c r="HT14" i="4" s="1"/>
  <c r="IU14" i="4" s="1"/>
  <c r="JG7" i="4" s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Q16" i="4" s="1"/>
  <c r="JG16" i="4" s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T10" i="1" s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W117" i="1"/>
  <c r="R51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JE14" i="4" s="1"/>
  <c r="IC9" i="4" s="1"/>
  <c r="IC21" i="4" s="1"/>
  <c r="AW77" i="1" s="1"/>
  <c r="JB8" i="4" s="1"/>
  <c r="IL15" i="4" s="1"/>
  <c r="IT9" i="4" s="1"/>
  <c r="JE8" i="4" s="1"/>
  <c r="JG14" i="4" s="1"/>
  <c r="IB9" i="4" s="1"/>
  <c r="HV15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55" i="1"/>
  <c r="AK155" i="1" s="1"/>
  <c r="AJ118" i="1"/>
  <c r="AK118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S7" i="4"/>
  <c r="IL7" i="4"/>
  <c r="HX14" i="4"/>
  <c r="HT7" i="4"/>
  <c r="HX8" i="4"/>
  <c r="IL14" i="4"/>
  <c r="HZ7" i="4"/>
  <c r="JD14" i="4"/>
  <c r="IB14" i="4"/>
  <c r="JI7" i="4"/>
  <c r="IN14" i="4"/>
  <c r="IF15" i="4"/>
  <c r="IZ8" i="4"/>
  <c r="IA15" i="4"/>
  <c r="IY14" i="4"/>
  <c r="IY7" i="4"/>
  <c r="HR15" i="4"/>
  <c r="IV7" i="4"/>
  <c r="IJ14" i="4"/>
  <c r="IA7" i="4"/>
  <c r="IB8" i="4"/>
  <c r="JG8" i="4"/>
  <c r="HP7" i="4"/>
  <c r="ID7" i="4"/>
  <c r="HW7" i="4"/>
  <c r="II8" i="4"/>
  <c r="IX8" i="4"/>
  <c r="IT8" i="4"/>
  <c r="IM8" i="4"/>
  <c r="IQ14" i="4"/>
  <c r="IU7" i="4"/>
  <c r="IM14" i="4"/>
  <c r="IS8" i="4"/>
  <c r="IP14" i="4"/>
  <c r="IK14" i="4"/>
  <c r="JF14" i="4"/>
  <c r="IP7" i="4"/>
  <c r="IM15" i="4"/>
  <c r="JH15" i="4"/>
  <c r="E231" i="1"/>
  <c r="JB14" i="4"/>
  <c r="CN63" i="1"/>
  <c r="CM65" i="1"/>
  <c r="T26" i="1" l="1"/>
  <c r="IJ21" i="4"/>
  <c r="BD77" i="1" s="1"/>
  <c r="HX21" i="4"/>
  <c r="AR77" i="1" s="1"/>
  <c r="JG21" i="4"/>
  <c r="CA77" i="1" s="1"/>
  <c r="IO21" i="4"/>
  <c r="BI77" i="1" s="1"/>
  <c r="M10" i="1"/>
  <c r="JB21" i="4"/>
  <c r="BV77" i="1" s="1"/>
  <c r="B231" i="1"/>
  <c r="Q183" i="1"/>
  <c r="P252" i="1"/>
  <c r="H252" i="1"/>
  <c r="IS21" i="4"/>
  <c r="BM77" i="1" s="1"/>
  <c r="ID21" i="4"/>
  <c r="AX77" i="1" s="1"/>
  <c r="IQ21" i="4"/>
  <c r="BK77" i="1" s="1"/>
  <c r="IL21" i="4"/>
  <c r="BF77" i="1" s="1"/>
  <c r="H10" i="1"/>
  <c r="HS21" i="4"/>
  <c r="AM77" i="1" s="1"/>
  <c r="JI21" i="4"/>
  <c r="CC77" i="1" s="1"/>
  <c r="CC85" i="1" s="1"/>
  <c r="G253" i="1"/>
  <c r="W253" i="1"/>
  <c r="W194" i="1"/>
  <c r="P231" i="1"/>
  <c r="Q10" i="1"/>
  <c r="Q231" i="1"/>
  <c r="JC21" i="4"/>
  <c r="BW77" i="1" s="1"/>
  <c r="T252" i="1"/>
  <c r="AK231" i="1"/>
  <c r="G183" i="1"/>
  <c r="E10" i="1"/>
  <c r="S252" i="1"/>
  <c r="U253" i="1"/>
  <c r="U194" i="1"/>
  <c r="J253" i="1"/>
  <c r="AM252" i="1"/>
  <c r="M252" i="1"/>
  <c r="CA98" i="1"/>
  <c r="CA99" i="1" s="1"/>
  <c r="BX231" i="1"/>
  <c r="BX252" i="1"/>
  <c r="G26" i="1"/>
  <c r="C194" i="1"/>
  <c r="C253" i="1"/>
  <c r="AM10" i="1"/>
  <c r="C231" i="1"/>
  <c r="C10" i="1"/>
  <c r="BX10" i="1"/>
  <c r="IW21" i="4"/>
  <c r="BQ77" i="1" s="1"/>
  <c r="IA9" i="4" s="1"/>
  <c r="IV21" i="4"/>
  <c r="BP77" i="1" s="1"/>
  <c r="IH16" i="4" s="1"/>
  <c r="IR21" i="4"/>
  <c r="BL77" i="1" s="1"/>
  <c r="BL94" i="1" s="1"/>
  <c r="JF21" i="4"/>
  <c r="BZ77" i="1" s="1"/>
  <c r="BZ94" i="1" s="1"/>
  <c r="HP9" i="4" s="1"/>
  <c r="JD21" i="4"/>
  <c r="BX77" i="1" s="1"/>
  <c r="BX183" i="1"/>
  <c r="BY183" i="1" s="1"/>
  <c r="W16" i="1"/>
  <c r="C252" i="1"/>
  <c r="P183" i="1"/>
  <c r="BX161" i="1"/>
  <c r="BY209" i="1" s="1"/>
  <c r="S26" i="1"/>
  <c r="W188" i="1"/>
  <c r="IN9" i="4" s="1"/>
  <c r="AJ37" i="1"/>
  <c r="BX179" i="1"/>
  <c r="BY179" i="1" s="1"/>
  <c r="G252" i="1"/>
  <c r="B10" i="1"/>
  <c r="B16" i="1" s="1"/>
  <c r="B17" i="1" s="1"/>
  <c r="G10" i="1"/>
  <c r="V16" i="1"/>
  <c r="V17" i="1" s="1"/>
  <c r="E26" i="1"/>
  <c r="Q253" i="1"/>
  <c r="K252" i="1"/>
  <c r="L252" i="1"/>
  <c r="IO8" i="4"/>
  <c r="HV8" i="4"/>
  <c r="JC15" i="4"/>
  <c r="HR8" i="4"/>
  <c r="HS15" i="4"/>
  <c r="JD8" i="4"/>
  <c r="AL183" i="1"/>
  <c r="AM183" i="1" s="1"/>
  <c r="BJ183" i="1"/>
  <c r="BK183" i="1" s="1"/>
  <c r="H16" i="1"/>
  <c r="H17" i="1" s="1"/>
  <c r="AL231" i="1"/>
  <c r="AL253" i="1"/>
  <c r="M194" i="1"/>
  <c r="M253" i="1"/>
  <c r="N231" i="1"/>
  <c r="N10" i="1"/>
  <c r="N188" i="1" s="1"/>
  <c r="P194" i="1"/>
  <c r="P253" i="1"/>
  <c r="R231" i="1"/>
  <c r="R10" i="1"/>
  <c r="JI8" i="4"/>
  <c r="HQ15" i="4"/>
  <c r="H194" i="1"/>
  <c r="H253" i="1"/>
  <c r="D231" i="1"/>
  <c r="D252" i="1"/>
  <c r="IY8" i="4"/>
  <c r="IH14" i="4"/>
  <c r="IW14" i="4"/>
  <c r="IW19" i="4" s="1"/>
  <c r="BQ78" i="1" s="1"/>
  <c r="BQ107" i="1" s="1"/>
  <c r="IU15" i="4"/>
  <c r="JA8" i="4"/>
  <c r="HS8" i="4"/>
  <c r="HS20" i="4" s="1"/>
  <c r="AM79" i="1" s="1"/>
  <c r="IX21" i="4"/>
  <c r="BR77" i="1" s="1"/>
  <c r="IO14" i="4"/>
  <c r="IA8" i="4"/>
  <c r="IA20" i="4" s="1"/>
  <c r="AU79" i="1" s="1"/>
  <c r="AU108" i="1" s="1"/>
  <c r="IR8" i="4"/>
  <c r="IR20" i="4" s="1"/>
  <c r="BL79" i="1" s="1"/>
  <c r="BL96" i="1" s="1"/>
  <c r="IZ21" i="4"/>
  <c r="BT77" i="1" s="1"/>
  <c r="HT8" i="4"/>
  <c r="HV21" i="4"/>
  <c r="AP77" i="1" s="1"/>
  <c r="IW15" i="4"/>
  <c r="II14" i="4"/>
  <c r="II19" i="4" s="1"/>
  <c r="BC78" i="1" s="1"/>
  <c r="BC107" i="1" s="1"/>
  <c r="IZ14" i="4"/>
  <c r="HU15" i="4"/>
  <c r="IE14" i="4"/>
  <c r="HY14" i="4"/>
  <c r="JC14" i="4"/>
  <c r="HP15" i="4"/>
  <c r="IW7" i="4"/>
  <c r="ID8" i="4"/>
  <c r="IH7" i="4"/>
  <c r="HS14" i="4"/>
  <c r="IF8" i="4"/>
  <c r="IF20" i="4" s="1"/>
  <c r="AZ79" i="1" s="1"/>
  <c r="AZ108" i="1" s="1"/>
  <c r="HQ14" i="4"/>
  <c r="IN15" i="4"/>
  <c r="IN20" i="4" s="1"/>
  <c r="BH79" i="1" s="1"/>
  <c r="BH108" i="1" s="1"/>
  <c r="IP15" i="4"/>
  <c r="HV7" i="4"/>
  <c r="JC7" i="4"/>
  <c r="HU7" i="4"/>
  <c r="HX7" i="4"/>
  <c r="HX19" i="4" s="1"/>
  <c r="AR78" i="1" s="1"/>
  <c r="AR107" i="1" s="1"/>
  <c r="IX14" i="4"/>
  <c r="JB15" i="4"/>
  <c r="JA14" i="4"/>
  <c r="JA19" i="4" s="1"/>
  <c r="BU78" i="1" s="1"/>
  <c r="BU107" i="1" s="1"/>
  <c r="HZ15" i="4"/>
  <c r="HZ20" i="4" s="1"/>
  <c r="AT79" i="1" s="1"/>
  <c r="AT108" i="1" s="1"/>
  <c r="AK10" i="1"/>
  <c r="AK16" i="1" s="1"/>
  <c r="IZ15" i="4"/>
  <c r="IZ20" i="4" s="1"/>
  <c r="BT79" i="1" s="1"/>
  <c r="BT108" i="1" s="1"/>
  <c r="IN7" i="4"/>
  <c r="HQ8" i="4"/>
  <c r="JA21" i="4"/>
  <c r="BU77" i="1" s="1"/>
  <c r="IK15" i="4"/>
  <c r="IK20" i="4" s="1"/>
  <c r="BE79" i="1" s="1"/>
  <c r="BE108" i="1" s="1"/>
  <c r="IV14" i="4"/>
  <c r="HT15" i="4"/>
  <c r="IO7" i="4"/>
  <c r="IS14" i="4"/>
  <c r="IC8" i="4"/>
  <c r="IB7" i="4"/>
  <c r="B26" i="1"/>
  <c r="IY15" i="4"/>
  <c r="IY20" i="4" s="1"/>
  <c r="BS79" i="1" s="1"/>
  <c r="BS108" i="1" s="1"/>
  <c r="HY7" i="4"/>
  <c r="JG15" i="4"/>
  <c r="JG20" i="4" s="1"/>
  <c r="CA79" i="1" s="1"/>
  <c r="JI14" i="4"/>
  <c r="JH21" i="4"/>
  <c r="CB77" i="1" s="1"/>
  <c r="IT14" i="4"/>
  <c r="IT19" i="4" s="1"/>
  <c r="BN78" i="1" s="1"/>
  <c r="BN107" i="1" s="1"/>
  <c r="I252" i="1"/>
  <c r="HS7" i="4"/>
  <c r="IF21" i="4"/>
  <c r="AZ77" i="1" s="1"/>
  <c r="K26" i="1"/>
  <c r="S10" i="1"/>
  <c r="T188" i="1" s="1"/>
  <c r="JH14" i="4"/>
  <c r="H26" i="1"/>
  <c r="HQ7" i="4"/>
  <c r="JF8" i="4"/>
  <c r="IH8" i="4"/>
  <c r="IH20" i="4" s="1"/>
  <c r="BB79" i="1" s="1"/>
  <c r="BB108" i="1" s="1"/>
  <c r="BX26" i="1"/>
  <c r="BX27" i="1" s="1"/>
  <c r="C26" i="1"/>
  <c r="C27" i="1" s="1"/>
  <c r="D26" i="1"/>
  <c r="AL26" i="1"/>
  <c r="M26" i="1"/>
  <c r="IN8" i="4"/>
  <c r="HX15" i="4"/>
  <c r="HX20" i="4" s="1"/>
  <c r="AR79" i="1" s="1"/>
  <c r="AR108" i="1" s="1"/>
  <c r="N26" i="1"/>
  <c r="B253" i="1"/>
  <c r="AK26" i="1"/>
  <c r="P26" i="1"/>
  <c r="J252" i="1"/>
  <c r="BJ179" i="1"/>
  <c r="BK179" i="1" s="1"/>
  <c r="BJ180" i="1"/>
  <c r="BK180" i="1" s="1"/>
  <c r="V11" i="1"/>
  <c r="V188" i="1"/>
  <c r="AJ194" i="1"/>
  <c r="AJ33" i="1"/>
  <c r="IT7" i="4"/>
  <c r="IE15" i="4"/>
  <c r="IR7" i="4"/>
  <c r="IR19" i="4" s="1"/>
  <c r="BL78" i="1" s="1"/>
  <c r="IB15" i="4"/>
  <c r="IB20" i="4" s="1"/>
  <c r="AV79" i="1" s="1"/>
  <c r="AV108" i="1" s="1"/>
  <c r="IG15" i="4"/>
  <c r="IG20" i="4" s="1"/>
  <c r="BA79" i="1" s="1"/>
  <c r="BA108" i="1" s="1"/>
  <c r="HW15" i="4"/>
  <c r="IJ15" i="4"/>
  <c r="JF15" i="4"/>
  <c r="HR7" i="4"/>
  <c r="W26" i="1"/>
  <c r="Q26" i="1"/>
  <c r="IQ7" i="4"/>
  <c r="IQ19" i="4" s="1"/>
  <c r="BK78" i="1" s="1"/>
  <c r="BK107" i="1" s="1"/>
  <c r="HU14" i="4"/>
  <c r="HU19" i="4" s="1"/>
  <c r="AO78" i="1" s="1"/>
  <c r="AO107" i="1" s="1"/>
  <c r="O26" i="1"/>
  <c r="D253" i="1"/>
  <c r="L26" i="1"/>
  <c r="J26" i="1"/>
  <c r="HW8" i="4"/>
  <c r="ID14" i="4"/>
  <c r="ID19" i="4" s="1"/>
  <c r="AX78" i="1" s="1"/>
  <c r="AX107" i="1" s="1"/>
  <c r="BX180" i="1"/>
  <c r="BY180" i="1" s="1"/>
  <c r="JH7" i="4"/>
  <c r="IJ7" i="4"/>
  <c r="IJ19" i="4" s="1"/>
  <c r="BD78" i="1" s="1"/>
  <c r="BD107" i="1" s="1"/>
  <c r="F26" i="1"/>
  <c r="AJ26" i="1"/>
  <c r="BY128" i="1"/>
  <c r="IS15" i="4"/>
  <c r="IS20" i="4" s="1"/>
  <c r="BM79" i="1" s="1"/>
  <c r="BM108" i="1" s="1"/>
  <c r="HR14" i="4"/>
  <c r="HR19" i="4" s="1"/>
  <c r="AL78" i="1" s="1"/>
  <c r="V253" i="1"/>
  <c r="IB21" i="4"/>
  <c r="AV77" i="1" s="1"/>
  <c r="I26" i="1"/>
  <c r="BY120" i="1"/>
  <c r="BY92" i="1" s="1"/>
  <c r="I253" i="1"/>
  <c r="AM26" i="1"/>
  <c r="IC15" i="4"/>
  <c r="HU8" i="4"/>
  <c r="HU20" i="4" s="1"/>
  <c r="AO79" i="1" s="1"/>
  <c r="AO108" i="1" s="1"/>
  <c r="IC14" i="4"/>
  <c r="IC19" i="4" s="1"/>
  <c r="AW78" i="1" s="1"/>
  <c r="AW107" i="1" s="1"/>
  <c r="BX134" i="1"/>
  <c r="BY33" i="1" s="1"/>
  <c r="JC8" i="4"/>
  <c r="JC20" i="4" s="1"/>
  <c r="BW79" i="1" s="1"/>
  <c r="BW108" i="1" s="1"/>
  <c r="JD7" i="4"/>
  <c r="JD19" i="4" s="1"/>
  <c r="BX78" i="1" s="1"/>
  <c r="U98" i="1"/>
  <c r="W98" i="1"/>
  <c r="X188" i="1"/>
  <c r="W11" i="1"/>
  <c r="N252" i="1"/>
  <c r="AL252" i="1"/>
  <c r="O10" i="1"/>
  <c r="IU8" i="4"/>
  <c r="K10" i="1"/>
  <c r="X11" i="1"/>
  <c r="R253" i="1"/>
  <c r="V26" i="1"/>
  <c r="O252" i="1"/>
  <c r="F252" i="1"/>
  <c r="AL180" i="1"/>
  <c r="AM180" i="1" s="1"/>
  <c r="U26" i="1"/>
  <c r="IE8" i="4"/>
  <c r="B252" i="1"/>
  <c r="AL10" i="1"/>
  <c r="U16" i="1"/>
  <c r="AL179" i="1"/>
  <c r="AM179" i="1" s="1"/>
  <c r="IF14" i="4"/>
  <c r="BX148" i="1"/>
  <c r="BX182" i="1" s="1"/>
  <c r="I10" i="1"/>
  <c r="R26" i="1"/>
  <c r="AJ179" i="1"/>
  <c r="F253" i="1"/>
  <c r="O253" i="1"/>
  <c r="D10" i="1"/>
  <c r="T253" i="1"/>
  <c r="BX156" i="1"/>
  <c r="BX185" i="1" s="1"/>
  <c r="BX184" i="1" s="1"/>
  <c r="S253" i="1"/>
  <c r="L10" i="1"/>
  <c r="AJ183" i="1"/>
  <c r="O231" i="1"/>
  <c r="BX128" i="1"/>
  <c r="BX168" i="1" s="1"/>
  <c r="F10" i="1"/>
  <c r="F16" i="1" s="1"/>
  <c r="F17" i="1" s="1"/>
  <c r="N253" i="1"/>
  <c r="AM98" i="1"/>
  <c r="AM99" i="1" s="1"/>
  <c r="AM102" i="1" s="1"/>
  <c r="AM253" i="1"/>
  <c r="L253" i="1"/>
  <c r="AJ10" i="1"/>
  <c r="AJ16" i="1" s="1"/>
  <c r="AJ17" i="1" s="1"/>
  <c r="AM16" i="1"/>
  <c r="AM17" i="1" s="1"/>
  <c r="BX120" i="1"/>
  <c r="BX92" i="1" s="1"/>
  <c r="BX94" i="1" s="1"/>
  <c r="J10" i="1"/>
  <c r="BX253" i="1"/>
  <c r="R252" i="1"/>
  <c r="K253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L19" i="4"/>
  <c r="BF78" i="1" s="1"/>
  <c r="BF107" i="1" s="1"/>
  <c r="JF19" i="4"/>
  <c r="BZ78" i="1" s="1"/>
  <c r="IA19" i="4"/>
  <c r="AU78" i="1" s="1"/>
  <c r="AU107" i="1" s="1"/>
  <c r="II20" i="4"/>
  <c r="BC79" i="1" s="1"/>
  <c r="BC108" i="1" s="1"/>
  <c r="U11" i="1"/>
  <c r="T16" i="1"/>
  <c r="U188" i="1"/>
  <c r="IM20" i="4"/>
  <c r="BG79" i="1" s="1"/>
  <c r="BG108" i="1" s="1"/>
  <c r="T98" i="1"/>
  <c r="HT19" i="4"/>
  <c r="AN78" i="1" s="1"/>
  <c r="AN107" i="1" s="1"/>
  <c r="HP19" i="4"/>
  <c r="AJ78" i="1" s="1"/>
  <c r="JH20" i="4"/>
  <c r="CB79" i="1" s="1"/>
  <c r="IG19" i="4"/>
  <c r="BA78" i="1" s="1"/>
  <c r="BA107" i="1" s="1"/>
  <c r="IP19" i="4"/>
  <c r="BJ78" i="1" s="1"/>
  <c r="BJ107" i="1" s="1"/>
  <c r="IY19" i="4"/>
  <c r="BS78" i="1" s="1"/>
  <c r="BS107" i="1" s="1"/>
  <c r="JG19" i="4"/>
  <c r="CA78" i="1" s="1"/>
  <c r="IU19" i="4"/>
  <c r="BO78" i="1" s="1"/>
  <c r="BO107" i="1" s="1"/>
  <c r="HW19" i="4"/>
  <c r="AQ78" i="1" s="1"/>
  <c r="AQ107" i="1" s="1"/>
  <c r="JB19" i="4"/>
  <c r="BV78" i="1" s="1"/>
  <c r="BV107" i="1" s="1"/>
  <c r="JE19" i="4"/>
  <c r="BY78" i="1" s="1"/>
  <c r="M98" i="1"/>
  <c r="AL202" i="1"/>
  <c r="AK202" i="1"/>
  <c r="BK202" i="1"/>
  <c r="P98" i="1"/>
  <c r="P16" i="1"/>
  <c r="BY202" i="1"/>
  <c r="CM32" i="1"/>
  <c r="AC140" i="1"/>
  <c r="CN65" i="1"/>
  <c r="CO63" i="1"/>
  <c r="AL184" i="1" l="1"/>
  <c r="M16" i="1"/>
  <c r="M17" i="1" s="1"/>
  <c r="CA94" i="1"/>
  <c r="CC102" i="1"/>
  <c r="CC94" i="1"/>
  <c r="H98" i="1"/>
  <c r="E98" i="1"/>
  <c r="E16" i="1"/>
  <c r="Q188" i="1"/>
  <c r="Q16" i="1"/>
  <c r="Q17" i="1" s="1"/>
  <c r="Q98" i="1"/>
  <c r="Q11" i="1"/>
  <c r="CA102" i="1"/>
  <c r="X18" i="1"/>
  <c r="W17" i="1"/>
  <c r="BY12" i="1"/>
  <c r="CB11" i="1"/>
  <c r="CC188" i="1"/>
  <c r="BX16" i="1"/>
  <c r="C16" i="1"/>
  <c r="C11" i="1"/>
  <c r="W18" i="1"/>
  <c r="IA21" i="4"/>
  <c r="AU77" i="1" s="1"/>
  <c r="IU16" i="4"/>
  <c r="IH21" i="4"/>
  <c r="BB77" i="1" s="1"/>
  <c r="HU9" i="4"/>
  <c r="IM9" i="4" s="1"/>
  <c r="IN21" i="4"/>
  <c r="BH77" i="1" s="1"/>
  <c r="IV15" i="4"/>
  <c r="JH19" i="4"/>
  <c r="CB78" i="1" s="1"/>
  <c r="HY19" i="4"/>
  <c r="AS78" i="1" s="1"/>
  <c r="AS107" i="1" s="1"/>
  <c r="IH19" i="4"/>
  <c r="BB78" i="1" s="1"/>
  <c r="BB107" i="1" s="1"/>
  <c r="HQ19" i="4"/>
  <c r="AK78" i="1" s="1"/>
  <c r="AK27" i="1"/>
  <c r="IU20" i="4"/>
  <c r="BO79" i="1" s="1"/>
  <c r="BO108" i="1" s="1"/>
  <c r="IE20" i="4"/>
  <c r="AY79" i="1" s="1"/>
  <c r="AY108" i="1" s="1"/>
  <c r="BX181" i="1"/>
  <c r="HR20" i="4"/>
  <c r="AL79" i="1" s="1"/>
  <c r="IX19" i="4"/>
  <c r="BR78" i="1" s="1"/>
  <c r="BR107" i="1" s="1"/>
  <c r="HS19" i="4"/>
  <c r="AM78" i="1" s="1"/>
  <c r="S98" i="1"/>
  <c r="S16" i="1"/>
  <c r="S17" i="1" s="1"/>
  <c r="R11" i="1"/>
  <c r="N11" i="1"/>
  <c r="IB19" i="4"/>
  <c r="AV78" i="1" s="1"/>
  <c r="AV107" i="1" s="1"/>
  <c r="JC19" i="4"/>
  <c r="BW78" i="1" s="1"/>
  <c r="BW107" i="1" s="1"/>
  <c r="E27" i="1"/>
  <c r="HQ20" i="4"/>
  <c r="AK79" i="1" s="1"/>
  <c r="HT20" i="4"/>
  <c r="AN79" i="1" s="1"/>
  <c r="AN108" i="1" s="1"/>
  <c r="HV20" i="4"/>
  <c r="AP79" i="1" s="1"/>
  <c r="AP108" i="1" s="1"/>
  <c r="N98" i="1"/>
  <c r="N16" i="1"/>
  <c r="IN19" i="4"/>
  <c r="BH78" i="1" s="1"/>
  <c r="BH107" i="1" s="1"/>
  <c r="JI19" i="4"/>
  <c r="CC78" i="1" s="1"/>
  <c r="T11" i="1"/>
  <c r="JB20" i="4"/>
  <c r="BV79" i="1" s="1"/>
  <c r="BV108" i="1" s="1"/>
  <c r="IV19" i="4"/>
  <c r="BP78" i="1" s="1"/>
  <c r="BP107" i="1" s="1"/>
  <c r="IS19" i="4"/>
  <c r="BM78" i="1" s="1"/>
  <c r="BM107" i="1" s="1"/>
  <c r="IC20" i="4"/>
  <c r="AW79" i="1" s="1"/>
  <c r="AW108" i="1" s="1"/>
  <c r="G98" i="1"/>
  <c r="G16" i="1"/>
  <c r="C188" i="1"/>
  <c r="IO19" i="4"/>
  <c r="BI78" i="1" s="1"/>
  <c r="BI107" i="1" s="1"/>
  <c r="JI20" i="4"/>
  <c r="CC79" i="1" s="1"/>
  <c r="IJ20" i="4"/>
  <c r="BD79" i="1" s="1"/>
  <c r="BD108" i="1" s="1"/>
  <c r="R188" i="1"/>
  <c r="JA20" i="4"/>
  <c r="BU79" i="1" s="1"/>
  <c r="BU108" i="1" s="1"/>
  <c r="IZ19" i="4"/>
  <c r="BT78" i="1" s="1"/>
  <c r="BT107" i="1" s="1"/>
  <c r="IP20" i="4"/>
  <c r="BJ79" i="1" s="1"/>
  <c r="BJ108" i="1" s="1"/>
  <c r="JD20" i="4"/>
  <c r="BX79" i="1" s="1"/>
  <c r="BX108" i="1" s="1"/>
  <c r="H11" i="1"/>
  <c r="H188" i="1"/>
  <c r="AL27" i="1"/>
  <c r="HW20" i="4"/>
  <c r="AQ79" i="1" s="1"/>
  <c r="AQ108" i="1" s="1"/>
  <c r="R98" i="1"/>
  <c r="R16" i="1"/>
  <c r="JF20" i="4"/>
  <c r="BZ79" i="1" s="1"/>
  <c r="BX157" i="1"/>
  <c r="J11" i="1"/>
  <c r="B27" i="1"/>
  <c r="B28" i="1"/>
  <c r="CB94" i="1"/>
  <c r="CB102" i="1"/>
  <c r="CB85" i="1"/>
  <c r="S188" i="1"/>
  <c r="S11" i="1"/>
  <c r="W27" i="1"/>
  <c r="W28" i="1"/>
  <c r="BZ249" i="1"/>
  <c r="BZ251" i="1" s="1"/>
  <c r="BZ206" i="1"/>
  <c r="AM28" i="1"/>
  <c r="AM27" i="1"/>
  <c r="BY134" i="1"/>
  <c r="BX138" i="1"/>
  <c r="BX246" i="1" s="1"/>
  <c r="O11" i="1"/>
  <c r="O98" i="1"/>
  <c r="O16" i="1"/>
  <c r="P188" i="1"/>
  <c r="P11" i="1"/>
  <c r="O188" i="1"/>
  <c r="K188" i="1"/>
  <c r="K98" i="1"/>
  <c r="K16" i="1"/>
  <c r="V27" i="1"/>
  <c r="V28" i="1"/>
  <c r="AL16" i="1"/>
  <c r="AL12" i="1"/>
  <c r="AM12" i="1"/>
  <c r="AM225" i="1"/>
  <c r="U17" i="1"/>
  <c r="V18" i="1"/>
  <c r="I188" i="1"/>
  <c r="I11" i="1"/>
  <c r="E188" i="1"/>
  <c r="D16" i="1"/>
  <c r="L11" i="1"/>
  <c r="M188" i="1"/>
  <c r="M11" i="1"/>
  <c r="D11" i="1"/>
  <c r="D27" i="1"/>
  <c r="BY129" i="1"/>
  <c r="AJ129" i="1"/>
  <c r="BY207" i="1"/>
  <c r="J188" i="1"/>
  <c r="E11" i="1"/>
  <c r="I98" i="1"/>
  <c r="BX186" i="1"/>
  <c r="CB189" i="1" s="1"/>
  <c r="I16" i="1"/>
  <c r="I18" i="1" s="1"/>
  <c r="D188" i="1"/>
  <c r="BZ207" i="1"/>
  <c r="F98" i="1"/>
  <c r="BY249" i="1"/>
  <c r="BX248" i="1"/>
  <c r="F11" i="1"/>
  <c r="F188" i="1"/>
  <c r="L16" i="1"/>
  <c r="L17" i="1" s="1"/>
  <c r="BX129" i="1"/>
  <c r="L98" i="1"/>
  <c r="L188" i="1"/>
  <c r="J98" i="1"/>
  <c r="BY206" i="1"/>
  <c r="AK12" i="1"/>
  <c r="AJ28" i="1"/>
  <c r="AJ29" i="1" s="1"/>
  <c r="G11" i="1"/>
  <c r="AJ27" i="1"/>
  <c r="BX95" i="1"/>
  <c r="J16" i="1"/>
  <c r="J17" i="1" s="1"/>
  <c r="BK24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K11" i="1"/>
  <c r="G188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U18" i="1"/>
  <c r="T17" i="1"/>
  <c r="AL107" i="1"/>
  <c r="CB96" i="1"/>
  <c r="CB108" i="1"/>
  <c r="CB111" i="1" s="1"/>
  <c r="CB114" i="1" s="1"/>
  <c r="CB104" i="1"/>
  <c r="BL108" i="1"/>
  <c r="BL111" i="1" s="1"/>
  <c r="CB87" i="1"/>
  <c r="CA103" i="1"/>
  <c r="CA107" i="1"/>
  <c r="CA95" i="1"/>
  <c r="BY107" i="1"/>
  <c r="BY89" i="1"/>
  <c r="BX109" i="1"/>
  <c r="BY37" i="1"/>
  <c r="P17" i="1"/>
  <c r="AK28" i="1"/>
  <c r="AK17" i="1"/>
  <c r="AK19" i="1"/>
  <c r="BY95" i="1"/>
  <c r="CM194" i="1"/>
  <c r="CM132" i="1"/>
  <c r="CM134" i="1" s="1"/>
  <c r="CM138" i="1" s="1"/>
  <c r="CM203" i="1" s="1"/>
  <c r="CM201" i="1" s="1"/>
  <c r="AC202" i="1"/>
  <c r="AB149" i="1"/>
  <c r="AB117" i="1"/>
  <c r="CO65" i="1"/>
  <c r="CP63" i="1"/>
  <c r="CA225" i="1"/>
  <c r="AJ165" i="1" l="1"/>
  <c r="CB95" i="1"/>
  <c r="N18" i="1"/>
  <c r="CC95" i="1"/>
  <c r="CC107" i="1"/>
  <c r="BY19" i="1"/>
  <c r="Q18" i="1"/>
  <c r="C18" i="1"/>
  <c r="C17" i="1"/>
  <c r="E17" i="1"/>
  <c r="AL96" i="1"/>
  <c r="AL108" i="1"/>
  <c r="AM103" i="1"/>
  <c r="AM107" i="1"/>
  <c r="S18" i="1"/>
  <c r="CB86" i="1"/>
  <c r="CB103" i="1"/>
  <c r="CB107" i="1"/>
  <c r="CB110" i="1" s="1"/>
  <c r="CB113" i="1" s="1"/>
  <c r="N17" i="1"/>
  <c r="T18" i="1"/>
  <c r="BX17" i="1"/>
  <c r="CB18" i="1"/>
  <c r="BX28" i="1"/>
  <c r="C28" i="1"/>
  <c r="E28" i="1"/>
  <c r="E29" i="1" s="1"/>
  <c r="F18" i="1"/>
  <c r="IM21" i="4"/>
  <c r="BG77" i="1" s="1"/>
  <c r="IW8" i="4" s="1"/>
  <c r="HZ9" i="4"/>
  <c r="IV20" i="4"/>
  <c r="BP79" i="1" s="1"/>
  <c r="BP108" i="1" s="1"/>
  <c r="IK7" i="4"/>
  <c r="BY205" i="1"/>
  <c r="AJ166" i="1"/>
  <c r="CC103" i="1"/>
  <c r="CC86" i="1"/>
  <c r="CF90" i="1" s="1"/>
  <c r="CC96" i="1"/>
  <c r="CC104" i="1"/>
  <c r="CC108" i="1"/>
  <c r="CC87" i="1"/>
  <c r="R17" i="1"/>
  <c r="BX96" i="1"/>
  <c r="R18" i="1"/>
  <c r="G17" i="1"/>
  <c r="H18" i="1"/>
  <c r="G18" i="1"/>
  <c r="BX165" i="1"/>
  <c r="BX166" i="1" s="1"/>
  <c r="BZ205" i="1"/>
  <c r="BZ108" i="1"/>
  <c r="BZ111" i="1" s="1"/>
  <c r="BZ96" i="1"/>
  <c r="B29" i="1"/>
  <c r="B112" i="1"/>
  <c r="W232" i="1"/>
  <c r="W233" i="1" s="1"/>
  <c r="W34" i="1"/>
  <c r="W38" i="1" s="1"/>
  <c r="W250" i="1"/>
  <c r="W112" i="1"/>
  <c r="X250" i="1"/>
  <c r="W29" i="1"/>
  <c r="X30" i="1"/>
  <c r="AM34" i="1"/>
  <c r="AM38" i="1" s="1"/>
  <c r="AM29" i="1"/>
  <c r="AM232" i="1"/>
  <c r="AM233" i="1" s="1"/>
  <c r="O17" i="1"/>
  <c r="O18" i="1"/>
  <c r="P18" i="1"/>
  <c r="K18" i="1"/>
  <c r="K17" i="1"/>
  <c r="V34" i="1"/>
  <c r="V38" i="1" s="1"/>
  <c r="V112" i="1"/>
  <c r="V232" i="1"/>
  <c r="V233" i="1" s="1"/>
  <c r="V29" i="1"/>
  <c r="W30" i="1"/>
  <c r="AL19" i="1"/>
  <c r="AM19" i="1"/>
  <c r="D28" i="1"/>
  <c r="D17" i="1"/>
  <c r="E18" i="1"/>
  <c r="D18" i="1"/>
  <c r="BY138" i="1"/>
  <c r="BZ33" i="1"/>
  <c r="AL28" i="1"/>
  <c r="AL17" i="1"/>
  <c r="J18" i="1"/>
  <c r="I17" i="1"/>
  <c r="L18" i="1"/>
  <c r="AJ34" i="1"/>
  <c r="AJ38" i="1" s="1"/>
  <c r="AJ41" i="1" s="1"/>
  <c r="AJ232" i="1"/>
  <c r="AJ233" i="1" s="1"/>
  <c r="M18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BX110" i="1"/>
  <c r="BX111" i="1"/>
  <c r="AK232" i="1"/>
  <c r="AK233" i="1" s="1"/>
  <c r="AK29" i="1"/>
  <c r="AK34" i="1"/>
  <c r="AK38" i="1" s="1"/>
  <c r="AK31" i="1"/>
  <c r="CN32" i="1"/>
  <c r="AB163" i="1"/>
  <c r="CP65" i="1"/>
  <c r="CQ63" i="1"/>
  <c r="AC117" i="1"/>
  <c r="AC149" i="1"/>
  <c r="CB225" i="1"/>
  <c r="BQ1" i="1"/>
  <c r="BR1" i="1" s="1"/>
  <c r="BS1" i="1" s="1"/>
  <c r="BT1" i="1" s="1"/>
  <c r="CE90" i="1" l="1"/>
  <c r="C250" i="1"/>
  <c r="C29" i="1"/>
  <c r="C30" i="1"/>
  <c r="BX29" i="1"/>
  <c r="BX34" i="1"/>
  <c r="CB30" i="1"/>
  <c r="CA112" i="1"/>
  <c r="BX232" i="1"/>
  <c r="BX233" i="1" s="1"/>
  <c r="BY31" i="1"/>
  <c r="BY250" i="1"/>
  <c r="BY251" i="1" s="1"/>
  <c r="IW20" i="4"/>
  <c r="BQ79" i="1" s="1"/>
  <c r="BQ108" i="1" s="1"/>
  <c r="HP16" i="4"/>
  <c r="HZ21" i="4"/>
  <c r="AT77" i="1" s="1"/>
  <c r="IQ15" i="4" s="1"/>
  <c r="HU16" i="4"/>
  <c r="HU21" i="4" s="1"/>
  <c r="AO77" i="1" s="1"/>
  <c r="HT16" i="4" s="1"/>
  <c r="HT21" i="4" s="1"/>
  <c r="AN77" i="1" s="1"/>
  <c r="IK19" i="4"/>
  <c r="BE78" i="1" s="1"/>
  <c r="BE107" i="1" s="1"/>
  <c r="IP16" i="4"/>
  <c r="IP21" i="4" s="1"/>
  <c r="BJ77" i="1" s="1"/>
  <c r="BJ94" i="1" s="1"/>
  <c r="W41" i="1"/>
  <c r="W40" i="1"/>
  <c r="AM41" i="1"/>
  <c r="AM42" i="1" s="1"/>
  <c r="AM245" i="1" s="1"/>
  <c r="AM40" i="1"/>
  <c r="V41" i="1"/>
  <c r="V40" i="1"/>
  <c r="D29" i="1"/>
  <c r="D34" i="1"/>
  <c r="D38" i="1" s="1"/>
  <c r="D232" i="1"/>
  <c r="D233" i="1" s="1"/>
  <c r="D250" i="1"/>
  <c r="E30" i="1"/>
  <c r="D112" i="1"/>
  <c r="D30" i="1"/>
  <c r="BY203" i="1"/>
  <c r="BY201" i="1" s="1"/>
  <c r="BZ203" i="1"/>
  <c r="BZ201" i="1" s="1"/>
  <c r="AL29" i="1"/>
  <c r="AL34" i="1"/>
  <c r="AL38" i="1" s="1"/>
  <c r="AM31" i="1"/>
  <c r="AL232" i="1"/>
  <c r="AL233" i="1" s="1"/>
  <c r="AM250" i="1"/>
  <c r="AM251" i="1" s="1"/>
  <c r="AL250" i="1"/>
  <c r="AL251" i="1" s="1"/>
  <c r="AM226" i="1"/>
  <c r="AL31" i="1"/>
  <c r="AM112" i="1"/>
  <c r="AJ40" i="1"/>
  <c r="AL111" i="1"/>
  <c r="AL110" i="1"/>
  <c r="AL203" i="1"/>
  <c r="AL201" i="1" s="1"/>
  <c r="AK203" i="1"/>
  <c r="AK201" i="1" s="1"/>
  <c r="AJ42" i="1"/>
  <c r="AJ48" i="1"/>
  <c r="AJ234" i="1"/>
  <c r="CA55" i="1"/>
  <c r="AK41" i="1"/>
  <c r="AK40" i="1"/>
  <c r="CN132" i="1"/>
  <c r="CN134" i="1" s="1"/>
  <c r="CO32" i="1" s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38" i="1" l="1"/>
  <c r="HP21" i="4"/>
  <c r="AJ77" i="1" s="1"/>
  <c r="ID15" i="4" s="1"/>
  <c r="IO15" i="4"/>
  <c r="IQ20" i="4"/>
  <c r="BK79" i="1" s="1"/>
  <c r="BK108" i="1" s="1"/>
  <c r="HW9" i="4"/>
  <c r="JE15" i="4" s="1"/>
  <c r="W48" i="1"/>
  <c r="W52" i="1" s="1"/>
  <c r="W234" i="1"/>
  <c r="W42" i="1"/>
  <c r="W245" i="1" s="1"/>
  <c r="X43" i="1"/>
  <c r="V42" i="1"/>
  <c r="V245" i="1" s="1"/>
  <c r="V48" i="1"/>
  <c r="W43" i="1"/>
  <c r="D41" i="1"/>
  <c r="D40" i="1"/>
  <c r="AL40" i="1"/>
  <c r="AL4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BX40" i="1"/>
  <c r="BX41" i="1"/>
  <c r="CO194" i="1"/>
  <c r="CO132" i="1"/>
  <c r="CN138" i="1"/>
  <c r="CN194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ID20" i="4" l="1"/>
  <c r="AX79" i="1" s="1"/>
  <c r="AX108" i="1" s="1"/>
  <c r="IX15" i="4"/>
  <c r="IO20" i="4"/>
  <c r="BI79" i="1" s="1"/>
  <c r="BI108" i="1" s="1"/>
  <c r="HP8" i="4"/>
  <c r="JE20" i="4"/>
  <c r="BY79" i="1" s="1"/>
  <c r="IE7" i="4"/>
  <c r="AL44" i="1"/>
  <c r="AM227" i="1"/>
  <c r="D234" i="1"/>
  <c r="D42" i="1"/>
  <c r="D48" i="1"/>
  <c r="AL42" i="1"/>
  <c r="AL245" i="1" s="1"/>
  <c r="AL48" i="1"/>
  <c r="AM44" i="1"/>
  <c r="AL234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X20" i="4" l="1"/>
  <c r="BR79" i="1" s="1"/>
  <c r="BR108" i="1" s="1"/>
  <c r="IY16" i="4"/>
  <c r="HP20" i="4"/>
  <c r="AJ79" i="1" s="1"/>
  <c r="IF7" i="4"/>
  <c r="IF19" i="4" s="1"/>
  <c r="AZ78" i="1" s="1"/>
  <c r="AZ107" i="1" s="1"/>
  <c r="BY96" i="1"/>
  <c r="BY108" i="1"/>
  <c r="IE19" i="4"/>
  <c r="AY78" i="1" s="1"/>
  <c r="AY107" i="1" s="1"/>
  <c r="JE16" i="4"/>
  <c r="JE21" i="4" s="1"/>
  <c r="BY77" i="1" s="1"/>
  <c r="AL193" i="1"/>
  <c r="AL195" i="1" s="1"/>
  <c r="AL52" i="1"/>
  <c r="AL66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E9" i="4" l="1"/>
  <c r="IY21" i="4"/>
  <c r="BS77" i="1" s="1"/>
  <c r="IT15" i="4" s="1"/>
  <c r="BY94" i="1"/>
  <c r="HR9" i="4"/>
  <c r="HR21" i="4" s="1"/>
  <c r="AL77" i="1" s="1"/>
  <c r="AL94" i="1" s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E21" i="4" l="1"/>
  <c r="AY77" i="1" s="1"/>
  <c r="HV14" i="4"/>
  <c r="IT20" i="4"/>
  <c r="BN79" i="1" s="1"/>
  <c r="BN108" i="1" s="1"/>
  <c r="IT16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V19" i="4" l="1"/>
  <c r="AP78" i="1" s="1"/>
  <c r="AP107" i="1" s="1"/>
  <c r="HY15" i="4"/>
  <c r="IT21" i="4"/>
  <c r="BN77" i="1" s="1"/>
  <c r="HW16" i="4"/>
  <c r="CP138" i="1"/>
  <c r="CP203" i="1" s="1"/>
  <c r="CP201" i="1" s="1"/>
  <c r="CQ32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HY20" i="4" l="1"/>
  <c r="AS79" i="1" s="1"/>
  <c r="AS108" i="1" s="1"/>
  <c r="HZ14" i="4"/>
  <c r="HW21" i="4"/>
  <c r="AQ77" i="1" s="1"/>
  <c r="IU9" i="4"/>
  <c r="IU21" i="4" s="1"/>
  <c r="BO77" i="1" s="1"/>
  <c r="IL8" i="4" s="1"/>
  <c r="IL20" i="4" s="1"/>
  <c r="BF79" i="1" s="1"/>
  <c r="BF108" i="1" s="1"/>
  <c r="CQ194" i="1"/>
  <c r="CQ132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M54" i="2"/>
  <c r="J47" i="2"/>
  <c r="Q68" i="2"/>
  <c r="I107" i="2"/>
  <c r="E67" i="2"/>
  <c r="D76" i="2"/>
  <c r="L62" i="2"/>
  <c r="W66" i="2"/>
  <c r="V94" i="2"/>
  <c r="M41" i="2"/>
  <c r="D46" i="2"/>
  <c r="S72" i="2"/>
  <c r="T82" i="2"/>
  <c r="Q75" i="2"/>
  <c r="J87" i="2"/>
  <c r="E93" i="2"/>
  <c r="U112" i="2"/>
  <c r="X107" i="2"/>
  <c r="C52" i="2"/>
  <c r="I45" i="2"/>
  <c r="D59" i="2"/>
  <c r="H42" i="2"/>
  <c r="E80" i="2"/>
  <c r="V53" i="2"/>
  <c r="M68" i="2"/>
  <c r="C78" i="2"/>
  <c r="G74" i="2"/>
  <c r="M56" i="2"/>
  <c r="K41" i="2"/>
  <c r="I88" i="2"/>
  <c r="D94" i="2"/>
  <c r="K77" i="2"/>
  <c r="I58" i="2"/>
  <c r="W52" i="2"/>
  <c r="G51" i="2"/>
  <c r="O61" i="2"/>
  <c r="X85" i="2"/>
  <c r="M47" i="2"/>
  <c r="C63" i="2"/>
  <c r="AB57" i="3"/>
  <c r="AP83" i="3"/>
  <c r="AP79" i="3"/>
  <c r="AB87" i="3"/>
  <c r="AB70" i="3"/>
  <c r="AB84" i="3"/>
  <c r="I22" i="3"/>
  <c r="M35" i="3"/>
  <c r="AJ17" i="3"/>
  <c r="AM32" i="3"/>
  <c r="AO39" i="3"/>
  <c r="Z6" i="3"/>
  <c r="W22" i="3"/>
  <c r="H5" i="3"/>
  <c r="C7" i="3"/>
  <c r="AE9" i="3"/>
  <c r="U15" i="3"/>
  <c r="R35" i="3"/>
  <c r="AM25" i="3"/>
  <c r="W21" i="3"/>
  <c r="AP13" i="3"/>
  <c r="Q31" i="3"/>
  <c r="Z11" i="3"/>
  <c r="AE34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J65" i="2"/>
  <c r="C72" i="2"/>
  <c r="L113" i="2"/>
  <c r="X46" i="2"/>
  <c r="N104" i="2"/>
  <c r="N76" i="2"/>
  <c r="Q106" i="2"/>
  <c r="K109" i="2"/>
  <c r="E69" i="2"/>
  <c r="V76" i="2"/>
  <c r="W69" i="2"/>
  <c r="S71" i="2"/>
  <c r="L60" i="2"/>
  <c r="E83" i="2"/>
  <c r="N95" i="2"/>
  <c r="I43" i="2"/>
  <c r="U89" i="2"/>
  <c r="E91" i="2"/>
  <c r="K92" i="2"/>
  <c r="W53" i="2"/>
  <c r="L99" i="2"/>
  <c r="K69" i="2"/>
  <c r="N79" i="2"/>
  <c r="C104" i="2"/>
  <c r="M51" i="2"/>
  <c r="M63" i="2"/>
  <c r="I51" i="2"/>
  <c r="J51" i="2"/>
  <c r="X97" i="2"/>
  <c r="D68" i="2"/>
  <c r="K73" i="2"/>
  <c r="T105" i="2"/>
  <c r="G70" i="2"/>
  <c r="O66" i="2"/>
  <c r="N55" i="2"/>
  <c r="J67" i="2"/>
  <c r="J81" i="2"/>
  <c r="T63" i="2"/>
  <c r="L97" i="2"/>
  <c r="AB65" i="3"/>
  <c r="AB59" i="3"/>
  <c r="AB93" i="3"/>
  <c r="AP63" i="3"/>
  <c r="AB54" i="3"/>
  <c r="AP77" i="3"/>
  <c r="AB95" i="3"/>
  <c r="K13" i="3"/>
  <c r="AJ38" i="3"/>
  <c r="R18" i="3"/>
  <c r="J16" i="3"/>
  <c r="AL41" i="3"/>
  <c r="N15" i="3"/>
  <c r="Q36" i="3"/>
  <c r="X12" i="3"/>
  <c r="O28" i="3"/>
  <c r="I19" i="3"/>
  <c r="O38" i="3"/>
  <c r="L37" i="3"/>
  <c r="AE21" i="3"/>
  <c r="W18" i="3"/>
  <c r="AQ18" i="3"/>
  <c r="U11" i="3"/>
  <c r="X35" i="3"/>
  <c r="H6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I83" i="2"/>
  <c r="K80" i="2"/>
  <c r="J75" i="2"/>
  <c r="G84" i="2"/>
  <c r="X79" i="2"/>
  <c r="W95" i="2"/>
  <c r="X72" i="2"/>
  <c r="V105" i="2"/>
  <c r="C55" i="2"/>
  <c r="O96" i="2"/>
  <c r="H56" i="2"/>
  <c r="N108" i="2"/>
  <c r="U90" i="2"/>
  <c r="H71" i="2"/>
  <c r="J105" i="2"/>
  <c r="K81" i="2"/>
  <c r="V47" i="2"/>
  <c r="X105" i="2"/>
  <c r="T89" i="2"/>
  <c r="E56" i="2"/>
  <c r="L64" i="2"/>
  <c r="R71" i="2"/>
  <c r="N49" i="2"/>
  <c r="R73" i="2"/>
  <c r="V46" i="2"/>
  <c r="T93" i="2"/>
  <c r="S56" i="2"/>
  <c r="O67" i="2"/>
  <c r="P57" i="2"/>
  <c r="G94" i="2"/>
  <c r="J60" i="2"/>
  <c r="T58" i="2"/>
  <c r="P56" i="2"/>
  <c r="P77" i="2"/>
  <c r="H109" i="2"/>
  <c r="X81" i="2"/>
  <c r="W112" i="2"/>
  <c r="K111" i="2"/>
  <c r="S98" i="2"/>
  <c r="AB83" i="3"/>
  <c r="AP66" i="3"/>
  <c r="AB90" i="3"/>
  <c r="AB96" i="3"/>
  <c r="AP74" i="3"/>
  <c r="AP89" i="3"/>
  <c r="AB74" i="3"/>
  <c r="AI6" i="3"/>
  <c r="V16" i="3"/>
  <c r="AK5" i="3"/>
  <c r="AQ39" i="3"/>
  <c r="R25" i="3"/>
  <c r="X31" i="3"/>
  <c r="AN31" i="3"/>
  <c r="M34" i="3"/>
  <c r="AB20" i="3"/>
  <c r="AA25" i="3"/>
  <c r="G42" i="3"/>
  <c r="N40" i="3"/>
  <c r="O17" i="3"/>
  <c r="N34" i="3"/>
  <c r="L29" i="3"/>
  <c r="AJ41" i="3"/>
  <c r="V12" i="3"/>
  <c r="AG37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W73" i="2"/>
  <c r="C71" i="2"/>
  <c r="J57" i="2"/>
  <c r="H95" i="2"/>
  <c r="S108" i="2"/>
  <c r="F109" i="2"/>
  <c r="U55" i="2"/>
  <c r="F68" i="2"/>
  <c r="K67" i="2"/>
  <c r="H79" i="2"/>
  <c r="J89" i="2"/>
  <c r="W67" i="2"/>
  <c r="N53" i="2"/>
  <c r="D71" i="2"/>
  <c r="W41" i="2"/>
  <c r="E105" i="2"/>
  <c r="G105" i="2"/>
  <c r="H69" i="2"/>
  <c r="N69" i="2"/>
  <c r="U69" i="2"/>
  <c r="V81" i="2"/>
  <c r="T71" i="2"/>
  <c r="H61" i="2"/>
  <c r="X87" i="2"/>
  <c r="I81" i="2"/>
  <c r="Q98" i="2"/>
  <c r="J96" i="2"/>
  <c r="U43" i="2"/>
  <c r="P52" i="2"/>
  <c r="H88" i="2"/>
  <c r="P74" i="2"/>
  <c r="D41" i="2"/>
  <c r="T70" i="2"/>
  <c r="I40" i="2"/>
  <c r="H93" i="2"/>
  <c r="K63" i="2"/>
  <c r="D107" i="2"/>
  <c r="O47" i="2"/>
  <c r="R60" i="2"/>
  <c r="AP68" i="3"/>
  <c r="AB78" i="3"/>
  <c r="AB92" i="3"/>
  <c r="AP91" i="3"/>
  <c r="AP54" i="3"/>
  <c r="AB69" i="3"/>
  <c r="H20" i="3"/>
  <c r="AG39" i="3"/>
  <c r="L32" i="3"/>
  <c r="N26" i="3"/>
  <c r="AP10" i="3"/>
  <c r="S31" i="3"/>
  <c r="AH21" i="3"/>
  <c r="AH33" i="3"/>
  <c r="Z8" i="3"/>
  <c r="AH16" i="3"/>
  <c r="Z15" i="3"/>
  <c r="AA9" i="3"/>
  <c r="AN9" i="3"/>
  <c r="S32" i="3"/>
  <c r="AL30" i="3"/>
  <c r="W40" i="3"/>
  <c r="AJ33" i="3"/>
  <c r="AA30" i="3"/>
  <c r="AI15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S72" i="3" s="1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S86" i="2"/>
  <c r="E70" i="2"/>
  <c r="S78" i="2"/>
  <c r="G61" i="2"/>
  <c r="O58" i="2"/>
  <c r="D52" i="2"/>
  <c r="L111" i="2"/>
  <c r="V111" i="2"/>
  <c r="F48" i="2"/>
  <c r="D74" i="2"/>
  <c r="G68" i="2"/>
  <c r="M112" i="2"/>
  <c r="T106" i="2"/>
  <c r="U77" i="2"/>
  <c r="G88" i="2"/>
  <c r="E50" i="2"/>
  <c r="M83" i="2"/>
  <c r="I42" i="2"/>
  <c r="M84" i="2"/>
  <c r="D82" i="2"/>
  <c r="Q66" i="2"/>
  <c r="K45" i="2"/>
  <c r="F87" i="2"/>
  <c r="W62" i="2"/>
  <c r="E58" i="2"/>
  <c r="P98" i="2"/>
  <c r="U47" i="2"/>
  <c r="X110" i="2"/>
  <c r="S49" i="2"/>
  <c r="S107" i="2"/>
  <c r="P108" i="2"/>
  <c r="V99" i="2"/>
  <c r="E98" i="2"/>
  <c r="V63" i="2"/>
  <c r="F61" i="2"/>
  <c r="J111" i="2"/>
  <c r="K96" i="2"/>
  <c r="X56" i="2"/>
  <c r="M72" i="2"/>
  <c r="N113" i="2"/>
  <c r="M75" i="2"/>
  <c r="G56" i="2"/>
  <c r="G87" i="2"/>
  <c r="S110" i="2"/>
  <c r="X53" i="2"/>
  <c r="D67" i="2"/>
  <c r="T109" i="2"/>
  <c r="E97" i="2"/>
  <c r="S90" i="2"/>
  <c r="I75" i="2"/>
  <c r="E112" i="2"/>
  <c r="E87" i="2"/>
  <c r="G76" i="2"/>
  <c r="N70" i="2"/>
  <c r="O50" i="2"/>
  <c r="E78" i="2"/>
  <c r="I73" i="2"/>
  <c r="U40" i="2"/>
  <c r="X45" i="2"/>
  <c r="AB68" i="3"/>
  <c r="AP86" i="3"/>
  <c r="AP59" i="3"/>
  <c r="AP47" i="3"/>
  <c r="AP80" i="3"/>
  <c r="AP67" i="3"/>
  <c r="C28" i="3"/>
  <c r="T8" i="3"/>
  <c r="O39" i="3"/>
  <c r="G36" i="3"/>
  <c r="AH31" i="3"/>
  <c r="AN22" i="3"/>
  <c r="Y17" i="3"/>
  <c r="AO15" i="3"/>
  <c r="AD35" i="3"/>
  <c r="H38" i="3"/>
  <c r="I37" i="3"/>
  <c r="I9" i="3"/>
  <c r="L11" i="3"/>
  <c r="J37" i="3"/>
  <c r="T32" i="3"/>
  <c r="Y13" i="3"/>
  <c r="O5" i="3"/>
  <c r="W19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I76" i="2"/>
  <c r="L72" i="2"/>
  <c r="W47" i="2"/>
  <c r="R58" i="2"/>
  <c r="K60" i="2"/>
  <c r="X82" i="2"/>
  <c r="T107" i="2"/>
  <c r="K70" i="2"/>
  <c r="W55" i="2"/>
  <c r="Q94" i="2"/>
  <c r="X89" i="2"/>
  <c r="J73" i="2"/>
  <c r="J40" i="2"/>
  <c r="D112" i="2"/>
  <c r="O99" i="2"/>
  <c r="M81" i="2"/>
  <c r="M43" i="2"/>
  <c r="S41" i="2"/>
  <c r="J69" i="2"/>
  <c r="D60" i="2"/>
  <c r="X48" i="2"/>
  <c r="P86" i="2"/>
  <c r="O79" i="2"/>
  <c r="J77" i="2"/>
  <c r="H80" i="2"/>
  <c r="E113" i="2"/>
  <c r="H63" i="2"/>
  <c r="U110" i="2"/>
  <c r="G67" i="2"/>
  <c r="F66" i="2"/>
  <c r="X78" i="2"/>
  <c r="Q44" i="2"/>
  <c r="G55" i="2"/>
  <c r="F62" i="2"/>
  <c r="S66" i="2"/>
  <c r="H59" i="2"/>
  <c r="O109" i="2"/>
  <c r="E96" i="2"/>
  <c r="V79" i="2"/>
  <c r="AB88" i="3"/>
  <c r="AB48" i="3"/>
  <c r="C47" i="3"/>
  <c r="AP81" i="3"/>
  <c r="AP76" i="3"/>
  <c r="AP49" i="3"/>
  <c r="R29" i="3"/>
  <c r="AL33" i="3"/>
  <c r="AH23" i="3"/>
  <c r="AK31" i="3"/>
  <c r="M10" i="3"/>
  <c r="AE10" i="3"/>
  <c r="O21" i="3"/>
  <c r="I28" i="3"/>
  <c r="AK12" i="3"/>
  <c r="W37" i="3"/>
  <c r="X7" i="3"/>
  <c r="P41" i="3"/>
  <c r="N14" i="3"/>
  <c r="AM22" i="3"/>
  <c r="X34" i="3"/>
  <c r="K36" i="3"/>
  <c r="AM11" i="3"/>
  <c r="W29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S99" i="2"/>
  <c r="J55" i="2"/>
  <c r="G48" i="2"/>
  <c r="P111" i="2"/>
  <c r="R91" i="2"/>
  <c r="H46" i="2"/>
  <c r="E92" i="2"/>
  <c r="V89" i="2"/>
  <c r="H111" i="2"/>
  <c r="I99" i="2"/>
  <c r="N62" i="2"/>
  <c r="K84" i="2"/>
  <c r="N43" i="2"/>
  <c r="J42" i="2"/>
  <c r="F54" i="2"/>
  <c r="L96" i="2"/>
  <c r="R72" i="2"/>
  <c r="N106" i="2"/>
  <c r="X52" i="2"/>
  <c r="C93" i="2"/>
  <c r="T56" i="2"/>
  <c r="H47" i="2"/>
  <c r="S83" i="2"/>
  <c r="K112" i="2"/>
  <c r="K78" i="2"/>
  <c r="T112" i="2"/>
  <c r="V68" i="2"/>
  <c r="O88" i="2"/>
  <c r="D75" i="2"/>
  <c r="R68" i="2"/>
  <c r="T62" i="2"/>
  <c r="G78" i="2"/>
  <c r="U85" i="2"/>
  <c r="U108" i="2"/>
  <c r="X109" i="2"/>
  <c r="N61" i="2"/>
  <c r="T110" i="2"/>
  <c r="X84" i="2"/>
  <c r="U113" i="2"/>
  <c r="AP56" i="3"/>
  <c r="AB77" i="3"/>
  <c r="AB94" i="3"/>
  <c r="AP62" i="3"/>
  <c r="AB49" i="3"/>
  <c r="AP60" i="3"/>
  <c r="S7" i="3"/>
  <c r="J36" i="3"/>
  <c r="H41" i="3"/>
  <c r="M17" i="3"/>
  <c r="W26" i="3"/>
  <c r="Y40" i="3"/>
  <c r="V8" i="3"/>
  <c r="P5" i="3"/>
  <c r="AI24" i="3"/>
  <c r="AP41" i="3"/>
  <c r="C38" i="3"/>
  <c r="AD28" i="3"/>
  <c r="U19" i="3"/>
  <c r="V31" i="3"/>
  <c r="S35" i="3"/>
  <c r="Q33" i="3"/>
  <c r="AI21" i="3"/>
  <c r="AQ8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J80" i="2"/>
  <c r="R55" i="2"/>
  <c r="H70" i="2"/>
  <c r="O105" i="2"/>
  <c r="F72" i="2"/>
  <c r="X113" i="2"/>
  <c r="S84" i="2"/>
  <c r="I47" i="2"/>
  <c r="U83" i="2"/>
  <c r="J76" i="2"/>
  <c r="D87" i="2"/>
  <c r="C82" i="2"/>
  <c r="T41" i="2"/>
  <c r="L98" i="2"/>
  <c r="T83" i="2"/>
  <c r="F107" i="2"/>
  <c r="J97" i="2"/>
  <c r="M95" i="2"/>
  <c r="W78" i="2"/>
  <c r="Q61" i="2"/>
  <c r="U106" i="2"/>
  <c r="F56" i="2"/>
  <c r="C83" i="2"/>
  <c r="G49" i="2"/>
  <c r="P60" i="2"/>
  <c r="V108" i="2"/>
  <c r="R107" i="2"/>
  <c r="S65" i="2"/>
  <c r="F45" i="2"/>
  <c r="R104" i="2"/>
  <c r="P48" i="2"/>
  <c r="M67" i="2"/>
  <c r="N63" i="2"/>
  <c r="G62" i="2"/>
  <c r="P92" i="2"/>
  <c r="U65" i="2"/>
  <c r="U64" i="2"/>
  <c r="L40" i="2"/>
  <c r="N47" i="2"/>
  <c r="AB58" i="3"/>
  <c r="AB72" i="3"/>
  <c r="AB50" i="3"/>
  <c r="AB62" i="3"/>
  <c r="C49" i="3"/>
  <c r="AP69" i="3"/>
  <c r="Z30" i="3"/>
  <c r="C37" i="3"/>
  <c r="Y22" i="3"/>
  <c r="T17" i="3"/>
  <c r="W71" i="2"/>
  <c r="H53" i="2"/>
  <c r="C98" i="2"/>
  <c r="W99" i="2"/>
  <c r="V113" i="2"/>
  <c r="R77" i="2"/>
  <c r="W109" i="2"/>
  <c r="K98" i="2"/>
  <c r="H72" i="2"/>
  <c r="S88" i="2"/>
  <c r="J68" i="2"/>
  <c r="C106" i="2"/>
  <c r="E68" i="2"/>
  <c r="F112" i="2"/>
  <c r="V56" i="2"/>
  <c r="L104" i="2"/>
  <c r="O65" i="2"/>
  <c r="O55" i="2"/>
  <c r="M79" i="2"/>
  <c r="C77" i="2"/>
  <c r="M109" i="2"/>
  <c r="O104" i="2"/>
  <c r="K57" i="2"/>
  <c r="X111" i="2"/>
  <c r="W45" i="2"/>
  <c r="V77" i="2"/>
  <c r="Q50" i="2"/>
  <c r="I69" i="2"/>
  <c r="G42" i="2"/>
  <c r="W104" i="2"/>
  <c r="C61" i="2"/>
  <c r="G64" i="2"/>
  <c r="Q73" i="2"/>
  <c r="X112" i="2"/>
  <c r="F81" i="2"/>
  <c r="P45" i="2"/>
  <c r="F82" i="2"/>
  <c r="M59" i="2"/>
  <c r="C87" i="2"/>
  <c r="AB73" i="3"/>
  <c r="AB47" i="3"/>
  <c r="AP65" i="3"/>
  <c r="AP82" i="3"/>
  <c r="AB86" i="3"/>
  <c r="AP73" i="3"/>
  <c r="W5" i="3"/>
  <c r="L19" i="3"/>
  <c r="C23" i="3"/>
  <c r="AP25" i="3"/>
  <c r="J41" i="3"/>
  <c r="Z10" i="3"/>
  <c r="AJ22" i="3"/>
  <c r="AD24" i="3"/>
  <c r="AJ25" i="3"/>
  <c r="AH13" i="3"/>
  <c r="M29" i="3"/>
  <c r="N19" i="3"/>
  <c r="AH17" i="3"/>
  <c r="I16" i="3"/>
  <c r="H13" i="3"/>
  <c r="Q35" i="3"/>
  <c r="I8" i="3"/>
  <c r="AP30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W113" i="2"/>
  <c r="E99" i="2"/>
  <c r="K48" i="2"/>
  <c r="E88" i="2"/>
  <c r="F58" i="2"/>
  <c r="I105" i="2"/>
  <c r="U70" i="2"/>
  <c r="K64" i="2"/>
  <c r="F88" i="2"/>
  <c r="AP87" i="3"/>
  <c r="N24" i="3"/>
  <c r="AQ29" i="3"/>
  <c r="V24" i="3"/>
  <c r="AO7" i="3"/>
  <c r="P30" i="3"/>
  <c r="AH15" i="3"/>
  <c r="AG28" i="3"/>
  <c r="AB37" i="3"/>
  <c r="O41" i="3"/>
  <c r="AI5" i="3"/>
  <c r="AL22" i="3"/>
  <c r="R17" i="3"/>
  <c r="C34" i="3"/>
  <c r="U37" i="3"/>
  <c r="AG32" i="3"/>
  <c r="AC17" i="3"/>
  <c r="AB29" i="3"/>
  <c r="AG18" i="3"/>
  <c r="W35" i="3"/>
  <c r="R38" i="3"/>
  <c r="AQ42" i="3"/>
  <c r="P40" i="3"/>
  <c r="T21" i="3"/>
  <c r="Y33" i="3"/>
  <c r="N9" i="3"/>
  <c r="S26" i="3"/>
  <c r="AJ18" i="3"/>
  <c r="U35" i="3"/>
  <c r="AG31" i="3"/>
  <c r="AN10" i="3"/>
  <c r="J40" i="3"/>
  <c r="AL18" i="3"/>
  <c r="AJ35" i="3"/>
  <c r="AK6" i="3"/>
  <c r="AQ31" i="3"/>
  <c r="AK32" i="3"/>
  <c r="X8" i="3"/>
  <c r="H26" i="3"/>
  <c r="T39" i="3"/>
  <c r="AG16" i="3"/>
  <c r="D48" i="3"/>
  <c r="N23" i="3"/>
  <c r="Y27" i="3"/>
  <c r="I31" i="3"/>
  <c r="AN36" i="3"/>
  <c r="AI17" i="3"/>
  <c r="AJ27" i="3"/>
  <c r="T36" i="3"/>
  <c r="R12" i="3"/>
  <c r="O33" i="3"/>
  <c r="AL19" i="3"/>
  <c r="AP38" i="3"/>
  <c r="J26" i="3"/>
  <c r="X23" i="3"/>
  <c r="F71" i="2"/>
  <c r="K42" i="2"/>
  <c r="T87" i="2"/>
  <c r="F79" i="2"/>
  <c r="X91" i="2"/>
  <c r="O91" i="2"/>
  <c r="T57" i="2"/>
  <c r="Q47" i="2"/>
  <c r="AB81" i="3"/>
  <c r="AP85" i="3"/>
  <c r="AC18" i="3"/>
  <c r="R24" i="3"/>
  <c r="S36" i="3"/>
  <c r="I36" i="3"/>
  <c r="AE25" i="3"/>
  <c r="AL37" i="3"/>
  <c r="AL31" i="3"/>
  <c r="AD38" i="3"/>
  <c r="AP8" i="3"/>
  <c r="AK24" i="3"/>
  <c r="AE19" i="3"/>
  <c r="Q38" i="3"/>
  <c r="H42" i="3"/>
  <c r="AQ19" i="3"/>
  <c r="V38" i="3"/>
  <c r="I7" i="3"/>
  <c r="AL15" i="3"/>
  <c r="AQ22" i="3"/>
  <c r="M30" i="3"/>
  <c r="O27" i="3"/>
  <c r="AK10" i="3"/>
  <c r="V13" i="3"/>
  <c r="AO30" i="3"/>
  <c r="H15" i="3"/>
  <c r="O10" i="3"/>
  <c r="U9" i="3"/>
  <c r="Z20" i="3"/>
  <c r="Z13" i="3"/>
  <c r="AI35" i="3"/>
  <c r="L13" i="3"/>
  <c r="T20" i="3"/>
  <c r="N6" i="3"/>
  <c r="AN16" i="3"/>
  <c r="C29" i="3"/>
  <c r="AG33" i="3"/>
  <c r="O14" i="3"/>
  <c r="C13" i="3"/>
  <c r="AP29" i="3"/>
  <c r="AC35" i="3"/>
  <c r="V35" i="3"/>
  <c r="AP27" i="3"/>
  <c r="AE16" i="3"/>
  <c r="R5" i="3"/>
  <c r="H8" i="3"/>
  <c r="AK23" i="3"/>
  <c r="C18" i="3"/>
  <c r="H29" i="3"/>
  <c r="Z17" i="3"/>
  <c r="AD23" i="3"/>
  <c r="AC41" i="3"/>
  <c r="K41" i="3"/>
  <c r="P36" i="3"/>
  <c r="U17" i="3"/>
  <c r="AQ7" i="3"/>
  <c r="AL11" i="3"/>
  <c r="U16" i="3"/>
  <c r="AJ7" i="3"/>
  <c r="C26" i="3"/>
  <c r="AP21" i="3"/>
  <c r="AA27" i="3"/>
  <c r="AA35" i="3"/>
  <c r="AN21" i="3"/>
  <c r="Z18" i="3"/>
  <c r="Y35" i="3"/>
  <c r="M42" i="3"/>
  <c r="L40" i="3"/>
  <c r="H30" i="3"/>
  <c r="K27" i="3"/>
  <c r="T42" i="3"/>
  <c r="M19" i="3"/>
  <c r="Z16" i="3"/>
  <c r="C36" i="3"/>
  <c r="G47" i="3"/>
  <c r="AB16" i="3"/>
  <c r="K9" i="3"/>
  <c r="H39" i="3"/>
  <c r="K8" i="3"/>
  <c r="K26" i="3"/>
  <c r="AQ20" i="3"/>
  <c r="AQ17" i="3"/>
  <c r="AG11" i="3"/>
  <c r="S13" i="3"/>
  <c r="Z33" i="3"/>
  <c r="AE27" i="3"/>
  <c r="AG13" i="3"/>
  <c r="V37" i="3"/>
  <c r="AO8" i="3"/>
  <c r="M41" i="3"/>
  <c r="AD39" i="3"/>
  <c r="AH39" i="3"/>
  <c r="W8" i="3"/>
  <c r="X42" i="3"/>
  <c r="AN30" i="3"/>
  <c r="AL20" i="3"/>
  <c r="J42" i="3"/>
  <c r="M13" i="3"/>
  <c r="H9" i="3"/>
  <c r="C33" i="3"/>
  <c r="I29" i="3"/>
  <c r="T14" i="3"/>
  <c r="AL38" i="3"/>
  <c r="AD25" i="3"/>
  <c r="L42" i="3"/>
  <c r="Q30" i="3"/>
  <c r="AQ26" i="3"/>
  <c r="AG20" i="3"/>
  <c r="AK40" i="3"/>
  <c r="AI7" i="3"/>
  <c r="W25" i="3"/>
  <c r="T38" i="3"/>
  <c r="L34" i="3"/>
  <c r="AO19" i="3"/>
  <c r="AA38" i="3"/>
  <c r="X30" i="3"/>
  <c r="X38" i="3"/>
  <c r="AK36" i="3"/>
  <c r="K18" i="3"/>
  <c r="AD21" i="3"/>
  <c r="AM34" i="3"/>
  <c r="M28" i="3"/>
  <c r="K12" i="3"/>
  <c r="T18" i="3"/>
  <c r="U32" i="3"/>
  <c r="N18" i="3"/>
  <c r="AJ19" i="3"/>
  <c r="Q32" i="3"/>
  <c r="AA26" i="3"/>
  <c r="V20" i="3"/>
  <c r="T31" i="3"/>
  <c r="K82" i="2"/>
  <c r="E89" i="2"/>
  <c r="U60" i="2"/>
  <c r="I87" i="2"/>
  <c r="H68" i="2"/>
  <c r="D56" i="2"/>
  <c r="R59" i="2"/>
  <c r="W96" i="2"/>
  <c r="AP70" i="3"/>
  <c r="AB56" i="3"/>
  <c r="AN33" i="3"/>
  <c r="E49" i="3"/>
  <c r="AE32" i="3"/>
  <c r="AQ38" i="3"/>
  <c r="AO20" i="3"/>
  <c r="I26" i="3"/>
  <c r="Y11" i="3"/>
  <c r="AC36" i="3"/>
  <c r="AD32" i="3"/>
  <c r="O16" i="3"/>
  <c r="AN7" i="3"/>
  <c r="R20" i="3"/>
  <c r="M33" i="3"/>
  <c r="R28" i="3"/>
  <c r="C8" i="3"/>
  <c r="T10" i="3"/>
  <c r="E48" i="3"/>
  <c r="AQ41" i="3"/>
  <c r="K24" i="3"/>
  <c r="AN29" i="3"/>
  <c r="X22" i="3"/>
  <c r="AG34" i="3"/>
  <c r="AD40" i="3"/>
  <c r="J32" i="3"/>
  <c r="J20" i="3"/>
  <c r="AH25" i="3"/>
  <c r="AL40" i="3"/>
  <c r="AD36" i="3"/>
  <c r="L17" i="3"/>
  <c r="C20" i="3"/>
  <c r="P37" i="3"/>
  <c r="AM19" i="3"/>
  <c r="AC11" i="3"/>
  <c r="AA15" i="3"/>
  <c r="K33" i="3"/>
  <c r="K37" i="3"/>
  <c r="AK16" i="3"/>
  <c r="L41" i="3"/>
  <c r="C11" i="3"/>
  <c r="H12" i="3"/>
  <c r="AI14" i="3"/>
  <c r="C35" i="3"/>
  <c r="AG35" i="3"/>
  <c r="N25" i="3"/>
  <c r="U13" i="3"/>
  <c r="AB85" i="3"/>
  <c r="H36" i="3"/>
  <c r="G50" i="3"/>
  <c r="C6" i="3"/>
  <c r="AL26" i="3"/>
  <c r="T9" i="3"/>
  <c r="V42" i="3"/>
  <c r="AE13" i="3"/>
  <c r="AN15" i="3"/>
  <c r="AG29" i="3"/>
  <c r="AO22" i="3"/>
  <c r="AP78" i="3"/>
  <c r="C17" i="3"/>
  <c r="R26" i="3"/>
  <c r="AO35" i="3"/>
  <c r="X41" i="3"/>
  <c r="X90" i="2"/>
  <c r="U67" i="2"/>
  <c r="J70" i="2"/>
  <c r="O64" i="2"/>
  <c r="P58" i="2"/>
  <c r="F77" i="2"/>
  <c r="N67" i="2"/>
  <c r="E77" i="2"/>
  <c r="AP96" i="3"/>
  <c r="AP72" i="3"/>
  <c r="AQ13" i="3"/>
  <c r="U30" i="3"/>
  <c r="W33" i="3"/>
  <c r="Z34" i="3"/>
  <c r="L33" i="3"/>
  <c r="N5" i="3"/>
  <c r="N83" i="3" s="1"/>
  <c r="AB22" i="3"/>
  <c r="V9" i="3"/>
  <c r="M22" i="3"/>
  <c r="Q29" i="3"/>
  <c r="AP26" i="3"/>
  <c r="O20" i="3"/>
  <c r="M7" i="3"/>
  <c r="AN17" i="3"/>
  <c r="Y30" i="3"/>
  <c r="AP31" i="3"/>
  <c r="I40" i="3"/>
  <c r="AC16" i="3"/>
  <c r="G39" i="3"/>
  <c r="AC5" i="3"/>
  <c r="AC82" i="3" s="1"/>
  <c r="Z29" i="3"/>
  <c r="R33" i="3"/>
  <c r="AO16" i="3"/>
  <c r="AL12" i="3"/>
  <c r="AM23" i="3"/>
  <c r="G38" i="3"/>
  <c r="P15" i="3"/>
  <c r="W42" i="3"/>
  <c r="L15" i="3"/>
  <c r="J6" i="3"/>
  <c r="Q12" i="3"/>
  <c r="N7" i="3"/>
  <c r="Y29" i="3"/>
  <c r="Q24" i="3"/>
  <c r="AA22" i="3"/>
  <c r="J30" i="3"/>
  <c r="AL32" i="3"/>
  <c r="AK38" i="3"/>
  <c r="Y15" i="3"/>
  <c r="AJ42" i="3"/>
  <c r="AI29" i="3"/>
  <c r="AI13" i="3"/>
  <c r="AE26" i="3"/>
  <c r="AM18" i="3"/>
  <c r="V10" i="3"/>
  <c r="AB17" i="3"/>
  <c r="O34" i="3"/>
  <c r="Y41" i="3"/>
  <c r="Q11" i="3"/>
  <c r="AE15" i="3"/>
  <c r="P34" i="3"/>
  <c r="Y6" i="3"/>
  <c r="H32" i="3"/>
  <c r="T11" i="3"/>
  <c r="AD48" i="3"/>
  <c r="V11" i="3"/>
  <c r="P17" i="3"/>
  <c r="AA14" i="3"/>
  <c r="U25" i="3"/>
  <c r="T37" i="3"/>
  <c r="S10" i="3"/>
  <c r="V15" i="3"/>
  <c r="Q27" i="3"/>
  <c r="AM12" i="3"/>
  <c r="AI28" i="3"/>
  <c r="AN13" i="3"/>
  <c r="AA37" i="3"/>
  <c r="J11" i="3"/>
  <c r="AA18" i="3"/>
  <c r="P87" i="2"/>
  <c r="M94" i="2"/>
  <c r="F43" i="2"/>
  <c r="U59" i="2"/>
  <c r="J49" i="2"/>
  <c r="X86" i="2"/>
  <c r="W79" i="2"/>
  <c r="M108" i="2"/>
  <c r="AB80" i="3"/>
  <c r="AB64" i="3"/>
  <c r="AM16" i="3"/>
  <c r="AC20" i="3"/>
  <c r="G41" i="3"/>
  <c r="S33" i="3"/>
  <c r="P25" i="3"/>
  <c r="AN12" i="3"/>
  <c r="AJ16" i="3"/>
  <c r="P8" i="3"/>
  <c r="L31" i="3"/>
  <c r="AM5" i="3"/>
  <c r="W7" i="3"/>
  <c r="AP28" i="3"/>
  <c r="AC25" i="3"/>
  <c r="N32" i="3"/>
  <c r="AB24" i="3"/>
  <c r="O19" i="3"/>
  <c r="Z37" i="3"/>
  <c r="X13" i="3"/>
  <c r="I18" i="3"/>
  <c r="S23" i="3"/>
  <c r="M5" i="3"/>
  <c r="AH34" i="3"/>
  <c r="Q28" i="3"/>
  <c r="AO9" i="3"/>
  <c r="J23" i="3"/>
  <c r="AN38" i="3"/>
  <c r="Z38" i="3"/>
  <c r="Y8" i="3"/>
  <c r="I20" i="3"/>
  <c r="Z32" i="3"/>
  <c r="X33" i="3"/>
  <c r="AP42" i="3"/>
  <c r="U29" i="3"/>
  <c r="L12" i="3"/>
  <c r="AM28" i="3"/>
  <c r="P28" i="3"/>
  <c r="AP24" i="3"/>
  <c r="AD42" i="3"/>
  <c r="S22" i="3"/>
  <c r="AL14" i="3"/>
  <c r="AQ10" i="3"/>
  <c r="N37" i="3"/>
  <c r="AJ37" i="3"/>
  <c r="T40" i="3"/>
  <c r="AJ40" i="3"/>
  <c r="AQ16" i="3"/>
  <c r="M16" i="3"/>
  <c r="AC34" i="3"/>
  <c r="R7" i="3"/>
  <c r="AJ9" i="3"/>
  <c r="N27" i="3"/>
  <c r="AD49" i="3"/>
  <c r="I5" i="3"/>
  <c r="AO37" i="3"/>
  <c r="AM42" i="3"/>
  <c r="W32" i="3"/>
  <c r="P33" i="3"/>
  <c r="J14" i="3"/>
  <c r="AA19" i="3"/>
  <c r="AC15" i="3"/>
  <c r="AD31" i="3"/>
  <c r="Q13" i="3"/>
  <c r="J39" i="3"/>
  <c r="V21" i="3"/>
  <c r="N16" i="3"/>
  <c r="Z39" i="3"/>
  <c r="AI40" i="3"/>
  <c r="U38" i="3"/>
  <c r="O12" i="3"/>
  <c r="AP35" i="3"/>
  <c r="AM36" i="3"/>
  <c r="U42" i="3"/>
  <c r="T27" i="3"/>
  <c r="AH18" i="3"/>
  <c r="O13" i="3"/>
  <c r="J22" i="3"/>
  <c r="L21" i="3"/>
  <c r="X20" i="3"/>
  <c r="AE12" i="3"/>
  <c r="AA39" i="3"/>
  <c r="Q25" i="3"/>
  <c r="AB15" i="3"/>
  <c r="H33" i="3"/>
  <c r="AI41" i="3"/>
  <c r="AE14" i="3"/>
  <c r="V41" i="3"/>
  <c r="U31" i="3"/>
  <c r="AA21" i="3"/>
  <c r="N31" i="3"/>
  <c r="H31" i="3"/>
  <c r="P12" i="3"/>
  <c r="K25" i="3"/>
  <c r="AI33" i="3"/>
  <c r="AH8" i="3"/>
  <c r="K20" i="3"/>
  <c r="C21" i="3"/>
  <c r="I13" i="3"/>
  <c r="L30" i="3"/>
  <c r="P21" i="3"/>
  <c r="U14" i="3"/>
  <c r="U27" i="3"/>
  <c r="R31" i="3"/>
  <c r="AH30" i="3"/>
  <c r="AG40" i="3"/>
  <c r="J35" i="3"/>
  <c r="AD29" i="3"/>
  <c r="AQ11" i="3"/>
  <c r="AM6" i="3"/>
  <c r="AN41" i="3"/>
  <c r="AI26" i="3"/>
  <c r="AO13" i="3"/>
  <c r="O83" i="2"/>
  <c r="U94" i="2"/>
  <c r="O60" i="2"/>
  <c r="X61" i="2"/>
  <c r="G80" i="2"/>
  <c r="X104" i="2"/>
  <c r="E48" i="2"/>
  <c r="S64" i="2"/>
  <c r="AB55" i="3"/>
  <c r="AB66" i="3"/>
  <c r="AJ31" i="3"/>
  <c r="R36" i="3"/>
  <c r="AI16" i="3"/>
  <c r="Q16" i="3"/>
  <c r="AD20" i="3"/>
  <c r="U24" i="3"/>
  <c r="AM40" i="3"/>
  <c r="S34" i="3"/>
  <c r="C25" i="3"/>
  <c r="AH11" i="3"/>
  <c r="R6" i="3"/>
  <c r="AL16" i="3"/>
  <c r="C42" i="3"/>
  <c r="C27" i="3"/>
  <c r="V27" i="3"/>
  <c r="AM24" i="3"/>
  <c r="AN24" i="3"/>
  <c r="Q9" i="3"/>
  <c r="L39" i="3"/>
  <c r="AJ32" i="3"/>
  <c r="R37" i="3"/>
  <c r="O26" i="3"/>
  <c r="AB27" i="3"/>
  <c r="Z7" i="3"/>
  <c r="AL13" i="3"/>
  <c r="AO28" i="3"/>
  <c r="I33" i="3"/>
  <c r="AO18" i="3"/>
  <c r="Q6" i="3"/>
  <c r="AE37" i="3"/>
  <c r="AK42" i="3"/>
  <c r="AC21" i="3"/>
  <c r="AD27" i="3"/>
  <c r="AH27" i="3"/>
  <c r="AQ5" i="3"/>
  <c r="V5" i="3"/>
  <c r="AL35" i="3"/>
  <c r="S28" i="3"/>
  <c r="U20" i="3"/>
  <c r="AP32" i="3"/>
  <c r="AB38" i="3"/>
  <c r="AN19" i="3"/>
  <c r="K6" i="3"/>
  <c r="G49" i="3"/>
  <c r="AN40" i="3"/>
  <c r="AB7" i="3"/>
  <c r="N38" i="3"/>
  <c r="J24" i="3"/>
  <c r="AK26" i="3"/>
  <c r="S15" i="3"/>
  <c r="AA28" i="3"/>
  <c r="AE40" i="3"/>
  <c r="AH20" i="3"/>
  <c r="Q10" i="3"/>
  <c r="AJ29" i="3"/>
  <c r="N11" i="3"/>
  <c r="M40" i="3"/>
  <c r="AO5" i="3"/>
  <c r="AO26" i="3"/>
  <c r="M99" i="2"/>
  <c r="D96" i="2"/>
  <c r="X76" i="2"/>
  <c r="D104" i="2"/>
  <c r="Q72" i="2"/>
  <c r="N54" i="2"/>
  <c r="J98" i="2"/>
  <c r="L105" i="2"/>
  <c r="AP90" i="3"/>
  <c r="G82" i="2"/>
  <c r="X51" i="2"/>
  <c r="R76" i="2"/>
  <c r="Q42" i="2"/>
  <c r="Q86" i="2"/>
  <c r="H90" i="2"/>
  <c r="R40" i="2"/>
  <c r="F97" i="2"/>
  <c r="AP55" i="3"/>
  <c r="T23" i="3"/>
  <c r="Q34" i="3"/>
  <c r="AK37" i="3"/>
  <c r="X27" i="3"/>
  <c r="K29" i="3"/>
  <c r="AJ24" i="3"/>
  <c r="U41" i="3"/>
  <c r="Z12" i="3"/>
  <c r="C22" i="3"/>
  <c r="AN27" i="3"/>
  <c r="V33" i="3"/>
  <c r="AK11" i="3"/>
  <c r="AO32" i="3"/>
  <c r="O24" i="3"/>
  <c r="AH40" i="3"/>
  <c r="C24" i="3"/>
  <c r="K15" i="3"/>
  <c r="Q22" i="3"/>
  <c r="AE5" i="3"/>
  <c r="X29" i="3"/>
  <c r="AE38" i="3"/>
  <c r="AE29" i="3"/>
  <c r="Q41" i="3"/>
  <c r="M37" i="3"/>
  <c r="AD30" i="3"/>
  <c r="AH28" i="3"/>
  <c r="V30" i="3"/>
  <c r="AK35" i="3"/>
  <c r="Q15" i="3"/>
  <c r="AH26" i="3"/>
  <c r="I12" i="3"/>
  <c r="W23" i="3"/>
  <c r="AL28" i="3"/>
  <c r="R34" i="3"/>
  <c r="AN11" i="3"/>
  <c r="AA29" i="3"/>
  <c r="Y10" i="3"/>
  <c r="U7" i="3"/>
  <c r="AQ35" i="3"/>
  <c r="Q20" i="3"/>
  <c r="N12" i="3"/>
  <c r="O31" i="3"/>
  <c r="AB40" i="3"/>
  <c r="AH9" i="3"/>
  <c r="S25" i="3"/>
  <c r="AM15" i="3"/>
  <c r="W30" i="3"/>
  <c r="S20" i="3"/>
  <c r="M14" i="3"/>
  <c r="AB31" i="3"/>
  <c r="M21" i="3"/>
  <c r="X19" i="3"/>
  <c r="V40" i="3"/>
  <c r="AA24" i="3"/>
  <c r="T5" i="3"/>
  <c r="L10" i="3"/>
  <c r="J31" i="3"/>
  <c r="M18" i="3"/>
  <c r="U40" i="3"/>
  <c r="V39" i="3"/>
  <c r="Q7" i="3"/>
  <c r="H41" i="2"/>
  <c r="X42" i="2"/>
  <c r="J44" i="2"/>
  <c r="C90" i="2"/>
  <c r="T86" i="2"/>
  <c r="F59" i="2"/>
  <c r="Q51" i="2"/>
  <c r="M42" i="2"/>
  <c r="L25" i="3"/>
  <c r="AA8" i="3"/>
  <c r="X28" i="3"/>
  <c r="AG15" i="3"/>
  <c r="AP22" i="3"/>
  <c r="AL7" i="3"/>
  <c r="P24" i="3"/>
  <c r="AE36" i="3"/>
  <c r="Y14" i="3"/>
  <c r="J28" i="3"/>
  <c r="AG24" i="3"/>
  <c r="AM38" i="3"/>
  <c r="Z27" i="3"/>
  <c r="K5" i="3"/>
  <c r="Z14" i="3"/>
  <c r="AJ21" i="3"/>
  <c r="T6" i="3"/>
  <c r="K16" i="3"/>
  <c r="E41" i="2"/>
  <c r="Q79" i="2"/>
  <c r="M58" i="2"/>
  <c r="J48" i="2"/>
  <c r="K46" i="2"/>
  <c r="T74" i="2"/>
  <c r="H97" i="2"/>
  <c r="G83" i="2"/>
  <c r="AP57" i="3"/>
  <c r="P32" i="3"/>
  <c r="T24" i="3"/>
  <c r="AD37" i="3"/>
  <c r="O37" i="3"/>
  <c r="M11" i="3"/>
  <c r="AI30" i="3"/>
  <c r="H24" i="3"/>
  <c r="M39" i="3"/>
  <c r="M20" i="3"/>
  <c r="M9" i="3"/>
  <c r="AA6" i="3"/>
  <c r="AM9" i="3"/>
  <c r="AI34" i="3"/>
  <c r="O6" i="3"/>
  <c r="AJ36" i="3"/>
  <c r="H25" i="3"/>
  <c r="AO10" i="3"/>
  <c r="AC23" i="3"/>
  <c r="AO23" i="3"/>
  <c r="N30" i="3"/>
  <c r="AJ13" i="3"/>
  <c r="H10" i="3"/>
  <c r="I6" i="3"/>
  <c r="K10" i="3"/>
  <c r="AQ24" i="3"/>
  <c r="H23" i="3"/>
  <c r="AQ15" i="3"/>
  <c r="AN28" i="3"/>
  <c r="V6" i="3"/>
  <c r="AA16" i="3"/>
  <c r="T7" i="3"/>
  <c r="N13" i="3"/>
  <c r="U18" i="3"/>
  <c r="AM35" i="3"/>
  <c r="AQ25" i="3"/>
  <c r="P7" i="3"/>
  <c r="J33" i="3"/>
  <c r="AC30" i="3"/>
  <c r="Y42" i="3"/>
  <c r="AJ10" i="3"/>
  <c r="AC38" i="3"/>
  <c r="AC10" i="3"/>
  <c r="V17" i="3"/>
  <c r="N33" i="3"/>
  <c r="AG9" i="3"/>
  <c r="T15" i="3"/>
  <c r="AM27" i="3"/>
  <c r="W39" i="3"/>
  <c r="X18" i="3"/>
  <c r="L24" i="3"/>
  <c r="S14" i="3"/>
  <c r="AG25" i="3"/>
  <c r="Q17" i="3"/>
  <c r="J10" i="3"/>
  <c r="T13" i="3"/>
  <c r="Y21" i="3"/>
  <c r="N22" i="3"/>
  <c r="AK28" i="3"/>
  <c r="AH6" i="3"/>
  <c r="AD41" i="3"/>
  <c r="X6" i="3"/>
  <c r="AO12" i="3"/>
  <c r="V22" i="3"/>
  <c r="AN42" i="3"/>
  <c r="AE35" i="3"/>
  <c r="X37" i="3"/>
  <c r="K31" i="3"/>
  <c r="AG41" i="3"/>
  <c r="C10" i="3"/>
  <c r="P26" i="3"/>
  <c r="V28" i="3"/>
  <c r="N17" i="3"/>
  <c r="O40" i="3"/>
  <c r="AD22" i="3"/>
  <c r="AQ34" i="3"/>
  <c r="R19" i="3"/>
  <c r="G34" i="3"/>
  <c r="I17" i="3"/>
  <c r="U8" i="3"/>
  <c r="AG22" i="3"/>
  <c r="AK18" i="3"/>
  <c r="W14" i="3"/>
  <c r="Q18" i="3"/>
  <c r="AQ28" i="3"/>
  <c r="Q39" i="3"/>
  <c r="V19" i="3"/>
  <c r="N41" i="3"/>
  <c r="AO40" i="3"/>
  <c r="V32" i="3"/>
  <c r="AL29" i="3"/>
  <c r="P31" i="3"/>
  <c r="AM7" i="3"/>
  <c r="R13" i="3"/>
  <c r="R27" i="3"/>
  <c r="AC12" i="3"/>
  <c r="V26" i="3"/>
  <c r="AH38" i="3"/>
  <c r="I11" i="3"/>
  <c r="AD34" i="3"/>
  <c r="K28" i="3"/>
  <c r="L35" i="3"/>
  <c r="AC24" i="3"/>
  <c r="U78" i="2"/>
  <c r="L79" i="2"/>
  <c r="G63" i="2"/>
  <c r="H67" i="2"/>
  <c r="R94" i="2"/>
  <c r="T49" i="2"/>
  <c r="N98" i="2"/>
  <c r="L78" i="2"/>
  <c r="AP58" i="3"/>
  <c r="AP12" i="3"/>
  <c r="T25" i="3"/>
  <c r="AE31" i="3"/>
  <c r="K40" i="3"/>
  <c r="AG17" i="3"/>
  <c r="AH42" i="3"/>
  <c r="AM21" i="3"/>
  <c r="AC27" i="3"/>
  <c r="AN37" i="3"/>
  <c r="AN25" i="3"/>
  <c r="Y19" i="3"/>
  <c r="AG10" i="3"/>
  <c r="J38" i="3"/>
  <c r="Y31" i="3"/>
  <c r="O11" i="3"/>
  <c r="AG30" i="3"/>
  <c r="AA32" i="3"/>
  <c r="AB13" i="3"/>
  <c r="I34" i="3"/>
  <c r="T12" i="3"/>
  <c r="P19" i="3"/>
  <c r="J29" i="3"/>
  <c r="S19" i="3"/>
  <c r="M12" i="3"/>
  <c r="Z40" i="3"/>
  <c r="L9" i="3"/>
  <c r="U39" i="3"/>
  <c r="J5" i="3"/>
  <c r="Z21" i="3"/>
  <c r="O32" i="3"/>
  <c r="AI37" i="3"/>
  <c r="AJ6" i="3"/>
  <c r="H22" i="3"/>
  <c r="AO27" i="3"/>
  <c r="X17" i="3"/>
  <c r="AE22" i="3"/>
  <c r="S37" i="3"/>
  <c r="AK15" i="3"/>
  <c r="V23" i="3"/>
  <c r="E81" i="2"/>
  <c r="O110" i="2"/>
  <c r="L80" i="2"/>
  <c r="P93" i="2"/>
  <c r="I110" i="2"/>
  <c r="G86" i="2"/>
  <c r="L67" i="2"/>
  <c r="F93" i="2"/>
  <c r="AP92" i="3"/>
  <c r="O22" i="3"/>
  <c r="AD50" i="3"/>
  <c r="AK21" i="3"/>
  <c r="E47" i="3"/>
  <c r="X24" i="3"/>
  <c r="M15" i="3"/>
  <c r="Y39" i="3"/>
  <c r="AA36" i="3"/>
  <c r="C32" i="3"/>
  <c r="AI10" i="3"/>
  <c r="AO24" i="3"/>
  <c r="AN6" i="3"/>
  <c r="AO34" i="3"/>
  <c r="AI31" i="3"/>
  <c r="AG23" i="3"/>
  <c r="AH10" i="3"/>
  <c r="G48" i="3"/>
  <c r="V7" i="3"/>
  <c r="AP17" i="3"/>
  <c r="Z36" i="3"/>
  <c r="Y36" i="3"/>
  <c r="L27" i="3"/>
  <c r="Z23" i="3"/>
  <c r="M8" i="3"/>
  <c r="X32" i="3"/>
  <c r="AM31" i="3"/>
  <c r="AC32" i="3"/>
  <c r="M24" i="3"/>
  <c r="AO36" i="3"/>
  <c r="J19" i="3"/>
  <c r="H89" i="3"/>
  <c r="W87" i="3"/>
  <c r="T80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H78" i="3"/>
  <c r="X66" i="3"/>
  <c r="AM54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AE76" i="3"/>
  <c r="Q95" i="3"/>
  <c r="AC49" i="3"/>
  <c r="K65" i="3"/>
  <c r="Y77" i="3"/>
  <c r="T85" i="3"/>
  <c r="AC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K62" i="3"/>
  <c r="AA88" i="3"/>
  <c r="AG56" i="3"/>
  <c r="S47" i="3"/>
  <c r="M92" i="3"/>
  <c r="S69" i="3"/>
  <c r="AK93" i="3"/>
  <c r="H69" i="3"/>
  <c r="R74" i="3"/>
  <c r="AI97" i="3"/>
  <c r="AM81" i="3"/>
  <c r="H85" i="3"/>
  <c r="Y87" i="3"/>
  <c r="X94" i="3"/>
  <c r="K91" i="3"/>
  <c r="AH55" i="3"/>
  <c r="AI71" i="3"/>
  <c r="L93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M90" i="3"/>
  <c r="N80" i="3"/>
  <c r="AE68" i="3"/>
  <c r="X89" i="3"/>
  <c r="Y47" i="3"/>
  <c r="Q68" i="3"/>
  <c r="Z58" i="3"/>
  <c r="N56" i="3"/>
  <c r="AM88" i="3"/>
  <c r="AG85" i="3"/>
  <c r="U58" i="3"/>
  <c r="AO62" i="3"/>
  <c r="AH96" i="3"/>
  <c r="I49" i="3"/>
  <c r="AJ75" i="3"/>
  <c r="AQ78" i="3"/>
  <c r="N48" i="3"/>
  <c r="S76" i="3"/>
  <c r="U57" i="3"/>
  <c r="S48" i="3"/>
  <c r="AK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L94" i="3"/>
  <c r="P50" i="3"/>
  <c r="L63" i="3"/>
  <c r="J81" i="3"/>
  <c r="H84" i="3"/>
  <c r="AO82" i="3"/>
  <c r="AQ94" i="3"/>
  <c r="AJ47" i="3"/>
  <c r="AJ59" i="3"/>
  <c r="K55" i="3"/>
  <c r="K64" i="3"/>
  <c r="AO84" i="3"/>
  <c r="AC57" i="3"/>
  <c r="AA85" i="3"/>
  <c r="AH49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Y92" i="3"/>
  <c r="K78" i="3"/>
  <c r="AL47" i="3"/>
  <c r="AQ75" i="3"/>
  <c r="M54" i="3"/>
  <c r="AH60" i="3"/>
  <c r="K49" i="3"/>
  <c r="P73" i="3"/>
  <c r="J76" i="3"/>
  <c r="N68" i="3"/>
  <c r="R66" i="3"/>
  <c r="AH59" i="3"/>
  <c r="N61" i="3"/>
  <c r="I65" i="3"/>
  <c r="Q80" i="3"/>
  <c r="AL90" i="3"/>
  <c r="X85" i="3"/>
  <c r="V93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T84" i="3"/>
  <c r="AK80" i="3"/>
  <c r="H79" i="3"/>
  <c r="AI47" i="3"/>
  <c r="L88" i="3"/>
  <c r="L56" i="3"/>
  <c r="Q55" i="3"/>
  <c r="P79" i="3"/>
  <c r="H80" i="3"/>
  <c r="O84" i="3"/>
  <c r="AE49" i="3"/>
  <c r="U85" i="3"/>
  <c r="N84" i="3"/>
  <c r="AM75" i="3"/>
  <c r="AC58" i="3"/>
  <c r="AG47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AC85" i="3"/>
  <c r="AA70" i="3"/>
  <c r="AG80" i="3"/>
  <c r="W88" i="3"/>
  <c r="S68" i="3"/>
  <c r="AQ63" i="3"/>
  <c r="R67" i="3"/>
  <c r="AK76" i="3"/>
  <c r="Y71" i="3"/>
  <c r="M79" i="3"/>
  <c r="I73" i="3"/>
  <c r="AN50" i="3"/>
  <c r="U59" i="3"/>
  <c r="AG50" i="3"/>
  <c r="Y72" i="3"/>
  <c r="AE94" i="3"/>
  <c r="AJ4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T78" i="3"/>
  <c r="Z85" i="3"/>
  <c r="U78" i="3"/>
  <c r="H94" i="3"/>
  <c r="U90" i="3"/>
  <c r="AE63" i="3"/>
  <c r="AO91" i="3"/>
  <c r="T91" i="3"/>
  <c r="R77" i="3"/>
  <c r="S90" i="3"/>
  <c r="Z66" i="3"/>
  <c r="Q92" i="3"/>
  <c r="AM73" i="3"/>
  <c r="AH95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N75" i="3"/>
  <c r="T71" i="3"/>
  <c r="AM77" i="3"/>
  <c r="AL74" i="3"/>
  <c r="U82" i="3"/>
  <c r="AN68" i="3"/>
  <c r="T89" i="3"/>
  <c r="AG77" i="3"/>
  <c r="S77" i="3"/>
  <c r="O80" i="3"/>
  <c r="T72" i="3"/>
  <c r="W73" i="3"/>
  <c r="AA49" i="3"/>
  <c r="AO94" i="3"/>
  <c r="X71" i="3"/>
  <c r="AN47" i="3"/>
  <c r="AC92" i="3"/>
  <c r="Q77" i="3"/>
  <c r="V73" i="3"/>
  <c r="AO56" i="3"/>
  <c r="AJ71" i="3"/>
  <c r="T87" i="3"/>
  <c r="Z50" i="3"/>
  <c r="AL7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AQ49" i="3"/>
  <c r="R87" i="3"/>
  <c r="W91" i="3"/>
  <c r="AL88" i="3"/>
  <c r="Y66" i="3"/>
  <c r="AI85" i="3"/>
  <c r="AO59" i="3"/>
  <c r="Y73" i="3"/>
  <c r="V63" i="3"/>
  <c r="T86" i="3"/>
  <c r="AL92" i="3"/>
  <c r="AO70" i="3"/>
  <c r="AM94" i="3"/>
  <c r="L78" i="3"/>
  <c r="AH69" i="3"/>
  <c r="H60" i="3"/>
  <c r="V47" i="3"/>
  <c r="S63" i="3"/>
  <c r="Y67" i="3"/>
  <c r="K93" i="3"/>
  <c r="J74" i="3"/>
  <c r="N86" i="3"/>
  <c r="AH87" i="3"/>
  <c r="AG91" i="3"/>
  <c r="AM63" i="3"/>
  <c r="I58" i="3"/>
  <c r="S64" i="3"/>
  <c r="X74" i="3"/>
  <c r="AG89" i="3"/>
  <c r="S62" i="3"/>
  <c r="P49" i="3"/>
  <c r="J62" i="3"/>
  <c r="W54" i="3"/>
  <c r="X83" i="3"/>
  <c r="AH93" i="3"/>
  <c r="AM84" i="3"/>
  <c r="AC68" i="3"/>
  <c r="I56" i="3"/>
  <c r="R91" i="3"/>
  <c r="AA96" i="3"/>
  <c r="AH67" i="3"/>
  <c r="I71" i="3"/>
  <c r="AK75" i="3"/>
  <c r="X95" i="3"/>
  <c r="AQ69" i="3"/>
  <c r="N60" i="3"/>
  <c r="AL79" i="3"/>
  <c r="AQ60" i="3"/>
  <c r="T73" i="3"/>
  <c r="AO88" i="3"/>
  <c r="J67" i="3"/>
  <c r="Z59" i="3"/>
  <c r="AQ91" i="3"/>
  <c r="U70" i="3"/>
  <c r="Y95" i="3"/>
  <c r="P71" i="3"/>
  <c r="W77" i="3"/>
  <c r="Y78" i="3"/>
  <c r="AC93" i="3"/>
  <c r="Z90" i="3"/>
  <c r="S61" i="3"/>
  <c r="AE62" i="3"/>
  <c r="AK54" i="3"/>
  <c r="AJ69" i="3"/>
  <c r="I91" i="3"/>
  <c r="O54" i="3"/>
  <c r="N62" i="3"/>
  <c r="AN95" i="3"/>
  <c r="I96" i="3"/>
  <c r="AA90" i="3"/>
  <c r="Z79" i="3"/>
  <c r="J61" i="3"/>
  <c r="I55" i="3"/>
  <c r="AC62" i="3"/>
  <c r="AK74" i="3"/>
  <c r="L62" i="3"/>
  <c r="AE61" i="3"/>
  <c r="O67" i="3"/>
  <c r="V59" i="3"/>
  <c r="AQ68" i="3"/>
  <c r="X69" i="3"/>
  <c r="AM92" i="3"/>
  <c r="AL63" i="3"/>
  <c r="P82" i="3"/>
  <c r="T64" i="3"/>
  <c r="K74" i="3"/>
  <c r="AK50" i="3"/>
  <c r="AI94" i="3"/>
  <c r="M57" i="3"/>
  <c r="S70" i="3"/>
  <c r="AM58" i="3"/>
  <c r="R49" i="3"/>
  <c r="AO92" i="3"/>
  <c r="L95" i="3"/>
  <c r="K58" i="3"/>
  <c r="K85" i="3"/>
  <c r="I78" i="3"/>
  <c r="U72" i="3"/>
  <c r="AJ78" i="3"/>
  <c r="X87" i="3"/>
  <c r="AE77" i="3"/>
  <c r="Y48" i="3"/>
  <c r="K81" i="3"/>
  <c r="AN59" i="3"/>
  <c r="AL80" i="3"/>
  <c r="S89" i="3"/>
  <c r="P92" i="3"/>
  <c r="AC55" i="3"/>
  <c r="AC95" i="3"/>
  <c r="AL62" i="3"/>
  <c r="N58" i="3"/>
  <c r="AH86" i="3"/>
  <c r="AH81" i="3"/>
  <c r="P95" i="3"/>
  <c r="AQ90" i="3"/>
  <c r="I82" i="3"/>
  <c r="S60" i="3"/>
  <c r="S83" i="3"/>
  <c r="Z77" i="3"/>
  <c r="AO78" i="3"/>
  <c r="O58" i="3"/>
  <c r="AQ50" i="3"/>
  <c r="X48" i="3"/>
  <c r="L72" i="3"/>
  <c r="AG68" i="3"/>
  <c r="R63" i="3"/>
  <c r="AJ58" i="3"/>
  <c r="O64" i="3"/>
  <c r="V72" i="3"/>
  <c r="Q70" i="3"/>
  <c r="AA61" i="3"/>
  <c r="K88" i="3"/>
  <c r="O69" i="3"/>
  <c r="R48" i="3"/>
  <c r="J82" i="3"/>
  <c r="AK83" i="3"/>
  <c r="J50" i="3"/>
  <c r="R75" i="3"/>
  <c r="I94" i="3"/>
  <c r="AK70" i="3"/>
  <c r="N74" i="3"/>
  <c r="AM95" i="3"/>
  <c r="X76" i="3"/>
  <c r="AG94" i="3"/>
  <c r="Q90" i="3"/>
  <c r="P72" i="3"/>
  <c r="R57" i="3"/>
  <c r="R81" i="3"/>
  <c r="V81" i="3"/>
  <c r="AI73" i="3"/>
  <c r="K48" i="3"/>
  <c r="H95" i="3"/>
  <c r="AO75" i="3"/>
  <c r="Q73" i="3"/>
  <c r="AM89" i="3"/>
  <c r="Z95" i="3"/>
  <c r="P55" i="3"/>
  <c r="AK65" i="3"/>
  <c r="AO80" i="3"/>
  <c r="AO87" i="3"/>
  <c r="U96" i="3"/>
  <c r="AJ86" i="3"/>
  <c r="AN87" i="3"/>
  <c r="X91" i="3"/>
  <c r="AN57" i="3"/>
  <c r="M72" i="3"/>
  <c r="AH92" i="3"/>
  <c r="W72" i="3"/>
  <c r="AA68" i="3"/>
  <c r="AG82" i="3"/>
  <c r="P91" i="3"/>
  <c r="O73" i="3"/>
  <c r="Q65" i="3"/>
  <c r="AJ88" i="3"/>
  <c r="K92" i="3"/>
  <c r="AH58" i="3"/>
  <c r="U93" i="3"/>
  <c r="Y60" i="3"/>
  <c r="T56" i="3"/>
  <c r="AM70" i="3"/>
  <c r="AJ92" i="3"/>
  <c r="O88" i="3"/>
  <c r="V80" i="3"/>
  <c r="J54" i="3"/>
  <c r="Q56" i="3"/>
  <c r="W60" i="3"/>
  <c r="I85" i="3"/>
  <c r="AG72" i="3"/>
  <c r="Y83" i="3"/>
  <c r="J84" i="3"/>
  <c r="P83" i="3"/>
  <c r="AI74" i="3"/>
  <c r="S94" i="3"/>
  <c r="AK58" i="3"/>
  <c r="M86" i="3"/>
  <c r="AK82" i="3"/>
  <c r="AC96" i="3"/>
  <c r="V82" i="3"/>
  <c r="Q88" i="3"/>
  <c r="Q94" i="3"/>
  <c r="O76" i="3"/>
  <c r="AQ66" i="3"/>
  <c r="S88" i="3"/>
  <c r="P81" i="3"/>
  <c r="AI76" i="3" l="1"/>
  <c r="H88" i="3"/>
  <c r="L80" i="3"/>
  <c r="HZ19" i="4"/>
  <c r="AT78" i="1" s="1"/>
  <c r="AT107" i="1" s="1"/>
  <c r="IM7" i="4"/>
  <c r="IM19" i="4" s="1"/>
  <c r="BG78" i="1" s="1"/>
  <c r="BG107" i="1" s="1"/>
  <c r="H63" i="3"/>
  <c r="O60" i="3"/>
  <c r="AC84" i="3"/>
  <c r="AG88" i="3"/>
  <c r="AI63" i="3"/>
  <c r="AJ70" i="3"/>
  <c r="Q60" i="3"/>
  <c r="T65" i="3"/>
  <c r="R55" i="3"/>
  <c r="M87" i="3"/>
  <c r="AM86" i="3"/>
  <c r="O74" i="3"/>
  <c r="AE47" i="3"/>
  <c r="W74" i="3"/>
  <c r="M97" i="3"/>
  <c r="AQ97" i="3"/>
  <c r="P60" i="3"/>
  <c r="AV122" i="1" s="1"/>
  <c r="AW122" i="1" s="1"/>
  <c r="P86" i="3"/>
  <c r="J72" i="3"/>
  <c r="AP135" i="1" s="1"/>
  <c r="AQ135" i="1" s="1"/>
  <c r="J87" i="3"/>
  <c r="AP152" i="1" s="1"/>
  <c r="AQ152" i="1" s="1"/>
  <c r="BF35" i="1"/>
  <c r="BV21" i="1"/>
  <c r="BN13" i="1"/>
  <c r="BM35" i="1"/>
  <c r="BU45" i="1"/>
  <c r="BT8" i="1"/>
  <c r="BO13" i="1"/>
  <c r="AS24" i="1"/>
  <c r="BQ22" i="1"/>
  <c r="BJ74" i="1"/>
  <c r="BV155" i="1"/>
  <c r="BW155" i="1" s="1"/>
  <c r="E172" i="1"/>
  <c r="K137" i="1"/>
  <c r="F135" i="1"/>
  <c r="F131" i="1" s="1"/>
  <c r="H67" i="1"/>
  <c r="O172" i="1"/>
  <c r="K147" i="1"/>
  <c r="N67" i="1"/>
  <c r="BB35" i="1"/>
  <c r="BQ24" i="1"/>
  <c r="BD21" i="1"/>
  <c r="BP8" i="1"/>
  <c r="BP231" i="1" s="1"/>
  <c r="BF22" i="1"/>
  <c r="AS14" i="1"/>
  <c r="AP39" i="1"/>
  <c r="AZ14" i="1"/>
  <c r="AO45" i="1"/>
  <c r="AU15" i="1"/>
  <c r="BM13" i="1"/>
  <c r="BT36" i="1"/>
  <c r="BS22" i="1"/>
  <c r="BN51" i="1"/>
  <c r="BM21" i="1"/>
  <c r="AZ36" i="1"/>
  <c r="BV14" i="1"/>
  <c r="BV119" i="1"/>
  <c r="K160" i="1"/>
  <c r="S163" i="1"/>
  <c r="G137" i="1"/>
  <c r="F132" i="1"/>
  <c r="K146" i="1"/>
  <c r="T160" i="1"/>
  <c r="AR46" i="1"/>
  <c r="AQ32" i="1"/>
  <c r="BJ45" i="1"/>
  <c r="AO15" i="1"/>
  <c r="BB47" i="1"/>
  <c r="BI14" i="1"/>
  <c r="BR39" i="1"/>
  <c r="BW32" i="1"/>
  <c r="BW194" i="1" s="1"/>
  <c r="AW25" i="1"/>
  <c r="BC23" i="1"/>
  <c r="BQ25" i="1"/>
  <c r="AO21" i="1"/>
  <c r="AM45" i="1"/>
  <c r="BW45" i="1"/>
  <c r="AT21" i="1"/>
  <c r="BB32" i="1"/>
  <c r="BB194" i="1" s="1"/>
  <c r="AV47" i="1"/>
  <c r="AI13" i="1"/>
  <c r="BK46" i="1"/>
  <c r="BT51" i="1"/>
  <c r="BU14" i="1"/>
  <c r="BD8" i="1"/>
  <c r="BN8" i="1"/>
  <c r="BQ32" i="1"/>
  <c r="BQ194" i="1" s="1"/>
  <c r="BE22" i="1"/>
  <c r="AP13" i="1"/>
  <c r="AW21" i="1"/>
  <c r="BM36" i="1"/>
  <c r="AY23" i="1"/>
  <c r="BD25" i="1"/>
  <c r="AZ24" i="1"/>
  <c r="BB21" i="1"/>
  <c r="BI13" i="1"/>
  <c r="BP13" i="1"/>
  <c r="BE51" i="1"/>
  <c r="BW36" i="1"/>
  <c r="BS46" i="1"/>
  <c r="BA25" i="1"/>
  <c r="BG20" i="1"/>
  <c r="BB8" i="1"/>
  <c r="BT32" i="1"/>
  <c r="BT253" i="1" s="1"/>
  <c r="BW24" i="1"/>
  <c r="AN35" i="1"/>
  <c r="AQ13" i="1"/>
  <c r="AO8" i="1"/>
  <c r="AN13" i="1"/>
  <c r="BU35" i="1"/>
  <c r="BI35" i="1"/>
  <c r="BU13" i="1"/>
  <c r="AN36" i="1"/>
  <c r="AU8" i="1"/>
  <c r="AU231" i="1" s="1"/>
  <c r="BO45" i="1"/>
  <c r="BG8" i="1"/>
  <c r="AS9" i="1"/>
  <c r="AS15" i="1"/>
  <c r="BV118" i="1"/>
  <c r="BW118" i="1" s="1"/>
  <c r="F164" i="1"/>
  <c r="I125" i="1"/>
  <c r="P146" i="1"/>
  <c r="D117" i="1"/>
  <c r="AQ20" i="1"/>
  <c r="AZ8" i="1"/>
  <c r="BP22" i="1"/>
  <c r="BF23" i="1"/>
  <c r="AP32" i="1"/>
  <c r="AP194" i="1" s="1"/>
  <c r="BE23" i="1"/>
  <c r="BM24" i="1"/>
  <c r="BD32" i="1"/>
  <c r="BD194" i="1" s="1"/>
  <c r="AR36" i="1"/>
  <c r="L118" i="1"/>
  <c r="P150" i="1"/>
  <c r="S135" i="1"/>
  <c r="S131" i="1" s="1"/>
  <c r="W118" i="1"/>
  <c r="G117" i="1"/>
  <c r="AS25" i="1"/>
  <c r="AR13" i="1"/>
  <c r="AS22" i="1"/>
  <c r="AS23" i="1"/>
  <c r="AY9" i="1"/>
  <c r="BS24" i="1"/>
  <c r="AY36" i="1"/>
  <c r="AT14" i="1"/>
  <c r="AW9" i="1"/>
  <c r="BW46" i="1"/>
  <c r="BE13" i="1"/>
  <c r="BG39" i="1"/>
  <c r="BT15" i="1"/>
  <c r="AX45" i="1"/>
  <c r="BR32" i="1"/>
  <c r="BC35" i="1"/>
  <c r="AO14" i="1"/>
  <c r="BN47" i="1"/>
  <c r="AW24" i="1"/>
  <c r="BQ46" i="1"/>
  <c r="BN32" i="1"/>
  <c r="BK39" i="1"/>
  <c r="BD39" i="1"/>
  <c r="AQ24" i="1"/>
  <c r="BQ15" i="1"/>
  <c r="BF14" i="1"/>
  <c r="AQ39" i="1"/>
  <c r="AW45" i="1"/>
  <c r="AZ35" i="1"/>
  <c r="P135" i="1"/>
  <c r="P131" i="1" s="1"/>
  <c r="P118" i="1"/>
  <c r="Q144" i="1"/>
  <c r="Q179" i="1" s="1"/>
  <c r="W150" i="1"/>
  <c r="BV126" i="1"/>
  <c r="BW126" i="1" s="1"/>
  <c r="M153" i="1"/>
  <c r="M183" i="1" s="1"/>
  <c r="P142" i="1"/>
  <c r="C63" i="1"/>
  <c r="W144" i="1"/>
  <c r="BU47" i="1"/>
  <c r="AT15" i="1"/>
  <c r="BP39" i="1"/>
  <c r="AW13" i="1"/>
  <c r="BN9" i="1"/>
  <c r="BG32" i="1"/>
  <c r="BG194" i="1" s="1"/>
  <c r="AY24" i="1"/>
  <c r="BQ47" i="1"/>
  <c r="AM73" i="1"/>
  <c r="AQ8" i="1"/>
  <c r="AQ231" i="1" s="1"/>
  <c r="BA9" i="1"/>
  <c r="AY32" i="1"/>
  <c r="AY194" i="1" s="1"/>
  <c r="BR46" i="1"/>
  <c r="BI22" i="1"/>
  <c r="BQ51" i="1"/>
  <c r="AW8" i="1"/>
  <c r="AW10" i="1" s="1"/>
  <c r="BU25" i="1"/>
  <c r="BU32" i="1"/>
  <c r="AU47" i="1"/>
  <c r="AI51" i="1"/>
  <c r="BR20" i="1"/>
  <c r="AX8" i="1"/>
  <c r="BN15" i="1"/>
  <c r="AI36" i="1"/>
  <c r="AY45" i="1"/>
  <c r="BJ9" i="1"/>
  <c r="BJ10" i="1" s="1"/>
  <c r="BJ16" i="1" s="1"/>
  <c r="AW20" i="1"/>
  <c r="BO20" i="1"/>
  <c r="BH151" i="1"/>
  <c r="BI151" i="1" s="1"/>
  <c r="R133" i="1"/>
  <c r="D125" i="1"/>
  <c r="F147" i="1"/>
  <c r="N164" i="1"/>
  <c r="BO47" i="1"/>
  <c r="BS8" i="1"/>
  <c r="BS231" i="1" s="1"/>
  <c r="BW15" i="1"/>
  <c r="BJ39" i="1"/>
  <c r="AP46" i="1"/>
  <c r="BA23" i="1"/>
  <c r="AV22" i="1"/>
  <c r="AI22" i="1"/>
  <c r="AQ9" i="1"/>
  <c r="AQ10" i="1" s="1"/>
  <c r="AQ36" i="1"/>
  <c r="AQ252" i="1" s="1"/>
  <c r="AV14" i="1"/>
  <c r="BG22" i="1"/>
  <c r="BK23" i="1"/>
  <c r="BH24" i="1"/>
  <c r="AW36" i="1"/>
  <c r="AW252" i="1" s="1"/>
  <c r="BK14" i="1"/>
  <c r="BD9" i="1"/>
  <c r="BD10" i="1" s="1"/>
  <c r="AR22" i="1"/>
  <c r="BN25" i="1"/>
  <c r="BA51" i="1"/>
  <c r="BV46" i="1"/>
  <c r="AU14" i="1"/>
  <c r="AT20" i="1"/>
  <c r="BB22" i="1"/>
  <c r="BI24" i="1"/>
  <c r="AP23" i="1"/>
  <c r="BS51" i="1"/>
  <c r="BJ73" i="1"/>
  <c r="BI45" i="1"/>
  <c r="AS20" i="1"/>
  <c r="BW20" i="1"/>
  <c r="BW13" i="1"/>
  <c r="BR23" i="1"/>
  <c r="BJ51" i="1"/>
  <c r="AV32" i="1"/>
  <c r="AV194" i="1" s="1"/>
  <c r="BS32" i="1"/>
  <c r="BS194" i="1" s="1"/>
  <c r="AR14" i="1"/>
  <c r="BA39" i="1"/>
  <c r="BV51" i="1"/>
  <c r="AO9" i="1"/>
  <c r="AO10" i="1" s="1"/>
  <c r="AP35" i="1"/>
  <c r="AW32" i="1"/>
  <c r="BN45" i="1"/>
  <c r="AY35" i="1"/>
  <c r="AO25" i="1"/>
  <c r="BI36" i="1"/>
  <c r="BV32" i="1"/>
  <c r="BP20" i="1"/>
  <c r="BT14" i="1"/>
  <c r="AV36" i="1"/>
  <c r="BI9" i="1"/>
  <c r="BS20" i="1"/>
  <c r="BH149" i="1"/>
  <c r="BI149" i="1" s="1"/>
  <c r="BH159" i="1"/>
  <c r="L79" i="1"/>
  <c r="V146" i="1"/>
  <c r="W135" i="1"/>
  <c r="W131" i="1" s="1"/>
  <c r="W134" i="1" s="1"/>
  <c r="I163" i="1"/>
  <c r="E119" i="1"/>
  <c r="O126" i="1"/>
  <c r="O154" i="1" s="1"/>
  <c r="BG25" i="1"/>
  <c r="AP15" i="1"/>
  <c r="BO32" i="1"/>
  <c r="BO194" i="1" s="1"/>
  <c r="BS14" i="1"/>
  <c r="BB24" i="1"/>
  <c r="AY13" i="1"/>
  <c r="BA36" i="1"/>
  <c r="BG23" i="1"/>
  <c r="AV21" i="1"/>
  <c r="BB15" i="1"/>
  <c r="AZ15" i="1"/>
  <c r="BE8" i="1"/>
  <c r="BE231" i="1" s="1"/>
  <c r="AV45" i="1"/>
  <c r="BK24" i="1"/>
  <c r="AW15" i="1"/>
  <c r="AU45" i="1"/>
  <c r="BH21" i="1"/>
  <c r="BB13" i="1"/>
  <c r="BS25" i="1"/>
  <c r="BK47" i="1"/>
  <c r="BO39" i="1"/>
  <c r="BP51" i="1"/>
  <c r="BE24" i="1"/>
  <c r="BE39" i="1"/>
  <c r="AW14" i="1"/>
  <c r="AP8" i="1"/>
  <c r="AR24" i="1"/>
  <c r="BC51" i="1"/>
  <c r="AV24" i="1"/>
  <c r="BS35" i="1"/>
  <c r="BR14" i="1"/>
  <c r="BU20" i="1"/>
  <c r="BF39" i="1"/>
  <c r="BI20" i="1"/>
  <c r="BT21" i="1"/>
  <c r="AU9" i="1"/>
  <c r="BV47" i="1"/>
  <c r="AW39" i="1"/>
  <c r="BF45" i="1"/>
  <c r="BV135" i="1"/>
  <c r="BW135" i="1" s="1"/>
  <c r="BV163" i="1"/>
  <c r="BW163" i="1" s="1"/>
  <c r="D145" i="1"/>
  <c r="D180" i="1" s="1"/>
  <c r="M137" i="1"/>
  <c r="E145" i="1"/>
  <c r="E180" i="1" s="1"/>
  <c r="N133" i="1"/>
  <c r="T137" i="1"/>
  <c r="BU46" i="1"/>
  <c r="AX47" i="1"/>
  <c r="AI21" i="1"/>
  <c r="BV142" i="1"/>
  <c r="BW142" i="1" s="1"/>
  <c r="BM39" i="1"/>
  <c r="BT24" i="1"/>
  <c r="BB51" i="1"/>
  <c r="BR47" i="1"/>
  <c r="AI8" i="1"/>
  <c r="AM74" i="1"/>
  <c r="BH147" i="1"/>
  <c r="BI147" i="1" s="1"/>
  <c r="AT36" i="1"/>
  <c r="BM46" i="1"/>
  <c r="AI46" i="1"/>
  <c r="BO23" i="1"/>
  <c r="AN14" i="1"/>
  <c r="AI15" i="1"/>
  <c r="BQ20" i="1"/>
  <c r="BG24" i="1"/>
  <c r="BI15" i="1"/>
  <c r="AI9" i="1"/>
  <c r="AR21" i="1"/>
  <c r="BN36" i="1"/>
  <c r="BN252" i="1" s="1"/>
  <c r="AP9" i="1"/>
  <c r="BM45" i="1"/>
  <c r="BT39" i="1"/>
  <c r="AZ13" i="1"/>
  <c r="AX32" i="1"/>
  <c r="AX194" i="1" s="1"/>
  <c r="AX9" i="1"/>
  <c r="AX10" i="1" s="1"/>
  <c r="AU20" i="1"/>
  <c r="BE15" i="1"/>
  <c r="AO47" i="1"/>
  <c r="BU9" i="1"/>
  <c r="AK73" i="1"/>
  <c r="BH117" i="1"/>
  <c r="BI117" i="1" s="1"/>
  <c r="BV133" i="1"/>
  <c r="C127" i="1"/>
  <c r="G136" i="1"/>
  <c r="H126" i="1"/>
  <c r="H154" i="1" s="1"/>
  <c r="BB9" i="1"/>
  <c r="BG47" i="1"/>
  <c r="AT25" i="1"/>
  <c r="AZ25" i="1"/>
  <c r="AQ14" i="1"/>
  <c r="AS32" i="1"/>
  <c r="AS194" i="1" s="1"/>
  <c r="BS45" i="1"/>
  <c r="BJ22" i="1"/>
  <c r="BJ26" i="1" s="1"/>
  <c r="AQ25" i="1"/>
  <c r="AR45" i="1"/>
  <c r="BC36" i="1"/>
  <c r="BM9" i="1"/>
  <c r="BM10" i="1" s="1"/>
  <c r="BW47" i="1"/>
  <c r="AR51" i="1"/>
  <c r="BJ36" i="1"/>
  <c r="BJ252" i="1" s="1"/>
  <c r="AZ23" i="1"/>
  <c r="AO39" i="1"/>
  <c r="AP51" i="1"/>
  <c r="BR9" i="1"/>
  <c r="BR10" i="1" s="1"/>
  <c r="BD51" i="1"/>
  <c r="BU8" i="1"/>
  <c r="BM15" i="1"/>
  <c r="BW21" i="1"/>
  <c r="BW9" i="1"/>
  <c r="AQ47" i="1"/>
  <c r="BH20" i="1"/>
  <c r="BF20" i="1"/>
  <c r="AZ51" i="1"/>
  <c r="AS51" i="1"/>
  <c r="BE46" i="1"/>
  <c r="BF25" i="1"/>
  <c r="BT22" i="1"/>
  <c r="BG46" i="1"/>
  <c r="BV22" i="1"/>
  <c r="AI47" i="1"/>
  <c r="BA20" i="1"/>
  <c r="BR15" i="1"/>
  <c r="BA21" i="1"/>
  <c r="BJ35" i="1"/>
  <c r="BF21" i="1"/>
  <c r="AN39" i="1"/>
  <c r="AI25" i="1"/>
  <c r="BQ35" i="1"/>
  <c r="BK20" i="1"/>
  <c r="BB46" i="1"/>
  <c r="BI46" i="1"/>
  <c r="BV39" i="1"/>
  <c r="AU23" i="1"/>
  <c r="AI39" i="1"/>
  <c r="BT20" i="1"/>
  <c r="AT8" i="1"/>
  <c r="AZ9" i="1"/>
  <c r="BO46" i="1"/>
  <c r="BF9" i="1"/>
  <c r="AU13" i="1"/>
  <c r="AN24" i="1"/>
  <c r="BQ13" i="1"/>
  <c r="BR24" i="1"/>
  <c r="AN51" i="1"/>
  <c r="BV8" i="1"/>
  <c r="BK36" i="1"/>
  <c r="BI25" i="1"/>
  <c r="BV147" i="1"/>
  <c r="BW147" i="1" s="1"/>
  <c r="BH144" i="1"/>
  <c r="P124" i="1"/>
  <c r="S155" i="1"/>
  <c r="E146" i="1"/>
  <c r="S126" i="1"/>
  <c r="S154" i="1" s="1"/>
  <c r="J118" i="1"/>
  <c r="E140" i="1"/>
  <c r="BD35" i="1"/>
  <c r="AP47" i="1"/>
  <c r="AX14" i="1"/>
  <c r="BO21" i="1"/>
  <c r="AT35" i="1"/>
  <c r="BM20" i="1"/>
  <c r="AN47" i="1"/>
  <c r="BQ8" i="1"/>
  <c r="BP46" i="1"/>
  <c r="BR25" i="1"/>
  <c r="BT13" i="1"/>
  <c r="BA46" i="1"/>
  <c r="BP25" i="1"/>
  <c r="AY47" i="1"/>
  <c r="AZ22" i="1"/>
  <c r="BW51" i="1"/>
  <c r="BC46" i="1"/>
  <c r="BM25" i="1"/>
  <c r="BH39" i="1"/>
  <c r="BI21" i="1"/>
  <c r="AI45" i="1"/>
  <c r="AX21" i="1"/>
  <c r="BM32" i="1"/>
  <c r="BN24" i="1"/>
  <c r="BW39" i="1"/>
  <c r="BV152" i="1"/>
  <c r="BW152" i="1" s="1"/>
  <c r="J133" i="1"/>
  <c r="J125" i="1"/>
  <c r="V74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W46" i="1"/>
  <c r="AO20" i="1"/>
  <c r="BN21" i="1"/>
  <c r="AS39" i="1"/>
  <c r="BP36" i="1"/>
  <c r="BF13" i="1"/>
  <c r="BV36" i="1"/>
  <c r="AI35" i="1"/>
  <c r="BV145" i="1"/>
  <c r="BV150" i="1"/>
  <c r="BW150" i="1" s="1"/>
  <c r="B126" i="1"/>
  <c r="B154" i="1" s="1"/>
  <c r="O122" i="1"/>
  <c r="W73" i="1"/>
  <c r="P143" i="1"/>
  <c r="F133" i="1"/>
  <c r="F134" i="1" s="1"/>
  <c r="F118" i="1"/>
  <c r="P149" i="1"/>
  <c r="U145" i="1"/>
  <c r="U180" i="1" s="1"/>
  <c r="V122" i="1"/>
  <c r="J155" i="1"/>
  <c r="B145" i="1"/>
  <c r="B180" i="1" s="1"/>
  <c r="L146" i="1"/>
  <c r="U127" i="1"/>
  <c r="E73" i="1"/>
  <c r="D136" i="1"/>
  <c r="B77" i="1"/>
  <c r="I136" i="1"/>
  <c r="G142" i="1"/>
  <c r="Q145" i="1"/>
  <c r="Q180" i="1" s="1"/>
  <c r="U74" i="1"/>
  <c r="V140" i="1"/>
  <c r="AZ21" i="1"/>
  <c r="BV132" i="1"/>
  <c r="AI73" i="1"/>
  <c r="BH124" i="1"/>
  <c r="BI124" i="1" s="1"/>
  <c r="BH74" i="1"/>
  <c r="BH135" i="1"/>
  <c r="BI135" i="1" s="1"/>
  <c r="BH119" i="1"/>
  <c r="M124" i="1"/>
  <c r="T133" i="1"/>
  <c r="M132" i="1"/>
  <c r="L137" i="1"/>
  <c r="O125" i="1"/>
  <c r="E122" i="1"/>
  <c r="Q78" i="1"/>
  <c r="U79" i="1"/>
  <c r="F163" i="1"/>
  <c r="B164" i="1"/>
  <c r="E127" i="1"/>
  <c r="T77" i="1"/>
  <c r="V160" i="1"/>
  <c r="L171" i="1"/>
  <c r="E78" i="1"/>
  <c r="S164" i="1"/>
  <c r="S117" i="1"/>
  <c r="C126" i="1"/>
  <c r="C154" i="1" s="1"/>
  <c r="I144" i="1"/>
  <c r="I179" i="1" s="1"/>
  <c r="T164" i="1"/>
  <c r="H124" i="1"/>
  <c r="W74" i="1"/>
  <c r="E142" i="1"/>
  <c r="I147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W8" i="1"/>
  <c r="BO22" i="1"/>
  <c r="AY46" i="1"/>
  <c r="BJ32" i="1"/>
  <c r="BC47" i="1"/>
  <c r="AS21" i="1"/>
  <c r="BV122" i="1"/>
  <c r="BW122" i="1" s="1"/>
  <c r="BH73" i="1"/>
  <c r="BV124" i="1"/>
  <c r="BW124" i="1" s="1"/>
  <c r="BH140" i="1"/>
  <c r="BI140" i="1" s="1"/>
  <c r="BJ202" i="1" s="1"/>
  <c r="BV117" i="1"/>
  <c r="BV120" i="1" s="1"/>
  <c r="T74" i="1"/>
  <c r="S67" i="1"/>
  <c r="T79" i="1"/>
  <c r="T170" i="1"/>
  <c r="F160" i="1"/>
  <c r="Q136" i="1"/>
  <c r="C159" i="1"/>
  <c r="U136" i="1"/>
  <c r="S73" i="1"/>
  <c r="J160" i="1"/>
  <c r="J73" i="1"/>
  <c r="R164" i="1"/>
  <c r="G124" i="1"/>
  <c r="S127" i="1"/>
  <c r="B172" i="1"/>
  <c r="W151" i="1"/>
  <c r="M77" i="1"/>
  <c r="Q142" i="1"/>
  <c r="E153" i="1"/>
  <c r="E183" i="1" s="1"/>
  <c r="I118" i="1"/>
  <c r="M119" i="1"/>
  <c r="F125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52" i="1" s="1"/>
  <c r="AU46" i="1"/>
  <c r="BD24" i="1"/>
  <c r="BD13" i="1"/>
  <c r="AN15" i="1"/>
  <c r="BC39" i="1"/>
  <c r="BS15" i="1"/>
  <c r="BD45" i="1"/>
  <c r="AT23" i="1"/>
  <c r="BQ14" i="1"/>
  <c r="AO32" i="1"/>
  <c r="AU22" i="1"/>
  <c r="BK13" i="1"/>
  <c r="AS13" i="1"/>
  <c r="BN35" i="1"/>
  <c r="AX39" i="1"/>
  <c r="BV73" i="1"/>
  <c r="BV144" i="1"/>
  <c r="BH127" i="1"/>
  <c r="BI127" i="1" s="1"/>
  <c r="U146" i="1"/>
  <c r="W160" i="1"/>
  <c r="F137" i="1"/>
  <c r="T67" i="1"/>
  <c r="G132" i="1"/>
  <c r="D74" i="1"/>
  <c r="G147" i="1"/>
  <c r="I145" i="1"/>
  <c r="I180" i="1" s="1"/>
  <c r="N146" i="1"/>
  <c r="O135" i="1"/>
  <c r="O131" i="1" s="1"/>
  <c r="W125" i="1"/>
  <c r="R117" i="1"/>
  <c r="L119" i="1"/>
  <c r="C73" i="1"/>
  <c r="I143" i="1"/>
  <c r="S78" i="1"/>
  <c r="V124" i="1"/>
  <c r="K142" i="1"/>
  <c r="H144" i="1"/>
  <c r="H179" i="1" s="1"/>
  <c r="BP14" i="1"/>
  <c r="BK32" i="1"/>
  <c r="BK203" i="1" s="1"/>
  <c r="BK201" i="1" s="1"/>
  <c r="AT32" i="1"/>
  <c r="AT194" i="1" s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AP252" i="1" s="1"/>
  <c r="BG21" i="1"/>
  <c r="BQ21" i="1"/>
  <c r="BE45" i="1"/>
  <c r="AZ45" i="1"/>
  <c r="AR15" i="1"/>
  <c r="BJ46" i="1"/>
  <c r="BU24" i="1"/>
  <c r="BE21" i="1"/>
  <c r="AI32" i="1"/>
  <c r="BV159" i="1"/>
  <c r="BH131" i="1"/>
  <c r="W122" i="1"/>
  <c r="H143" i="1"/>
  <c r="D160" i="1"/>
  <c r="D161" i="1" s="1"/>
  <c r="N149" i="1"/>
  <c r="F144" i="1"/>
  <c r="F179" i="1" s="1"/>
  <c r="D126" i="1"/>
  <c r="D154" i="1" s="1"/>
  <c r="D73" i="1"/>
  <c r="H159" i="1"/>
  <c r="C137" i="1"/>
  <c r="R67" i="1"/>
  <c r="F126" i="1"/>
  <c r="F154" i="1" s="1"/>
  <c r="F127" i="1"/>
  <c r="L159" i="1"/>
  <c r="M74" i="1"/>
  <c r="L142" i="1"/>
  <c r="W127" i="1"/>
  <c r="U132" i="1"/>
  <c r="O79" i="1"/>
  <c r="R78" i="1"/>
  <c r="R163" i="1"/>
  <c r="W67" i="1"/>
  <c r="T124" i="1"/>
  <c r="E126" i="1"/>
  <c r="E154" i="1" s="1"/>
  <c r="J122" i="1"/>
  <c r="H118" i="1"/>
  <c r="L164" i="1"/>
  <c r="D149" i="1"/>
  <c r="T145" i="1"/>
  <c r="T180" i="1" s="1"/>
  <c r="S77" i="1"/>
  <c r="L73" i="1"/>
  <c r="F136" i="1"/>
  <c r="E125" i="1"/>
  <c r="C151" i="1"/>
  <c r="R160" i="1"/>
  <c r="R135" i="1"/>
  <c r="R131" i="1" s="1"/>
  <c r="AY25" i="1"/>
  <c r="BN14" i="1"/>
  <c r="AV23" i="1"/>
  <c r="BQ36" i="1"/>
  <c r="BQ252" i="1" s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AU252" i="1" s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BV26" i="1" s="1"/>
  <c r="AO24" i="1"/>
  <c r="BE32" i="1"/>
  <c r="BE194" i="1" s="1"/>
  <c r="BP35" i="1"/>
  <c r="AY15" i="1"/>
  <c r="AU51" i="1"/>
  <c r="AI14" i="1"/>
  <c r="BT9" i="1"/>
  <c r="BT10" i="1" s="1"/>
  <c r="BE36" i="1"/>
  <c r="AX24" i="1"/>
  <c r="AY51" i="1"/>
  <c r="BO24" i="1"/>
  <c r="BF24" i="1"/>
  <c r="BN20" i="1"/>
  <c r="BN22" i="1"/>
  <c r="BV13" i="1"/>
  <c r="AT47" i="1"/>
  <c r="AN9" i="1"/>
  <c r="BH132" i="1"/>
  <c r="BV154" i="1"/>
  <c r="BW154" i="1" s="1"/>
  <c r="BH155" i="1"/>
  <c r="BI155" i="1" s="1"/>
  <c r="BH142" i="1"/>
  <c r="BI142" i="1" s="1"/>
  <c r="BV131" i="1"/>
  <c r="N124" i="1"/>
  <c r="C78" i="1"/>
  <c r="J132" i="1"/>
  <c r="G172" i="1"/>
  <c r="C117" i="1"/>
  <c r="O151" i="1"/>
  <c r="T119" i="1"/>
  <c r="W126" i="1"/>
  <c r="W154" i="1" s="1"/>
  <c r="S140" i="1"/>
  <c r="D64" i="1"/>
  <c r="V117" i="1"/>
  <c r="C140" i="1"/>
  <c r="V137" i="1"/>
  <c r="G146" i="1"/>
  <c r="J137" i="1"/>
  <c r="E136" i="1"/>
  <c r="R79" i="1"/>
  <c r="G171" i="1"/>
  <c r="I155" i="1"/>
  <c r="B140" i="1"/>
  <c r="V143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B14" i="1"/>
  <c r="AR39" i="1"/>
  <c r="AT45" i="1"/>
  <c r="AU21" i="1"/>
  <c r="AM51" i="1"/>
  <c r="BG36" i="1"/>
  <c r="BH9" i="1"/>
  <c r="AS45" i="1"/>
  <c r="AX36" i="1"/>
  <c r="BB20" i="1"/>
  <c r="BO8" i="1"/>
  <c r="BO231" i="1" s="1"/>
  <c r="BH137" i="1"/>
  <c r="BI137" i="1" s="1"/>
  <c r="BV153" i="1"/>
  <c r="BV137" i="1"/>
  <c r="BW137" i="1" s="1"/>
  <c r="BH163" i="1"/>
  <c r="BI163" i="1" s="1"/>
  <c r="BH126" i="1"/>
  <c r="BI126" i="1" s="1"/>
  <c r="BV151" i="1"/>
  <c r="BW151" i="1" s="1"/>
  <c r="BH160" i="1"/>
  <c r="V73" i="1"/>
  <c r="O145" i="1"/>
  <c r="O180" i="1" s="1"/>
  <c r="O127" i="1"/>
  <c r="O155" i="1"/>
  <c r="N137" i="1"/>
  <c r="R127" i="1"/>
  <c r="S172" i="1"/>
  <c r="Q143" i="1"/>
  <c r="M163" i="1"/>
  <c r="Q140" i="1"/>
  <c r="K133" i="1"/>
  <c r="D127" i="1"/>
  <c r="U124" i="1"/>
  <c r="G140" i="1"/>
  <c r="M79" i="1"/>
  <c r="G127" i="1"/>
  <c r="W142" i="1"/>
  <c r="V171" i="1"/>
  <c r="W146" i="1"/>
  <c r="I159" i="1"/>
  <c r="J147" i="1"/>
  <c r="H164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N8" i="1"/>
  <c r="BD46" i="1"/>
  <c r="BA15" i="1"/>
  <c r="BW25" i="1"/>
  <c r="BC25" i="1"/>
  <c r="BK22" i="1"/>
  <c r="AU32" i="1"/>
  <c r="AU194" i="1" s="1"/>
  <c r="BD14" i="1"/>
  <c r="AT24" i="1"/>
  <c r="AP20" i="1"/>
  <c r="AX25" i="1"/>
  <c r="BH164" i="1"/>
  <c r="BI164" i="1" s="1"/>
  <c r="BV140" i="1"/>
  <c r="BW140" i="1" s="1"/>
  <c r="BX202" i="1" s="1"/>
  <c r="BV125" i="1"/>
  <c r="BW125" i="1" s="1"/>
  <c r="BH150" i="1"/>
  <c r="BI150" i="1" s="1"/>
  <c r="S132" i="1"/>
  <c r="I137" i="1"/>
  <c r="J143" i="1"/>
  <c r="C136" i="1"/>
  <c r="I150" i="1"/>
  <c r="H150" i="1"/>
  <c r="L132" i="1"/>
  <c r="L150" i="1"/>
  <c r="B63" i="1"/>
  <c r="M146" i="1"/>
  <c r="H119" i="1"/>
  <c r="M171" i="1"/>
  <c r="D164" i="1"/>
  <c r="R140" i="1"/>
  <c r="U144" i="1"/>
  <c r="U179" i="1" s="1"/>
  <c r="P77" i="1"/>
  <c r="M144" i="1"/>
  <c r="M179" i="1" s="1"/>
  <c r="K74" i="1"/>
  <c r="B142" i="1"/>
  <c r="BI23" i="1"/>
  <c r="BU39" i="1"/>
  <c r="AP22" i="1"/>
  <c r="AO46" i="1"/>
  <c r="BS9" i="1"/>
  <c r="BH8" i="1"/>
  <c r="BH231" i="1" s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BK45" i="1"/>
  <c r="BF15" i="1"/>
  <c r="BC22" i="1"/>
  <c r="BS36" i="1"/>
  <c r="AX46" i="1"/>
  <c r="BA24" i="1"/>
  <c r="BF8" i="1"/>
  <c r="BP21" i="1"/>
  <c r="AS46" i="1"/>
  <c r="BH146" i="1"/>
  <c r="BI146" i="1" s="1"/>
  <c r="BH133" i="1"/>
  <c r="BH152" i="1"/>
  <c r="BI152" i="1" s="1"/>
  <c r="BV143" i="1"/>
  <c r="BW143" i="1" s="1"/>
  <c r="BV160" i="1"/>
  <c r="BH118" i="1"/>
  <c r="BI118" i="1" s="1"/>
  <c r="B132" i="1"/>
  <c r="L124" i="1"/>
  <c r="W170" i="1"/>
  <c r="F150" i="1"/>
  <c r="V151" i="1"/>
  <c r="J145" i="1"/>
  <c r="J180" i="1" s="1"/>
  <c r="J117" i="1"/>
  <c r="L127" i="1"/>
  <c r="B160" i="1"/>
  <c r="L136" i="1"/>
  <c r="D147" i="1"/>
  <c r="G118" i="1"/>
  <c r="H122" i="1"/>
  <c r="B151" i="1"/>
  <c r="W78" i="1"/>
  <c r="T73" i="1"/>
  <c r="D172" i="1"/>
  <c r="I126" i="1"/>
  <c r="I154" i="1" s="1"/>
  <c r="P159" i="1"/>
  <c r="P161" i="1" s="1"/>
  <c r="Q209" i="1" s="1"/>
  <c r="R142" i="1"/>
  <c r="L117" i="1"/>
  <c r="C144" i="1"/>
  <c r="C179" i="1" s="1"/>
  <c r="D137" i="1"/>
  <c r="H78" i="1"/>
  <c r="P136" i="1"/>
  <c r="I124" i="1"/>
  <c r="L153" i="1"/>
  <c r="L183" i="1" s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D65" i="1" s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L173" i="1" s="1"/>
  <c r="H163" i="1"/>
  <c r="N171" i="1"/>
  <c r="H171" i="1"/>
  <c r="D77" i="1"/>
  <c r="D171" i="1"/>
  <c r="BH154" i="1"/>
  <c r="BI154" i="1" s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B134" i="1" s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V202" i="1" s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Q134" i="1" s="1"/>
  <c r="J149" i="1"/>
  <c r="H160" i="1"/>
  <c r="M133" i="1"/>
  <c r="E149" i="1"/>
  <c r="C160" i="1"/>
  <c r="C161" i="1" s="1"/>
  <c r="C147" i="1"/>
  <c r="K135" i="1"/>
  <c r="K131" i="1" s="1"/>
  <c r="K134" i="1" s="1"/>
  <c r="N145" i="1"/>
  <c r="N180" i="1" s="1"/>
  <c r="Q164" i="1"/>
  <c r="Q74" i="1"/>
  <c r="V147" i="1"/>
  <c r="N135" i="1"/>
  <c r="N131" i="1" s="1"/>
  <c r="N134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B65" i="1" s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M161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G120" i="1" s="1"/>
  <c r="P74" i="1"/>
  <c r="T151" i="1"/>
  <c r="G164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BH183" i="1" s="1"/>
  <c r="BI183" i="1" s="1"/>
  <c r="D118" i="1"/>
  <c r="C118" i="1"/>
  <c r="W136" i="1"/>
  <c r="B79" i="1"/>
  <c r="B171" i="1"/>
  <c r="B173" i="1" s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E134" i="1" s="1"/>
  <c r="H140" i="1"/>
  <c r="H202" i="1" s="1"/>
  <c r="T144" i="1"/>
  <c r="T179" i="1" s="1"/>
  <c r="N159" i="1"/>
  <c r="U133" i="1"/>
  <c r="E67" i="1"/>
  <c r="M127" i="1"/>
  <c r="P67" i="1"/>
  <c r="Q151" i="1"/>
  <c r="M170" i="1"/>
  <c r="Q117" i="1"/>
  <c r="Q120" i="1" s="1"/>
  <c r="E143" i="1"/>
  <c r="R126" i="1"/>
  <c r="R154" i="1" s="1"/>
  <c r="F159" i="1"/>
  <c r="F161" i="1" s="1"/>
  <c r="V149" i="1"/>
  <c r="P122" i="1"/>
  <c r="M126" i="1"/>
  <c r="M154" i="1" s="1"/>
  <c r="U155" i="1"/>
  <c r="BC45" i="1"/>
  <c r="BD23" i="1"/>
  <c r="BF36" i="1"/>
  <c r="BF252" i="1" s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N124" i="1"/>
  <c r="BP164" i="1"/>
  <c r="BQ164" i="1" s="1"/>
  <c r="AP117" i="1"/>
  <c r="AQ117" i="1" s="1"/>
  <c r="AN119" i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55" i="1"/>
  <c r="AO155" i="1" s="1"/>
  <c r="AR151" i="1"/>
  <c r="AS151" i="1" s="1"/>
  <c r="AN131" i="1"/>
  <c r="AT132" i="1"/>
  <c r="AT73" i="1"/>
  <c r="AN73" i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Z231" i="1"/>
  <c r="BN253" i="1"/>
  <c r="BB253" i="1"/>
  <c r="BN231" i="1"/>
  <c r="BM231" i="1"/>
  <c r="BD253" i="1"/>
  <c r="BD231" i="1"/>
  <c r="AZ252" i="1"/>
  <c r="BD252" i="1"/>
  <c r="BT252" i="1"/>
  <c r="BU194" i="1"/>
  <c r="AN231" i="1"/>
  <c r="AN98" i="1"/>
  <c r="AN99" i="1" s="1"/>
  <c r="AO98" i="1"/>
  <c r="AO99" i="1" s="1"/>
  <c r="BN33" i="1"/>
  <c r="BN194" i="1"/>
  <c r="AQ253" i="1"/>
  <c r="AQ194" i="1"/>
  <c r="BN10" i="1"/>
  <c r="BB231" i="1"/>
  <c r="AX231" i="1"/>
  <c r="BT231" i="1"/>
  <c r="AO231" i="1"/>
  <c r="AW231" i="1"/>
  <c r="BW202" i="1"/>
  <c r="CQ134" i="1"/>
  <c r="CY65" i="1"/>
  <c r="CZ63" i="1"/>
  <c r="AI37" i="1" l="1"/>
  <c r="BW10" i="1"/>
  <c r="AN10" i="1"/>
  <c r="C134" i="1"/>
  <c r="BN180" i="1"/>
  <c r="BO180" i="1" s="1"/>
  <c r="AR159" i="1"/>
  <c r="AN127" i="1"/>
  <c r="AO127" i="1" s="1"/>
  <c r="S134" i="1"/>
  <c r="BQ26" i="1"/>
  <c r="AT10" i="1"/>
  <c r="AT16" i="1" s="1"/>
  <c r="BF10" i="1"/>
  <c r="D156" i="1"/>
  <c r="BV134" i="1"/>
  <c r="J134" i="1"/>
  <c r="V120" i="1"/>
  <c r="D107" i="1"/>
  <c r="D134" i="1"/>
  <c r="L202" i="1"/>
  <c r="H134" i="1"/>
  <c r="U148" i="1"/>
  <c r="U182" i="1" s="1"/>
  <c r="H173" i="1"/>
  <c r="P173" i="1"/>
  <c r="J161" i="1"/>
  <c r="M134" i="1"/>
  <c r="U202" i="1"/>
  <c r="I173" i="1"/>
  <c r="Q128" i="1"/>
  <c r="N202" i="1"/>
  <c r="N148" i="1"/>
  <c r="H148" i="1"/>
  <c r="O202" i="1"/>
  <c r="T120" i="1"/>
  <c r="T175" i="1" s="1"/>
  <c r="G161" i="1"/>
  <c r="BD180" i="1"/>
  <c r="BE180" i="1" s="1"/>
  <c r="AZ150" i="1"/>
  <c r="BA150" i="1" s="1"/>
  <c r="BP133" i="1"/>
  <c r="AN183" i="1"/>
  <c r="AO183" i="1" s="1"/>
  <c r="AN179" i="1"/>
  <c r="AO179" i="1" s="1"/>
  <c r="AN125" i="1"/>
  <c r="AO125" i="1" s="1"/>
  <c r="AN252" i="1"/>
  <c r="BW253" i="1"/>
  <c r="BF253" i="1"/>
  <c r="BW231" i="1"/>
  <c r="BZ98" i="1"/>
  <c r="BZ99" i="1" s="1"/>
  <c r="BW252" i="1"/>
  <c r="BF231" i="1"/>
  <c r="BJ253" i="1"/>
  <c r="BJ194" i="1"/>
  <c r="BM252" i="1"/>
  <c r="BW26" i="1"/>
  <c r="BI252" i="1"/>
  <c r="BT26" i="1"/>
  <c r="W202" i="1"/>
  <c r="BV179" i="1"/>
  <c r="BW179" i="1" s="1"/>
  <c r="BB252" i="1"/>
  <c r="BC26" i="1"/>
  <c r="BG252" i="1"/>
  <c r="AX252" i="1"/>
  <c r="BB26" i="1"/>
  <c r="BV183" i="1"/>
  <c r="S173" i="1"/>
  <c r="Q148" i="1"/>
  <c r="G202" i="1"/>
  <c r="P156" i="1"/>
  <c r="P185" i="1" s="1"/>
  <c r="P184" i="1" s="1"/>
  <c r="K173" i="1"/>
  <c r="W173" i="1"/>
  <c r="Q173" i="1"/>
  <c r="C65" i="1"/>
  <c r="AN26" i="1"/>
  <c r="B128" i="1"/>
  <c r="O173" i="1"/>
  <c r="F120" i="1"/>
  <c r="BN183" i="1"/>
  <c r="BO183" i="1" s="1"/>
  <c r="BT180" i="1"/>
  <c r="BU180" i="1" s="1"/>
  <c r="BD183" i="1"/>
  <c r="BE183" i="1" s="1"/>
  <c r="AN180" i="1"/>
  <c r="AO180" i="1" s="1"/>
  <c r="AY231" i="1"/>
  <c r="AZ98" i="1"/>
  <c r="AZ99" i="1" s="1"/>
  <c r="AZ102" i="1" s="1"/>
  <c r="BR231" i="1"/>
  <c r="BR252" i="1"/>
  <c r="AZ194" i="1"/>
  <c r="AZ253" i="1"/>
  <c r="BH161" i="1"/>
  <c r="BV161" i="1"/>
  <c r="AM48" i="1"/>
  <c r="BB10" i="1"/>
  <c r="BG253" i="1"/>
  <c r="BR253" i="1"/>
  <c r="BR26" i="1"/>
  <c r="BJ28" i="1"/>
  <c r="AP26" i="1"/>
  <c r="BE10" i="1"/>
  <c r="AO26" i="1"/>
  <c r="B156" i="1"/>
  <c r="BH120" i="1"/>
  <c r="BH92" i="1" s="1"/>
  <c r="BH96" i="1" s="1"/>
  <c r="E148" i="1"/>
  <c r="BW128" i="1"/>
  <c r="AR26" i="1"/>
  <c r="BK253" i="1"/>
  <c r="T128" i="1"/>
  <c r="R134" i="1"/>
  <c r="S202" i="1"/>
  <c r="J120" i="1"/>
  <c r="D173" i="1"/>
  <c r="L120" i="1"/>
  <c r="I156" i="1"/>
  <c r="T156" i="1"/>
  <c r="T185" i="1" s="1"/>
  <c r="T184" i="1" s="1"/>
  <c r="V128" i="1"/>
  <c r="S161" i="1"/>
  <c r="E120" i="1"/>
  <c r="S120" i="1"/>
  <c r="S175" i="1" s="1"/>
  <c r="F128" i="1"/>
  <c r="R128" i="1"/>
  <c r="K202" i="1"/>
  <c r="O128" i="1"/>
  <c r="L161" i="1"/>
  <c r="B120" i="1"/>
  <c r="D202" i="1"/>
  <c r="K156" i="1"/>
  <c r="O120" i="1"/>
  <c r="K120" i="1"/>
  <c r="J173" i="1"/>
  <c r="P120" i="1"/>
  <c r="C173" i="1"/>
  <c r="S128" i="1"/>
  <c r="F173" i="1"/>
  <c r="W128" i="1"/>
  <c r="O148" i="1"/>
  <c r="O182" i="1" s="1"/>
  <c r="O181" i="1" s="1"/>
  <c r="G134" i="1"/>
  <c r="H120" i="1"/>
  <c r="I120" i="1"/>
  <c r="U120" i="1"/>
  <c r="L134" i="1"/>
  <c r="V134" i="1"/>
  <c r="K148" i="1"/>
  <c r="P134" i="1"/>
  <c r="P128" i="1"/>
  <c r="Q161" i="1"/>
  <c r="R209" i="1" s="1"/>
  <c r="D128" i="1"/>
  <c r="C128" i="1"/>
  <c r="R120" i="1"/>
  <c r="R161" i="1"/>
  <c r="M148" i="1"/>
  <c r="N173" i="1"/>
  <c r="M120" i="1"/>
  <c r="O161" i="1"/>
  <c r="M156" i="1"/>
  <c r="M185" i="1" s="1"/>
  <c r="BA26" i="1"/>
  <c r="T173" i="1"/>
  <c r="BR179" i="1"/>
  <c r="BS179" i="1" s="1"/>
  <c r="BR180" i="1"/>
  <c r="BS180" i="1" s="1"/>
  <c r="AR183" i="1"/>
  <c r="AS183" i="1" s="1"/>
  <c r="AR179" i="1"/>
  <c r="AS179" i="1" s="1"/>
  <c r="BF26" i="1"/>
  <c r="BF27" i="1" s="1"/>
  <c r="AX183" i="1"/>
  <c r="AY183" i="1" s="1"/>
  <c r="BF179" i="1"/>
  <c r="BG179" i="1" s="1"/>
  <c r="BD179" i="1"/>
  <c r="BE179" i="1" s="1"/>
  <c r="BR183" i="1"/>
  <c r="BS183" i="1" s="1"/>
  <c r="AU26" i="1"/>
  <c r="G173" i="1"/>
  <c r="AW194" i="1"/>
  <c r="AW253" i="1"/>
  <c r="BV194" i="1"/>
  <c r="BV253" i="1"/>
  <c r="AP231" i="1"/>
  <c r="AP98" i="1"/>
  <c r="AP99" i="1" s="1"/>
  <c r="AL98" i="1"/>
  <c r="AL99" i="1" s="1"/>
  <c r="AI180" i="1"/>
  <c r="AI182" i="1"/>
  <c r="AI185" i="1"/>
  <c r="AI183" i="1"/>
  <c r="AI231" i="1"/>
  <c r="AI10" i="1"/>
  <c r="AI179" i="1"/>
  <c r="BU231" i="1"/>
  <c r="BX98" i="1"/>
  <c r="BX99" i="1" s="1"/>
  <c r="BW98" i="1"/>
  <c r="BW99" i="1" s="1"/>
  <c r="BW103" i="1" s="1"/>
  <c r="BU253" i="1"/>
  <c r="BU252" i="1"/>
  <c r="BU10" i="1"/>
  <c r="BV231" i="1"/>
  <c r="BV252" i="1"/>
  <c r="BV10" i="1"/>
  <c r="BV16" i="1" s="1"/>
  <c r="BV28" i="1" s="1"/>
  <c r="BY98" i="1"/>
  <c r="BY99" i="1" s="1"/>
  <c r="BV180" i="1"/>
  <c r="BW180" i="1" s="1"/>
  <c r="BK37" i="1"/>
  <c r="BK252" i="1"/>
  <c r="BQ231" i="1"/>
  <c r="BQ253" i="1"/>
  <c r="BQ10" i="1"/>
  <c r="BM194" i="1"/>
  <c r="BM253" i="1"/>
  <c r="BM203" i="1"/>
  <c r="BM201" i="1" s="1"/>
  <c r="BM33" i="1"/>
  <c r="AY10" i="1"/>
  <c r="AY252" i="1"/>
  <c r="AR231" i="1"/>
  <c r="AR10" i="1"/>
  <c r="AR16" i="1" s="1"/>
  <c r="AR253" i="1"/>
  <c r="AO194" i="1"/>
  <c r="AO253" i="1"/>
  <c r="BA231" i="1"/>
  <c r="BC98" i="1"/>
  <c r="BC99" i="1" s="1"/>
  <c r="AI194" i="1"/>
  <c r="AI33" i="1"/>
  <c r="AI203" i="1"/>
  <c r="AI201" i="1" s="1"/>
  <c r="BI253" i="1"/>
  <c r="BI194" i="1"/>
  <c r="BP253" i="1"/>
  <c r="BP194" i="1"/>
  <c r="BN98" i="1"/>
  <c r="BN99" i="1" s="1"/>
  <c r="BK231" i="1"/>
  <c r="BM98" i="1"/>
  <c r="BM99" i="1" s="1"/>
  <c r="BK10" i="1"/>
  <c r="AN33" i="1"/>
  <c r="AN194" i="1"/>
  <c r="AN253" i="1"/>
  <c r="U181" i="1"/>
  <c r="I134" i="1"/>
  <c r="U134" i="1"/>
  <c r="U33" i="1" s="1"/>
  <c r="AR98" i="1"/>
  <c r="AR99" i="1" s="1"/>
  <c r="BG231" i="1"/>
  <c r="BP10" i="1"/>
  <c r="BO98" i="1"/>
  <c r="BO99" i="1" s="1"/>
  <c r="BH252" i="1"/>
  <c r="BB183" i="1"/>
  <c r="BC183" i="1" s="1"/>
  <c r="AZ183" i="1"/>
  <c r="BA183" i="1" s="1"/>
  <c r="G148" i="1"/>
  <c r="I148" i="1"/>
  <c r="S148" i="1"/>
  <c r="U173" i="1"/>
  <c r="J202" i="1"/>
  <c r="S156" i="1"/>
  <c r="D148" i="1"/>
  <c r="E196" i="1" s="1"/>
  <c r="T207" i="1"/>
  <c r="K128" i="1"/>
  <c r="BC10" i="1"/>
  <c r="AY26" i="1"/>
  <c r="AY27" i="1" s="1"/>
  <c r="BH134" i="1"/>
  <c r="AT26" i="1"/>
  <c r="AT27" i="1" s="1"/>
  <c r="AW26" i="1"/>
  <c r="AW27" i="1" s="1"/>
  <c r="G128" i="1"/>
  <c r="AO252" i="1"/>
  <c r="V161" i="1"/>
  <c r="W209" i="1" s="1"/>
  <c r="M128" i="1"/>
  <c r="BN26" i="1"/>
  <c r="BM26" i="1"/>
  <c r="BM27" i="1" s="1"/>
  <c r="BH179" i="1"/>
  <c r="BI179" i="1" s="1"/>
  <c r="AZ10" i="1"/>
  <c r="AZ16" i="1" s="1"/>
  <c r="AZ26" i="1"/>
  <c r="AV26" i="1"/>
  <c r="BH26" i="1"/>
  <c r="BI26" i="1"/>
  <c r="AS26" i="1"/>
  <c r="BD26" i="1"/>
  <c r="BD27" i="1" s="1"/>
  <c r="T206" i="1"/>
  <c r="AY253" i="1"/>
  <c r="BB179" i="1"/>
  <c r="BC179" i="1" s="1"/>
  <c r="B161" i="1"/>
  <c r="C209" i="1" s="1"/>
  <c r="I207" i="1"/>
  <c r="L128" i="1"/>
  <c r="L129" i="1" s="1"/>
  <c r="L55" i="1" s="1"/>
  <c r="BA253" i="1"/>
  <c r="BS26" i="1"/>
  <c r="N128" i="1"/>
  <c r="BO26" i="1"/>
  <c r="H161" i="1"/>
  <c r="BU26" i="1"/>
  <c r="BU27" i="1" s="1"/>
  <c r="O134" i="1"/>
  <c r="H128" i="1"/>
  <c r="H156" i="1"/>
  <c r="P148" i="1"/>
  <c r="P196" i="1" s="1"/>
  <c r="L156" i="1"/>
  <c r="L185" i="1" s="1"/>
  <c r="L184" i="1" s="1"/>
  <c r="BT194" i="1"/>
  <c r="BS252" i="1"/>
  <c r="T134" i="1"/>
  <c r="BS10" i="1"/>
  <c r="M173" i="1"/>
  <c r="BK26" i="1"/>
  <c r="AI26" i="1"/>
  <c r="C202" i="1"/>
  <c r="L148" i="1"/>
  <c r="L182" i="1" s="1"/>
  <c r="AX26" i="1"/>
  <c r="AX27" i="1" s="1"/>
  <c r="BC252" i="1"/>
  <c r="AU10" i="1"/>
  <c r="AU11" i="1" s="1"/>
  <c r="BP26" i="1"/>
  <c r="BG26" i="1"/>
  <c r="AQ26" i="1"/>
  <c r="BE26" i="1"/>
  <c r="BE27" i="1" s="1"/>
  <c r="R148" i="1"/>
  <c r="BA252" i="1"/>
  <c r="BP180" i="1"/>
  <c r="BQ180" i="1" s="1"/>
  <c r="BB98" i="1"/>
  <c r="BB99" i="1" s="1"/>
  <c r="BB104" i="1" s="1"/>
  <c r="AQ98" i="1"/>
  <c r="AQ99" i="1" s="1"/>
  <c r="AU253" i="1"/>
  <c r="I128" i="1"/>
  <c r="BH148" i="1"/>
  <c r="Q156" i="1"/>
  <c r="Q185" i="1" s="1"/>
  <c r="AP183" i="1"/>
  <c r="AQ183" i="1" s="1"/>
  <c r="BA98" i="1"/>
  <c r="BA99" i="1" s="1"/>
  <c r="BA104" i="1" s="1"/>
  <c r="BE253" i="1"/>
  <c r="AS98" i="1"/>
  <c r="AS99" i="1" s="1"/>
  <c r="AS102" i="1" s="1"/>
  <c r="BR194" i="1"/>
  <c r="BT98" i="1"/>
  <c r="BT99" i="1" s="1"/>
  <c r="BU98" i="1"/>
  <c r="BU99" i="1" s="1"/>
  <c r="BU104" i="1" s="1"/>
  <c r="BP252" i="1"/>
  <c r="AP253" i="1"/>
  <c r="BB180" i="1"/>
  <c r="BC180" i="1" s="1"/>
  <c r="U128" i="1"/>
  <c r="BC253" i="1"/>
  <c r="AT252" i="1"/>
  <c r="BR98" i="1"/>
  <c r="BR99" i="1" s="1"/>
  <c r="AP180" i="1"/>
  <c r="AQ180" i="1" s="1"/>
  <c r="AT180" i="1"/>
  <c r="AU180" i="1" s="1"/>
  <c r="AT183" i="1"/>
  <c r="AU183" i="1" s="1"/>
  <c r="AZ179" i="1"/>
  <c r="BA179" i="1" s="1"/>
  <c r="AZ180" i="1"/>
  <c r="BA180" i="1" s="1"/>
  <c r="BH98" i="1"/>
  <c r="BH99" i="1" s="1"/>
  <c r="E173" i="1"/>
  <c r="AT231" i="1"/>
  <c r="BD98" i="1"/>
  <c r="BD99" i="1" s="1"/>
  <c r="BG10" i="1"/>
  <c r="V156" i="1"/>
  <c r="AT253" i="1"/>
  <c r="BS98" i="1"/>
  <c r="BS99" i="1" s="1"/>
  <c r="BM37" i="1"/>
  <c r="AP10" i="1"/>
  <c r="AX253" i="1"/>
  <c r="BV98" i="1"/>
  <c r="BV99" i="1" s="1"/>
  <c r="BA10" i="1"/>
  <c r="BP183" i="1"/>
  <c r="BQ183" i="1" s="1"/>
  <c r="V173" i="1"/>
  <c r="BP179" i="1"/>
  <c r="BQ179" i="1" s="1"/>
  <c r="AP179" i="1"/>
  <c r="AQ179" i="1" s="1"/>
  <c r="BI98" i="1"/>
  <c r="BI99" i="1" s="1"/>
  <c r="BK98" i="1"/>
  <c r="BK99" i="1" s="1"/>
  <c r="AW16" i="1"/>
  <c r="I202" i="1"/>
  <c r="BJ27" i="1"/>
  <c r="BH202" i="1"/>
  <c r="N156" i="1"/>
  <c r="N185" i="1" s="1"/>
  <c r="N184" i="1" s="1"/>
  <c r="G156" i="1"/>
  <c r="F156" i="1"/>
  <c r="F185" i="1" s="1"/>
  <c r="E128" i="1"/>
  <c r="BI202" i="1"/>
  <c r="J156" i="1"/>
  <c r="E156" i="1"/>
  <c r="BW117" i="1"/>
  <c r="U156" i="1"/>
  <c r="BH128" i="1"/>
  <c r="AR134" i="1"/>
  <c r="AS134" i="1" s="1"/>
  <c r="BV128" i="1"/>
  <c r="R156" i="1"/>
  <c r="F138" i="1"/>
  <c r="F33" i="1"/>
  <c r="B66" i="1"/>
  <c r="B108" i="1"/>
  <c r="B107" i="1"/>
  <c r="BG98" i="1"/>
  <c r="BG99" i="1" s="1"/>
  <c r="BI128" i="1"/>
  <c r="BJ249" i="1" s="1"/>
  <c r="L175" i="1"/>
  <c r="BF98" i="1"/>
  <c r="BF99" i="1" s="1"/>
  <c r="BV156" i="1"/>
  <c r="BV185" i="1" s="1"/>
  <c r="BV184" i="1" s="1"/>
  <c r="BO253" i="1"/>
  <c r="BK194" i="1"/>
  <c r="BL98" i="1"/>
  <c r="BL99" i="1" s="1"/>
  <c r="BL102" i="1" s="1"/>
  <c r="BO10" i="1"/>
  <c r="BP98" i="1"/>
  <c r="BP99" i="1" s="1"/>
  <c r="BH156" i="1"/>
  <c r="BH185" i="1" s="1"/>
  <c r="BH184" i="1" s="1"/>
  <c r="AV183" i="1"/>
  <c r="AW183" i="1" s="1"/>
  <c r="AV179" i="1"/>
  <c r="AW179" i="1" s="1"/>
  <c r="R173" i="1"/>
  <c r="V148" i="1"/>
  <c r="J148" i="1"/>
  <c r="K196" i="1" s="1"/>
  <c r="F148" i="1"/>
  <c r="N161" i="1"/>
  <c r="BK33" i="1"/>
  <c r="BJ17" i="1"/>
  <c r="BH253" i="1"/>
  <c r="BE252" i="1"/>
  <c r="E202" i="1"/>
  <c r="I161" i="1"/>
  <c r="AV98" i="1"/>
  <c r="AV99" i="1" s="1"/>
  <c r="AV103" i="1" s="1"/>
  <c r="AX98" i="1"/>
  <c r="AX99" i="1" s="1"/>
  <c r="AX103" i="1" s="1"/>
  <c r="BJ98" i="1"/>
  <c r="BJ99" i="1" s="1"/>
  <c r="AU98" i="1"/>
  <c r="AU99" i="1" s="1"/>
  <c r="L54" i="1"/>
  <c r="B148" i="1"/>
  <c r="B157" i="1" s="1"/>
  <c r="M202" i="1"/>
  <c r="D120" i="1"/>
  <c r="O156" i="1"/>
  <c r="P197" i="1" s="1"/>
  <c r="AV253" i="1"/>
  <c r="BH180" i="1"/>
  <c r="BI180" i="1" s="1"/>
  <c r="BQ98" i="1"/>
  <c r="BQ99" i="1" s="1"/>
  <c r="BI10" i="1"/>
  <c r="BM11" i="1" s="1"/>
  <c r="AT98" i="1"/>
  <c r="AT99" i="1" s="1"/>
  <c r="BO252" i="1"/>
  <c r="AT179" i="1"/>
  <c r="AU179" i="1" s="1"/>
  <c r="AX179" i="1"/>
  <c r="AY179" i="1" s="1"/>
  <c r="T148" i="1"/>
  <c r="R202" i="1"/>
  <c r="BS253" i="1"/>
  <c r="BA194" i="1"/>
  <c r="AV252" i="1"/>
  <c r="BH10" i="1"/>
  <c r="O175" i="1"/>
  <c r="D37" i="1"/>
  <c r="T202" i="1"/>
  <c r="C156" i="1"/>
  <c r="AW98" i="1"/>
  <c r="AW99" i="1" s="1"/>
  <c r="AW102" i="1" s="1"/>
  <c r="AS10" i="1"/>
  <c r="AV180" i="1"/>
  <c r="AW180" i="1" s="1"/>
  <c r="F202" i="1"/>
  <c r="BV148" i="1"/>
  <c r="BV182" i="1" s="1"/>
  <c r="AS253" i="1"/>
  <c r="BE98" i="1"/>
  <c r="BE99" i="1" s="1"/>
  <c r="BE104" i="1" s="1"/>
  <c r="AY98" i="1"/>
  <c r="AY99" i="1" s="1"/>
  <c r="J128" i="1"/>
  <c r="C148" i="1"/>
  <c r="C182" i="1" s="1"/>
  <c r="C181" i="1" s="1"/>
  <c r="U161" i="1"/>
  <c r="V209" i="1" s="1"/>
  <c r="AV10" i="1"/>
  <c r="C120" i="1"/>
  <c r="C248" i="1" s="1"/>
  <c r="P202" i="1"/>
  <c r="N120" i="1"/>
  <c r="Q202" i="1"/>
  <c r="U209" i="1"/>
  <c r="T248" i="1"/>
  <c r="C138" i="1"/>
  <c r="C33" i="1"/>
  <c r="T54" i="1"/>
  <c r="S33" i="1"/>
  <c r="S138" i="1"/>
  <c r="H138" i="1"/>
  <c r="H33" i="1"/>
  <c r="B138" i="1"/>
  <c r="C203" i="1" s="1"/>
  <c r="B33" i="1"/>
  <c r="C108" i="1"/>
  <c r="C107" i="1"/>
  <c r="C66" i="1"/>
  <c r="N138" i="1"/>
  <c r="N33" i="1"/>
  <c r="N209" i="1"/>
  <c r="J138" i="1"/>
  <c r="J33" i="1"/>
  <c r="U138" i="1"/>
  <c r="E209" i="1"/>
  <c r="G209" i="1"/>
  <c r="F248" i="1"/>
  <c r="F175" i="1"/>
  <c r="F54" i="1"/>
  <c r="F207" i="1"/>
  <c r="T168" i="1"/>
  <c r="T109" i="1" s="1"/>
  <c r="O129" i="1"/>
  <c r="O55" i="1" s="1"/>
  <c r="K209" i="1"/>
  <c r="J248" i="1"/>
  <c r="G175" i="1"/>
  <c r="G207" i="1"/>
  <c r="H207" i="1"/>
  <c r="G54" i="1"/>
  <c r="J129" i="1"/>
  <c r="J55" i="1" s="1"/>
  <c r="U207" i="1"/>
  <c r="U54" i="1"/>
  <c r="Q248" i="1"/>
  <c r="E182" i="1"/>
  <c r="E181" i="1" s="1"/>
  <c r="Q168" i="1"/>
  <c r="Q109" i="1" s="1"/>
  <c r="K207" i="1"/>
  <c r="G138" i="1"/>
  <c r="G33" i="1"/>
  <c r="G249" i="1"/>
  <c r="G251" i="1" s="1"/>
  <c r="BD161" i="1"/>
  <c r="BE209" i="1" s="1"/>
  <c r="E33" i="1"/>
  <c r="E138" i="1"/>
  <c r="J175" i="1"/>
  <c r="J54" i="1"/>
  <c r="J207" i="1"/>
  <c r="D33" i="1"/>
  <c r="D138" i="1"/>
  <c r="L209" i="1"/>
  <c r="K248" i="1"/>
  <c r="B175" i="1"/>
  <c r="B54" i="1"/>
  <c r="T37" i="1"/>
  <c r="T129" i="1"/>
  <c r="T55" i="1" s="1"/>
  <c r="T249" i="1"/>
  <c r="T251" i="1" s="1"/>
  <c r="O37" i="1"/>
  <c r="O168" i="1"/>
  <c r="O109" i="1" s="1"/>
  <c r="B37" i="1"/>
  <c r="C206" i="1"/>
  <c r="B129" i="1"/>
  <c r="B55" i="1" s="1"/>
  <c r="K129" i="1"/>
  <c r="K55" i="1" s="1"/>
  <c r="K37" i="1"/>
  <c r="K168" i="1"/>
  <c r="K109" i="1" s="1"/>
  <c r="K54" i="1"/>
  <c r="L207" i="1"/>
  <c r="K175" i="1"/>
  <c r="C168" i="1"/>
  <c r="C109" i="1" s="1"/>
  <c r="D209" i="1"/>
  <c r="W249" i="1"/>
  <c r="W251" i="1" s="1"/>
  <c r="W206" i="1"/>
  <c r="W37" i="1"/>
  <c r="X249" i="1"/>
  <c r="X251" i="1" s="1"/>
  <c r="X206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D66" i="1"/>
  <c r="D108" i="1"/>
  <c r="Q54" i="1"/>
  <c r="Q175" i="1"/>
  <c r="K33" i="1"/>
  <c r="K138" i="1"/>
  <c r="D185" i="1"/>
  <c r="W138" i="1"/>
  <c r="W33" i="1"/>
  <c r="AN161" i="1"/>
  <c r="AO209" i="1" s="1"/>
  <c r="Q33" i="1"/>
  <c r="Q138" i="1"/>
  <c r="AV161" i="1"/>
  <c r="AW209" i="1" s="1"/>
  <c r="BN161" i="1"/>
  <c r="BO209" i="1" s="1"/>
  <c r="BR134" i="1"/>
  <c r="AX161" i="1"/>
  <c r="AY209" i="1" s="1"/>
  <c r="BS128" i="1"/>
  <c r="H209" i="1"/>
  <c r="G248" i="1"/>
  <c r="V54" i="1"/>
  <c r="V175" i="1"/>
  <c r="Q129" i="1"/>
  <c r="Q55" i="1" s="1"/>
  <c r="Q37" i="1"/>
  <c r="N182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BF184" i="1" s="1"/>
  <c r="AV156" i="1"/>
  <c r="AV185" i="1" s="1"/>
  <c r="BF120" i="1"/>
  <c r="BQ128" i="1"/>
  <c r="BR128" i="1"/>
  <c r="BD128" i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BV92" i="1"/>
  <c r="BM16" i="1"/>
  <c r="BM12" i="1"/>
  <c r="BJ11" i="1"/>
  <c r="BF16" i="1"/>
  <c r="BD16" i="1"/>
  <c r="AT17" i="1"/>
  <c r="BR16" i="1"/>
  <c r="BG202" i="1"/>
  <c r="BN11" i="1"/>
  <c r="BN16" i="1"/>
  <c r="BN12" i="1"/>
  <c r="BR11" i="1"/>
  <c r="AN102" i="1"/>
  <c r="AN103" i="1"/>
  <c r="AN104" i="1"/>
  <c r="BX11" i="1"/>
  <c r="BT16" i="1"/>
  <c r="AX12" i="1"/>
  <c r="AX16" i="1"/>
  <c r="AQ16" i="1"/>
  <c r="AQ11" i="1"/>
  <c r="AX11" i="1"/>
  <c r="AO11" i="1"/>
  <c r="AO188" i="1"/>
  <c r="AO16" i="1"/>
  <c r="CB188" i="1"/>
  <c r="X58" i="1"/>
  <c r="BW16" i="1"/>
  <c r="BZ244" i="1"/>
  <c r="CA11" i="1"/>
  <c r="BZ225" i="1"/>
  <c r="BX12" i="1"/>
  <c r="AN11" i="1"/>
  <c r="AO225" i="1"/>
  <c r="AN16" i="1"/>
  <c r="AN12" i="1"/>
  <c r="AN225" i="1"/>
  <c r="AO12" i="1"/>
  <c r="BV138" i="1"/>
  <c r="BW33" i="1"/>
  <c r="BW134" i="1"/>
  <c r="AO102" i="1"/>
  <c r="AO104" i="1"/>
  <c r="AO103" i="1"/>
  <c r="BW27" i="1"/>
  <c r="CQ138" i="1"/>
  <c r="CR32" i="1"/>
  <c r="AB125" i="1"/>
  <c r="AB128" i="1" s="1"/>
  <c r="AB249" i="1" s="1"/>
  <c r="AD142" i="1"/>
  <c r="CZ65" i="1"/>
  <c r="DA63" i="1"/>
  <c r="AZ27" i="1" l="1"/>
  <c r="B248" i="1"/>
  <c r="BZ102" i="1"/>
  <c r="BZ104" i="1"/>
  <c r="BF11" i="1"/>
  <c r="BJ29" i="1"/>
  <c r="BJ34" i="1"/>
  <c r="BJ38" i="1" s="1"/>
  <c r="BJ232" i="1"/>
  <c r="BJ233" i="1" s="1"/>
  <c r="BR184" i="1"/>
  <c r="O249" i="1"/>
  <c r="O251" i="1" s="1"/>
  <c r="BA27" i="1"/>
  <c r="AI186" i="1"/>
  <c r="BK27" i="1"/>
  <c r="AI27" i="1"/>
  <c r="BP27" i="1"/>
  <c r="BH27" i="1"/>
  <c r="K182" i="1"/>
  <c r="K181" i="1" s="1"/>
  <c r="K157" i="1"/>
  <c r="I37" i="1"/>
  <c r="I206" i="1"/>
  <c r="M206" i="1"/>
  <c r="S209" i="1"/>
  <c r="R248" i="1"/>
  <c r="V207" i="1"/>
  <c r="V248" i="1"/>
  <c r="N196" i="1"/>
  <c r="O196" i="1"/>
  <c r="N157" i="1"/>
  <c r="E185" i="1"/>
  <c r="V185" i="1"/>
  <c r="AZ156" i="1"/>
  <c r="AZ185" i="1" s="1"/>
  <c r="BC102" i="1"/>
  <c r="BC104" i="1"/>
  <c r="BC103" i="1"/>
  <c r="O58" i="1"/>
  <c r="BH94" i="1"/>
  <c r="BH95" i="1"/>
  <c r="BK12" i="1"/>
  <c r="BL12" i="1"/>
  <c r="BK16" i="1"/>
  <c r="AP225" i="1"/>
  <c r="AP16" i="1"/>
  <c r="AP11" i="1"/>
  <c r="AP27" i="1"/>
  <c r="AQ188" i="1"/>
  <c r="BM225" i="1"/>
  <c r="BA11" i="1"/>
  <c r="BA12" i="1"/>
  <c r="BC27" i="1"/>
  <c r="BD11" i="1"/>
  <c r="BE12" i="1"/>
  <c r="BG225" i="1"/>
  <c r="BR27" i="1"/>
  <c r="AT28" i="1"/>
  <c r="BW183" i="1"/>
  <c r="BE16" i="1"/>
  <c r="BF12" i="1"/>
  <c r="BF225" i="1"/>
  <c r="AR27" i="1"/>
  <c r="AZ104" i="1"/>
  <c r="S58" i="1"/>
  <c r="AZ103" i="1"/>
  <c r="AN27" i="1"/>
  <c r="BT27" i="1"/>
  <c r="BB16" i="1"/>
  <c r="BZ103" i="1"/>
  <c r="U58" i="1"/>
  <c r="BO12" i="1"/>
  <c r="BB27" i="1"/>
  <c r="BB11" i="1"/>
  <c r="AR12" i="1"/>
  <c r="AR188" i="1"/>
  <c r="BC12" i="1"/>
  <c r="BP225" i="1"/>
  <c r="BO225" i="1"/>
  <c r="BI209" i="1"/>
  <c r="BH248" i="1"/>
  <c r="AO27" i="1"/>
  <c r="AR11" i="1"/>
  <c r="AV12" i="1"/>
  <c r="BN27" i="1"/>
  <c r="BC188" i="1"/>
  <c r="BB225" i="1"/>
  <c r="BN225" i="1"/>
  <c r="BJ244" i="1"/>
  <c r="BG16" i="1"/>
  <c r="BD12" i="1"/>
  <c r="BG11" i="1"/>
  <c r="AN188" i="1"/>
  <c r="AQ27" i="1"/>
  <c r="F184" i="1"/>
  <c r="AI184" i="1"/>
  <c r="AI181" i="1"/>
  <c r="AR28" i="1"/>
  <c r="T205" i="1"/>
  <c r="BS27" i="1"/>
  <c r="H197" i="1"/>
  <c r="K197" i="1"/>
  <c r="U197" i="1"/>
  <c r="S197" i="1"/>
  <c r="BV181" i="1"/>
  <c r="O207" i="1"/>
  <c r="H244" i="1"/>
  <c r="C201" i="1"/>
  <c r="AX184" i="1"/>
  <c r="BD184" i="1"/>
  <c r="BF28" i="1"/>
  <c r="B185" i="1"/>
  <c r="B184" i="1" s="1"/>
  <c r="C197" i="1"/>
  <c r="R33" i="1"/>
  <c r="R138" i="1"/>
  <c r="R203" i="1" s="1"/>
  <c r="R201" i="1" s="1"/>
  <c r="I185" i="1"/>
  <c r="J197" i="1"/>
  <c r="V206" i="1"/>
  <c r="V129" i="1"/>
  <c r="V55" i="1" s="1"/>
  <c r="V37" i="1"/>
  <c r="T209" i="1"/>
  <c r="S248" i="1"/>
  <c r="E175" i="1"/>
  <c r="E54" i="1"/>
  <c r="F37" i="1"/>
  <c r="F129" i="1"/>
  <c r="F55" i="1" s="1"/>
  <c r="F206" i="1"/>
  <c r="F168" i="1"/>
  <c r="F109" i="1" s="1"/>
  <c r="R37" i="1"/>
  <c r="R206" i="1"/>
  <c r="R249" i="1"/>
  <c r="R251" i="1" s="1"/>
  <c r="R168" i="1"/>
  <c r="R109" i="1" s="1"/>
  <c r="M209" i="1"/>
  <c r="L248" i="1"/>
  <c r="K185" i="1"/>
  <c r="L197" i="1"/>
  <c r="O54" i="1"/>
  <c r="P175" i="1"/>
  <c r="P54" i="1"/>
  <c r="Q207" i="1"/>
  <c r="P248" i="1"/>
  <c r="P207" i="1"/>
  <c r="S249" i="1"/>
  <c r="S251" i="1" s="1"/>
  <c r="S206" i="1"/>
  <c r="S205" i="1" s="1"/>
  <c r="S168" i="1"/>
  <c r="S109" i="1" s="1"/>
  <c r="S37" i="1"/>
  <c r="H54" i="1"/>
  <c r="H175" i="1"/>
  <c r="I54" i="1"/>
  <c r="I175" i="1"/>
  <c r="L33" i="1"/>
  <c r="L138" i="1"/>
  <c r="L203" i="1" s="1"/>
  <c r="L201" i="1" s="1"/>
  <c r="V33" i="1"/>
  <c r="V138" i="1"/>
  <c r="P33" i="1"/>
  <c r="P138" i="1"/>
  <c r="P168" i="1"/>
  <c r="P109" i="1" s="1"/>
  <c r="P206" i="1"/>
  <c r="P129" i="1"/>
  <c r="P55" i="1" s="1"/>
  <c r="P37" i="1"/>
  <c r="Q249" i="1"/>
  <c r="Q251" i="1" s="1"/>
  <c r="P249" i="1"/>
  <c r="P251" i="1" s="1"/>
  <c r="Q206" i="1"/>
  <c r="D168" i="1"/>
  <c r="D109" i="1" s="1"/>
  <c r="D110" i="1" s="1"/>
  <c r="D113" i="1" s="1"/>
  <c r="D249" i="1"/>
  <c r="D251" i="1" s="1"/>
  <c r="C249" i="1"/>
  <c r="C251" i="1" s="1"/>
  <c r="C37" i="1"/>
  <c r="R54" i="1"/>
  <c r="R129" i="1"/>
  <c r="R55" i="1" s="1"/>
  <c r="R207" i="1"/>
  <c r="R175" i="1"/>
  <c r="M182" i="1"/>
  <c r="M181" i="1" s="1"/>
  <c r="M157" i="1"/>
  <c r="M54" i="1"/>
  <c r="M248" i="1"/>
  <c r="M207" i="1"/>
  <c r="M175" i="1"/>
  <c r="P209" i="1"/>
  <c r="O248" i="1"/>
  <c r="BY188" i="1"/>
  <c r="BU16" i="1"/>
  <c r="BY11" i="1"/>
  <c r="BU12" i="1"/>
  <c r="BQ188" i="1"/>
  <c r="BQ27" i="1"/>
  <c r="BQ11" i="1"/>
  <c r="BQ16" i="1"/>
  <c r="BT225" i="1"/>
  <c r="BR12" i="1"/>
  <c r="BR188" i="1"/>
  <c r="BU11" i="1"/>
  <c r="BC11" i="1"/>
  <c r="AY16" i="1"/>
  <c r="AY188" i="1"/>
  <c r="AY12" i="1"/>
  <c r="G182" i="1"/>
  <c r="G181" i="1" s="1"/>
  <c r="H196" i="1"/>
  <c r="I182" i="1"/>
  <c r="I181" i="1" s="1"/>
  <c r="I157" i="1"/>
  <c r="S185" i="1"/>
  <c r="S184" i="1" s="1"/>
  <c r="T197" i="1"/>
  <c r="G206" i="1"/>
  <c r="G37" i="1"/>
  <c r="G168" i="1"/>
  <c r="G109" i="1" s="1"/>
  <c r="G129" i="1"/>
  <c r="G55" i="1" s="1"/>
  <c r="M37" i="1"/>
  <c r="M129" i="1"/>
  <c r="M55" i="1" s="1"/>
  <c r="M168" i="1"/>
  <c r="M109" i="1" s="1"/>
  <c r="O206" i="1"/>
  <c r="N37" i="1"/>
  <c r="N129" i="1"/>
  <c r="N55" i="1" s="1"/>
  <c r="N249" i="1"/>
  <c r="N251" i="1" s="1"/>
  <c r="N206" i="1"/>
  <c r="H248" i="1"/>
  <c r="I209" i="1"/>
  <c r="O138" i="1"/>
  <c r="O33" i="1"/>
  <c r="H185" i="1"/>
  <c r="H184" i="1" s="1"/>
  <c r="H157" i="1"/>
  <c r="I197" i="1"/>
  <c r="T138" i="1"/>
  <c r="T33" i="1"/>
  <c r="R157" i="1"/>
  <c r="S196" i="1"/>
  <c r="R182" i="1"/>
  <c r="I129" i="1"/>
  <c r="I55" i="1" s="1"/>
  <c r="I249" i="1"/>
  <c r="I251" i="1" s="1"/>
  <c r="BH182" i="1"/>
  <c r="BH157" i="1"/>
  <c r="V249" i="1"/>
  <c r="V251" i="1" s="1"/>
  <c r="U249" i="1"/>
  <c r="U251" i="1" s="1"/>
  <c r="U37" i="1"/>
  <c r="U206" i="1"/>
  <c r="U205" i="1" s="1"/>
  <c r="U129" i="1"/>
  <c r="U55" i="1" s="1"/>
  <c r="E168" i="1"/>
  <c r="E109" i="1" s="1"/>
  <c r="E37" i="1"/>
  <c r="V182" i="1"/>
  <c r="V181" i="1" s="1"/>
  <c r="V157" i="1"/>
  <c r="J209" i="1"/>
  <c r="I248" i="1"/>
  <c r="AU104" i="1"/>
  <c r="AU103" i="1"/>
  <c r="E207" i="1"/>
  <c r="D248" i="1"/>
  <c r="D197" i="1"/>
  <c r="C185" i="1"/>
  <c r="AT225" i="1"/>
  <c r="AS12" i="1"/>
  <c r="AT12" i="1"/>
  <c r="P58" i="1"/>
  <c r="BV12" i="1"/>
  <c r="BW209" i="1"/>
  <c r="BV248" i="1"/>
  <c r="AM52" i="1"/>
  <c r="AM119" i="1"/>
  <c r="AM120" i="1" s="1"/>
  <c r="AM193" i="1"/>
  <c r="AM195" i="1" s="1"/>
  <c r="AM66" i="1"/>
  <c r="AM69" i="1" s="1"/>
  <c r="BX206" i="1"/>
  <c r="BX249" i="1"/>
  <c r="AP103" i="1"/>
  <c r="AP104" i="1"/>
  <c r="AP102" i="1"/>
  <c r="AL104" i="1"/>
  <c r="AL102" i="1"/>
  <c r="AL103" i="1"/>
  <c r="BW188" i="1"/>
  <c r="BY225" i="1"/>
  <c r="BW12" i="1"/>
  <c r="CA188" i="1"/>
  <c r="BX244" i="1"/>
  <c r="BX225" i="1"/>
  <c r="BW225" i="1"/>
  <c r="BV225" i="1"/>
  <c r="W58" i="1"/>
  <c r="BV27" i="1"/>
  <c r="BZ188" i="1"/>
  <c r="BZ11" i="1"/>
  <c r="BY102" i="1"/>
  <c r="BY103" i="1"/>
  <c r="BY104" i="1"/>
  <c r="BN103" i="1"/>
  <c r="BN104" i="1"/>
  <c r="BN102" i="1"/>
  <c r="BM104" i="1"/>
  <c r="BM102" i="1"/>
  <c r="BM103" i="1"/>
  <c r="AR104" i="1"/>
  <c r="AR102" i="1"/>
  <c r="AR103" i="1"/>
  <c r="BO102" i="1"/>
  <c r="BO104" i="1"/>
  <c r="BO103" i="1"/>
  <c r="BH138" i="1"/>
  <c r="BI134" i="1"/>
  <c r="BI33" i="1"/>
  <c r="AQ104" i="1"/>
  <c r="AQ102" i="1"/>
  <c r="BR102" i="1"/>
  <c r="BR103" i="1"/>
  <c r="BR104" i="1"/>
  <c r="BH103" i="1"/>
  <c r="BH104" i="1"/>
  <c r="BH102" i="1"/>
  <c r="BS104" i="1"/>
  <c r="BS103" i="1"/>
  <c r="BS102" i="1"/>
  <c r="BI103" i="1"/>
  <c r="BI104" i="1"/>
  <c r="BI102" i="1"/>
  <c r="BP102" i="1"/>
  <c r="BP104" i="1"/>
  <c r="BP103" i="1"/>
  <c r="BJ102" i="1"/>
  <c r="BJ104" i="1"/>
  <c r="BJ103" i="1"/>
  <c r="D206" i="1"/>
  <c r="K206" i="1"/>
  <c r="BD188" i="1"/>
  <c r="AZ28" i="1"/>
  <c r="BT188" i="1"/>
  <c r="AV225" i="1"/>
  <c r="AT184" i="1"/>
  <c r="BP181" i="1"/>
  <c r="BH206" i="1"/>
  <c r="BV18" i="1"/>
  <c r="AI16" i="1"/>
  <c r="AL225" i="1"/>
  <c r="N58" i="1"/>
  <c r="AM11" i="1"/>
  <c r="AJ12" i="1"/>
  <c r="AL244" i="1"/>
  <c r="BX102" i="1"/>
  <c r="BX103" i="1"/>
  <c r="BX104" i="1"/>
  <c r="BW104" i="1"/>
  <c r="BW102" i="1"/>
  <c r="BV11" i="1"/>
  <c r="BV188" i="1"/>
  <c r="I33" i="1"/>
  <c r="I138" i="1"/>
  <c r="BQ12" i="1"/>
  <c r="BP16" i="1"/>
  <c r="BS225" i="1"/>
  <c r="BP188" i="1"/>
  <c r="S182" i="1"/>
  <c r="T196" i="1"/>
  <c r="T198" i="1" s="1"/>
  <c r="T199" i="1" s="1"/>
  <c r="H249" i="1"/>
  <c r="H251" i="1" s="1"/>
  <c r="H37" i="1"/>
  <c r="H206" i="1"/>
  <c r="H205" i="1" s="1"/>
  <c r="H129" i="1"/>
  <c r="H55" i="1" s="1"/>
  <c r="H168" i="1"/>
  <c r="H109" i="1" s="1"/>
  <c r="BU225" i="1"/>
  <c r="BS12" i="1"/>
  <c r="BW11" i="1"/>
  <c r="BT12" i="1"/>
  <c r="BX188" i="1"/>
  <c r="BS16" i="1"/>
  <c r="AY11" i="1"/>
  <c r="AW225" i="1"/>
  <c r="AU16" i="1"/>
  <c r="AU12" i="1"/>
  <c r="AX225" i="1"/>
  <c r="AU27" i="1"/>
  <c r="BT102" i="1"/>
  <c r="BT103" i="1"/>
  <c r="BT104" i="1"/>
  <c r="BD104" i="1"/>
  <c r="BD102" i="1"/>
  <c r="BD103" i="1"/>
  <c r="BK11" i="1"/>
  <c r="BG12" i="1"/>
  <c r="BK188" i="1"/>
  <c r="AQ12" i="1"/>
  <c r="AU188" i="1"/>
  <c r="AT11" i="1"/>
  <c r="AR225" i="1"/>
  <c r="AP12" i="1"/>
  <c r="AQ225" i="1"/>
  <c r="AP188" i="1"/>
  <c r="BV103" i="1"/>
  <c r="BV102" i="1"/>
  <c r="BV104" i="1"/>
  <c r="BV17" i="1"/>
  <c r="BZ18" i="1"/>
  <c r="BE188" i="1"/>
  <c r="BF188" i="1"/>
  <c r="BA225" i="1"/>
  <c r="BE11" i="1"/>
  <c r="BA16" i="1"/>
  <c r="BC225" i="1"/>
  <c r="BK104" i="1"/>
  <c r="BK103" i="1"/>
  <c r="BK102" i="1"/>
  <c r="AW28" i="1"/>
  <c r="AW17" i="1"/>
  <c r="E206" i="1"/>
  <c r="E205" i="1" s="1"/>
  <c r="F249" i="1"/>
  <c r="F251" i="1" s="1"/>
  <c r="E129" i="1"/>
  <c r="E55" i="1" s="1"/>
  <c r="BH129" i="1"/>
  <c r="BH168" i="1"/>
  <c r="AS33" i="1"/>
  <c r="AR138" i="1"/>
  <c r="BW206" i="1"/>
  <c r="BV129" i="1"/>
  <c r="BW249" i="1"/>
  <c r="B68" i="1"/>
  <c r="B69" i="1"/>
  <c r="BG102" i="1"/>
  <c r="BG103" i="1"/>
  <c r="BG104" i="1"/>
  <c r="BF103" i="1"/>
  <c r="BF102" i="1"/>
  <c r="BF104" i="1"/>
  <c r="BO16" i="1"/>
  <c r="V58" i="1"/>
  <c r="BR225" i="1"/>
  <c r="BQ102" i="1"/>
  <c r="BQ103" i="1"/>
  <c r="BQ104" i="1"/>
  <c r="BI16" i="1"/>
  <c r="BI11" i="1"/>
  <c r="BJ188" i="1"/>
  <c r="BL225" i="1"/>
  <c r="BL244" i="1"/>
  <c r="BJ12" i="1"/>
  <c r="BI27" i="1"/>
  <c r="BN188" i="1"/>
  <c r="AT102" i="1"/>
  <c r="AT104" i="1"/>
  <c r="AT103" i="1"/>
  <c r="BH16" i="1"/>
  <c r="BK225" i="1"/>
  <c r="AY102" i="1"/>
  <c r="AY103" i="1"/>
  <c r="AY104" i="1"/>
  <c r="J249" i="1"/>
  <c r="J251" i="1" s="1"/>
  <c r="K249" i="1"/>
  <c r="K251" i="1" s="1"/>
  <c r="J206" i="1"/>
  <c r="J205" i="1" s="1"/>
  <c r="AY225" i="1"/>
  <c r="Q58" i="1"/>
  <c r="AV188" i="1"/>
  <c r="AZ188" i="1"/>
  <c r="AV27" i="1"/>
  <c r="AP181" i="1"/>
  <c r="AV184" i="1"/>
  <c r="BB184" i="1"/>
  <c r="BH12" i="1"/>
  <c r="AZ17" i="1"/>
  <c r="BC16" i="1"/>
  <c r="AT188" i="1"/>
  <c r="M197" i="1"/>
  <c r="C196" i="1"/>
  <c r="BD225" i="1"/>
  <c r="P157" i="1"/>
  <c r="Q196" i="1"/>
  <c r="F246" i="1"/>
  <c r="C129" i="1"/>
  <c r="C55" i="1" s="1"/>
  <c r="BG27" i="1"/>
  <c r="M249" i="1"/>
  <c r="M251" i="1" s="1"/>
  <c r="AZ184" i="1"/>
  <c r="L206" i="1"/>
  <c r="T157" i="1"/>
  <c r="Q197" i="1"/>
  <c r="M196" i="1"/>
  <c r="L157" i="1"/>
  <c r="F197" i="1"/>
  <c r="BU102" i="1"/>
  <c r="AZ11" i="1"/>
  <c r="BA188" i="1"/>
  <c r="AX104" i="1"/>
  <c r="BB188" i="1"/>
  <c r="BV168" i="1"/>
  <c r="BA103" i="1"/>
  <c r="AS103" i="1"/>
  <c r="AW12" i="1"/>
  <c r="BB102" i="1"/>
  <c r="BE225" i="1"/>
  <c r="BB12" i="1"/>
  <c r="BP11" i="1"/>
  <c r="BI206" i="1"/>
  <c r="BS11" i="1"/>
  <c r="BL188" i="1"/>
  <c r="AS225" i="1"/>
  <c r="AW11" i="1"/>
  <c r="BU103" i="1"/>
  <c r="AZ12" i="1"/>
  <c r="L249" i="1"/>
  <c r="L251" i="1" s="1"/>
  <c r="T182" i="1"/>
  <c r="Q157" i="1"/>
  <c r="Q165" i="1" s="1"/>
  <c r="Q166" i="1" s="1"/>
  <c r="L196" i="1"/>
  <c r="E197" i="1"/>
  <c r="E198" i="1" s="1"/>
  <c r="E199" i="1" s="1"/>
  <c r="D157" i="1"/>
  <c r="D165" i="1" s="1"/>
  <c r="F196" i="1"/>
  <c r="S157" i="1"/>
  <c r="H246" i="1"/>
  <c r="AS11" i="1"/>
  <c r="P182" i="1"/>
  <c r="P181" i="1" s="1"/>
  <c r="BG188" i="1"/>
  <c r="AV11" i="1"/>
  <c r="BA102" i="1"/>
  <c r="AS104" i="1"/>
  <c r="AV16" i="1"/>
  <c r="BB103" i="1"/>
  <c r="AX188" i="1"/>
  <c r="AQ103" i="1"/>
  <c r="AS27" i="1"/>
  <c r="T58" i="1"/>
  <c r="AU225" i="1"/>
  <c r="AS16" i="1"/>
  <c r="BR249" i="1"/>
  <c r="BP184" i="1"/>
  <c r="L37" i="1"/>
  <c r="D182" i="1"/>
  <c r="D181" i="1" s="1"/>
  <c r="BJ225" i="1"/>
  <c r="AZ225" i="1"/>
  <c r="BI225" i="1"/>
  <c r="R58" i="1"/>
  <c r="B168" i="1"/>
  <c r="B109" i="1" s="1"/>
  <c r="D129" i="1"/>
  <c r="D55" i="1" s="1"/>
  <c r="BT11" i="1"/>
  <c r="BQ225" i="1"/>
  <c r="AS188" i="1"/>
  <c r="BH188" i="1"/>
  <c r="AW188" i="1"/>
  <c r="BU188" i="1"/>
  <c r="O185" i="1"/>
  <c r="O186" i="1" s="1"/>
  <c r="L168" i="1"/>
  <c r="L109" i="1" s="1"/>
  <c r="V168" i="1"/>
  <c r="V109" i="1" s="1"/>
  <c r="AX102" i="1"/>
  <c r="BV186" i="1"/>
  <c r="BZ189" i="1" s="1"/>
  <c r="AR181" i="1"/>
  <c r="N197" i="1"/>
  <c r="O197" i="1"/>
  <c r="AW103" i="1"/>
  <c r="G157" i="1"/>
  <c r="G165" i="1" s="1"/>
  <c r="R197" i="1"/>
  <c r="R198" i="1" s="1"/>
  <c r="R199" i="1" s="1"/>
  <c r="G185" i="1"/>
  <c r="AW104" i="1"/>
  <c r="AV104" i="1"/>
  <c r="E157" i="1"/>
  <c r="G197" i="1"/>
  <c r="AV102" i="1"/>
  <c r="R185" i="1"/>
  <c r="R184" i="1" s="1"/>
  <c r="J168" i="1"/>
  <c r="J109" i="1" s="1"/>
  <c r="V197" i="1"/>
  <c r="U157" i="1"/>
  <c r="U165" i="1" s="1"/>
  <c r="J185" i="1"/>
  <c r="J184" i="1" s="1"/>
  <c r="J37" i="1"/>
  <c r="AW202" i="1"/>
  <c r="U185" i="1"/>
  <c r="O209" i="1"/>
  <c r="N248" i="1"/>
  <c r="B182" i="1"/>
  <c r="G196" i="1"/>
  <c r="U196" i="1"/>
  <c r="F157" i="1"/>
  <c r="F165" i="1" s="1"/>
  <c r="BL103" i="1"/>
  <c r="U168" i="1"/>
  <c r="U109" i="1" s="1"/>
  <c r="V196" i="1"/>
  <c r="P198" i="1"/>
  <c r="P199" i="1" s="1"/>
  <c r="BO27" i="1"/>
  <c r="F182" i="1"/>
  <c r="F181" i="1" s="1"/>
  <c r="BI12" i="1"/>
  <c r="BL104" i="1"/>
  <c r="BE103" i="1"/>
  <c r="BO11" i="1"/>
  <c r="BH11" i="1"/>
  <c r="F244" i="1"/>
  <c r="O157" i="1"/>
  <c r="BV157" i="1"/>
  <c r="BV165" i="1" s="1"/>
  <c r="BH225" i="1"/>
  <c r="BL11" i="1"/>
  <c r="BM188" i="1"/>
  <c r="BI249" i="1"/>
  <c r="AU102" i="1"/>
  <c r="BU202" i="1"/>
  <c r="D196" i="1"/>
  <c r="C157" i="1"/>
  <c r="C165" i="1" s="1"/>
  <c r="C244" i="1" s="1"/>
  <c r="N54" i="1"/>
  <c r="N175" i="1"/>
  <c r="N207" i="1"/>
  <c r="I168" i="1"/>
  <c r="I109" i="1" s="1"/>
  <c r="BI188" i="1"/>
  <c r="BP12" i="1"/>
  <c r="BS188" i="1"/>
  <c r="BJ206" i="1"/>
  <c r="J182" i="1"/>
  <c r="J181" i="1" s="1"/>
  <c r="C54" i="1"/>
  <c r="C175" i="1"/>
  <c r="BO188" i="1"/>
  <c r="J196" i="1"/>
  <c r="D54" i="1"/>
  <c r="D175" i="1"/>
  <c r="D207" i="1"/>
  <c r="C207" i="1"/>
  <c r="C205" i="1" s="1"/>
  <c r="BE102" i="1"/>
  <c r="N168" i="1"/>
  <c r="N109" i="1" s="1"/>
  <c r="J157" i="1"/>
  <c r="J165" i="1" s="1"/>
  <c r="J166" i="1" s="1"/>
  <c r="U248" i="1"/>
  <c r="D203" i="1"/>
  <c r="D201" i="1" s="1"/>
  <c r="B165" i="1"/>
  <c r="N165" i="1"/>
  <c r="S246" i="1"/>
  <c r="S244" i="1"/>
  <c r="N244" i="1"/>
  <c r="N246" i="1"/>
  <c r="K203" i="1"/>
  <c r="K201" i="1" s="1"/>
  <c r="J246" i="1"/>
  <c r="J244" i="1"/>
  <c r="U246" i="1"/>
  <c r="U244" i="1"/>
  <c r="C68" i="1"/>
  <c r="C69" i="1"/>
  <c r="X203" i="1"/>
  <c r="X201" i="1" s="1"/>
  <c r="E165" i="1"/>
  <c r="G203" i="1"/>
  <c r="G201" i="1" s="1"/>
  <c r="G244" i="1"/>
  <c r="G246" i="1"/>
  <c r="H203" i="1"/>
  <c r="H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44" i="1"/>
  <c r="M246" i="1"/>
  <c r="K165" i="1"/>
  <c r="K166" i="1" s="1"/>
  <c r="E203" i="1"/>
  <c r="E201" i="1" s="1"/>
  <c r="L181" i="1"/>
  <c r="L186" i="1"/>
  <c r="H181" i="1"/>
  <c r="D184" i="1"/>
  <c r="D69" i="1"/>
  <c r="D68" i="1"/>
  <c r="AR202" i="1"/>
  <c r="AQ202" i="1"/>
  <c r="BB168" i="1"/>
  <c r="AV168" i="1"/>
  <c r="K244" i="1"/>
  <c r="K246" i="1"/>
  <c r="BS33" i="1"/>
  <c r="BS134" i="1"/>
  <c r="BR138" i="1"/>
  <c r="AQ249" i="1"/>
  <c r="AN92" i="1"/>
  <c r="AN95" i="1" s="1"/>
  <c r="AN248" i="1"/>
  <c r="AV249" i="1"/>
  <c r="Q246" i="1"/>
  <c r="Q244" i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E184" i="1"/>
  <c r="E186" i="1"/>
  <c r="V184" i="1"/>
  <c r="BN168" i="1"/>
  <c r="BN129" i="1"/>
  <c r="BC206" i="1"/>
  <c r="BC249" i="1"/>
  <c r="T186" i="1"/>
  <c r="T181" i="1"/>
  <c r="N186" i="1"/>
  <c r="N181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V94" i="1"/>
  <c r="AP19" i="1"/>
  <c r="BL19" i="1"/>
  <c r="BK17" i="1"/>
  <c r="BK28" i="1"/>
  <c r="BK19" i="1"/>
  <c r="AT18" i="1"/>
  <c r="AP28" i="1"/>
  <c r="AP18" i="1"/>
  <c r="AP17" i="1"/>
  <c r="AS138" i="1"/>
  <c r="AT33" i="1"/>
  <c r="AR17" i="1"/>
  <c r="BN184" i="1"/>
  <c r="BM17" i="1"/>
  <c r="BM28" i="1"/>
  <c r="BM19" i="1"/>
  <c r="BF17" i="1"/>
  <c r="BJ18" i="1"/>
  <c r="BE19" i="1"/>
  <c r="BD17" i="1"/>
  <c r="BD28" i="1"/>
  <c r="BD18" i="1"/>
  <c r="BE28" i="1"/>
  <c r="BE17" i="1"/>
  <c r="BF19" i="1"/>
  <c r="AT34" i="1"/>
  <c r="AT38" i="1" s="1"/>
  <c r="AT29" i="1"/>
  <c r="AT232" i="1"/>
  <c r="AT233" i="1" s="1"/>
  <c r="BR28" i="1"/>
  <c r="BR17" i="1"/>
  <c r="AQ19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BG19" i="1"/>
  <c r="BG17" i="1"/>
  <c r="BK18" i="1"/>
  <c r="BG28" i="1"/>
  <c r="AN28" i="1"/>
  <c r="AO19" i="1"/>
  <c r="AN18" i="1"/>
  <c r="AR18" i="1"/>
  <c r="AN19" i="1"/>
  <c r="AN17" i="1"/>
  <c r="BW19" i="1"/>
  <c r="BW17" i="1"/>
  <c r="X59" i="1"/>
  <c r="CA18" i="1"/>
  <c r="BX19" i="1"/>
  <c r="BW28" i="1"/>
  <c r="BT28" i="1"/>
  <c r="BX18" i="1"/>
  <c r="BT17" i="1"/>
  <c r="BV34" i="1"/>
  <c r="BV38" i="1" s="1"/>
  <c r="BZ30" i="1"/>
  <c r="BV29" i="1"/>
  <c r="BV232" i="1"/>
  <c r="BV233" i="1" s="1"/>
  <c r="BW138" i="1"/>
  <c r="BX33" i="1"/>
  <c r="BV244" i="1"/>
  <c r="BV246" i="1"/>
  <c r="BR96" i="1"/>
  <c r="BR94" i="1"/>
  <c r="BR95" i="1"/>
  <c r="AO18" i="1"/>
  <c r="AO28" i="1"/>
  <c r="AO17" i="1"/>
  <c r="O59" i="1"/>
  <c r="AQ28" i="1"/>
  <c r="AQ18" i="1"/>
  <c r="AQ17" i="1"/>
  <c r="AR19" i="1"/>
  <c r="BB17" i="1"/>
  <c r="BB28" i="1"/>
  <c r="BF18" i="1"/>
  <c r="BJ41" i="1"/>
  <c r="BJ40" i="1"/>
  <c r="CR194" i="1"/>
  <c r="CR132" i="1"/>
  <c r="CQ203" i="1"/>
  <c r="CQ201" i="1" s="1"/>
  <c r="AB206" i="1"/>
  <c r="DB63" i="1"/>
  <c r="DB65" i="1" s="1"/>
  <c r="DA65" i="1"/>
  <c r="BH186" i="1" l="1"/>
  <c r="BL189" i="1" s="1"/>
  <c r="G186" i="1"/>
  <c r="O165" i="1"/>
  <c r="O166" i="1" s="1"/>
  <c r="H165" i="1"/>
  <c r="H166" i="1" s="1"/>
  <c r="D198" i="1"/>
  <c r="D199" i="1" s="1"/>
  <c r="N205" i="1"/>
  <c r="BA28" i="1"/>
  <c r="K205" i="1"/>
  <c r="G205" i="1"/>
  <c r="I165" i="1"/>
  <c r="I203" i="1"/>
  <c r="I201" i="1" s="1"/>
  <c r="I244" i="1"/>
  <c r="I246" i="1"/>
  <c r="J203" i="1"/>
  <c r="J201" i="1" s="1"/>
  <c r="H186" i="1"/>
  <c r="I198" i="1"/>
  <c r="I199" i="1" s="1"/>
  <c r="V186" i="1"/>
  <c r="BH181" i="1"/>
  <c r="M205" i="1"/>
  <c r="C184" i="1"/>
  <c r="C186" i="1"/>
  <c r="S198" i="1"/>
  <c r="S199" i="1" s="1"/>
  <c r="BH165" i="1"/>
  <c r="BH166" i="1" s="1"/>
  <c r="V165" i="1"/>
  <c r="V166" i="1" s="1"/>
  <c r="BJ30" i="1"/>
  <c r="R165" i="1"/>
  <c r="R166" i="1" s="1"/>
  <c r="R246" i="1"/>
  <c r="R244" i="1"/>
  <c r="C198" i="1"/>
  <c r="C199" i="1" s="1"/>
  <c r="I186" i="1"/>
  <c r="K184" i="1"/>
  <c r="I184" i="1"/>
  <c r="I205" i="1"/>
  <c r="N198" i="1"/>
  <c r="N199" i="1" s="1"/>
  <c r="O198" i="1"/>
  <c r="O199" i="1" s="1"/>
  <c r="P246" i="1"/>
  <c r="B186" i="1"/>
  <c r="U198" i="1"/>
  <c r="U199" i="1" s="1"/>
  <c r="F166" i="1"/>
  <c r="O205" i="1"/>
  <c r="BE18" i="1"/>
  <c r="S165" i="1"/>
  <c r="S166" i="1" s="1"/>
  <c r="V205" i="1"/>
  <c r="F205" i="1"/>
  <c r="S203" i="1"/>
  <c r="S201" i="1" s="1"/>
  <c r="L244" i="1"/>
  <c r="L246" i="1"/>
  <c r="R205" i="1"/>
  <c r="D111" i="1"/>
  <c r="D114" i="1" s="1"/>
  <c r="K198" i="1"/>
  <c r="K199" i="1" s="1"/>
  <c r="W203" i="1"/>
  <c r="W201" i="1" s="1"/>
  <c r="H198" i="1"/>
  <c r="H199" i="1" s="1"/>
  <c r="V203" i="1"/>
  <c r="V201" i="1" s="1"/>
  <c r="V244" i="1"/>
  <c r="V246" i="1"/>
  <c r="L205" i="1"/>
  <c r="M203" i="1"/>
  <c r="M201" i="1" s="1"/>
  <c r="Q205" i="1"/>
  <c r="M165" i="1"/>
  <c r="M166" i="1" s="1"/>
  <c r="P205" i="1"/>
  <c r="K186" i="1"/>
  <c r="M186" i="1"/>
  <c r="P165" i="1"/>
  <c r="P166" i="1" s="1"/>
  <c r="T165" i="1"/>
  <c r="T166" i="1" s="1"/>
  <c r="M198" i="1"/>
  <c r="M199" i="1" s="1"/>
  <c r="L165" i="1"/>
  <c r="L166" i="1" s="1"/>
  <c r="L198" i="1"/>
  <c r="L199" i="1" s="1"/>
  <c r="AV19" i="1"/>
  <c r="G166" i="1"/>
  <c r="U166" i="1"/>
  <c r="J198" i="1"/>
  <c r="J199" i="1" s="1"/>
  <c r="D205" i="1"/>
  <c r="N166" i="1"/>
  <c r="I166" i="1"/>
  <c r="E166" i="1"/>
  <c r="BD30" i="1"/>
  <c r="AR29" i="1"/>
  <c r="AR232" i="1"/>
  <c r="AR233" i="1" s="1"/>
  <c r="AR34" i="1"/>
  <c r="AR38" i="1" s="1"/>
  <c r="BF29" i="1"/>
  <c r="BF232" i="1"/>
  <c r="BF233" i="1" s="1"/>
  <c r="BF34" i="1"/>
  <c r="BF38" i="1" s="1"/>
  <c r="P244" i="1"/>
  <c r="Q203" i="1"/>
  <c r="Q201" i="1" s="1"/>
  <c r="BU17" i="1"/>
  <c r="BY18" i="1"/>
  <c r="BV19" i="1"/>
  <c r="BU28" i="1"/>
  <c r="BU19" i="1"/>
  <c r="BQ28" i="1"/>
  <c r="BQ18" i="1"/>
  <c r="BU18" i="1"/>
  <c r="BQ17" i="1"/>
  <c r="BR19" i="1"/>
  <c r="R59" i="1"/>
  <c r="AZ19" i="1"/>
  <c r="AY19" i="1"/>
  <c r="AY17" i="1"/>
  <c r="AY28" i="1"/>
  <c r="BC18" i="1"/>
  <c r="O246" i="1"/>
  <c r="O203" i="1"/>
  <c r="O201" i="1" s="1"/>
  <c r="P203" i="1"/>
  <c r="P201" i="1" s="1"/>
  <c r="O244" i="1"/>
  <c r="T244" i="1"/>
  <c r="U203" i="1"/>
  <c r="U201" i="1" s="1"/>
  <c r="T203" i="1"/>
  <c r="T201" i="1" s="1"/>
  <c r="T246" i="1"/>
  <c r="R181" i="1"/>
  <c r="R186" i="1"/>
  <c r="AM129" i="1"/>
  <c r="AM55" i="1" s="1"/>
  <c r="AM92" i="1"/>
  <c r="AM54" i="1"/>
  <c r="AM207" i="1"/>
  <c r="AM205" i="1" s="1"/>
  <c r="AM86" i="1"/>
  <c r="AM85" i="1"/>
  <c r="AM87" i="1"/>
  <c r="BH244" i="1"/>
  <c r="BH246" i="1"/>
  <c r="BJ33" i="1"/>
  <c r="BI138" i="1"/>
  <c r="BJ203" i="1" s="1"/>
  <c r="BJ201" i="1" s="1"/>
  <c r="AZ34" i="1"/>
  <c r="AZ38" i="1" s="1"/>
  <c r="AZ232" i="1"/>
  <c r="AZ233" i="1" s="1"/>
  <c r="AZ29" i="1"/>
  <c r="AI17" i="1"/>
  <c r="AJ19" i="1"/>
  <c r="AM18" i="1"/>
  <c r="AI28" i="1"/>
  <c r="N59" i="1"/>
  <c r="BP18" i="1"/>
  <c r="BP28" i="1"/>
  <c r="BQ19" i="1"/>
  <c r="BP17" i="1"/>
  <c r="BT18" i="1"/>
  <c r="BS17" i="1"/>
  <c r="BS28" i="1"/>
  <c r="BS19" i="1"/>
  <c r="BT19" i="1"/>
  <c r="BW18" i="1"/>
  <c r="Q59" i="1"/>
  <c r="AU17" i="1"/>
  <c r="AY18" i="1"/>
  <c r="AU28" i="1"/>
  <c r="AU19" i="1"/>
  <c r="AU18" i="1"/>
  <c r="BA18" i="1"/>
  <c r="BA19" i="1"/>
  <c r="BA17" i="1"/>
  <c r="BB19" i="1"/>
  <c r="AW232" i="1"/>
  <c r="AW233" i="1" s="1"/>
  <c r="AW34" i="1"/>
  <c r="AW38" i="1" s="1"/>
  <c r="AW29" i="1"/>
  <c r="BP19" i="1"/>
  <c r="V59" i="1"/>
  <c r="BO28" i="1"/>
  <c r="BO19" i="1"/>
  <c r="BO17" i="1"/>
  <c r="BO18" i="1"/>
  <c r="BS18" i="1"/>
  <c r="BM18" i="1"/>
  <c r="BI28" i="1"/>
  <c r="BI17" i="1"/>
  <c r="BI18" i="1"/>
  <c r="BJ19" i="1"/>
  <c r="BH19" i="1"/>
  <c r="T59" i="1"/>
  <c r="BI19" i="1"/>
  <c r="BL18" i="1"/>
  <c r="BH18" i="1"/>
  <c r="BH28" i="1"/>
  <c r="BH17" i="1"/>
  <c r="BG18" i="1"/>
  <c r="BD19" i="1"/>
  <c r="S59" i="1"/>
  <c r="BC17" i="1"/>
  <c r="BC28" i="1"/>
  <c r="BC19" i="1"/>
  <c r="AW19" i="1"/>
  <c r="AV18" i="1"/>
  <c r="AZ18" i="1"/>
  <c r="AV17" i="1"/>
  <c r="AS17" i="1"/>
  <c r="AS19" i="1"/>
  <c r="AW18" i="1"/>
  <c r="AS18" i="1"/>
  <c r="P59" i="1"/>
  <c r="BV166" i="1"/>
  <c r="AR165" i="1"/>
  <c r="S186" i="1"/>
  <c r="T189" i="1" s="1"/>
  <c r="T190" i="1" s="1"/>
  <c r="S181" i="1"/>
  <c r="BH109" i="1"/>
  <c r="BI37" i="1"/>
  <c r="AR244" i="1"/>
  <c r="AR246" i="1"/>
  <c r="B87" i="1"/>
  <c r="B86" i="1"/>
  <c r="B85" i="1"/>
  <c r="BV109" i="1"/>
  <c r="BW37" i="1"/>
  <c r="Q198" i="1"/>
  <c r="Q199" i="1" s="1"/>
  <c r="F198" i="1"/>
  <c r="F199" i="1" s="1"/>
  <c r="BV189" i="1"/>
  <c r="U186" i="1"/>
  <c r="U189" i="1" s="1"/>
  <c r="U190" i="1" s="1"/>
  <c r="U184" i="1"/>
  <c r="AV28" i="1"/>
  <c r="O184" i="1"/>
  <c r="AT19" i="1"/>
  <c r="AS28" i="1"/>
  <c r="AS31" i="1" s="1"/>
  <c r="G184" i="1"/>
  <c r="P186" i="1"/>
  <c r="P189" i="1" s="1"/>
  <c r="P190" i="1" s="1"/>
  <c r="D186" i="1"/>
  <c r="E189" i="1" s="1"/>
  <c r="E190" i="1" s="1"/>
  <c r="G198" i="1"/>
  <c r="G199" i="1" s="1"/>
  <c r="B181" i="1"/>
  <c r="F186" i="1"/>
  <c r="V198" i="1"/>
  <c r="V199" i="1" s="1"/>
  <c r="C166" i="1"/>
  <c r="J186" i="1"/>
  <c r="B244" i="1"/>
  <c r="B166" i="1"/>
  <c r="C87" i="1"/>
  <c r="C85" i="1"/>
  <c r="C70" i="1"/>
  <c r="C86" i="1"/>
  <c r="B89" i="1"/>
  <c r="D70" i="1"/>
  <c r="D244" i="1"/>
  <c r="D166" i="1"/>
  <c r="E210" i="1"/>
  <c r="E211" i="1" s="1"/>
  <c r="E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R213" i="1"/>
  <c r="BB109" i="1"/>
  <c r="BC37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F189" i="1"/>
  <c r="F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L112" i="1"/>
  <c r="AQ250" i="1"/>
  <c r="AQ251" i="1" s="1"/>
  <c r="AT30" i="1"/>
  <c r="AQ31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31" i="1"/>
  <c r="AR226" i="1"/>
  <c r="AP226" i="1"/>
  <c r="AP250" i="1"/>
  <c r="AP251" i="1" s="1"/>
  <c r="AP112" i="1"/>
  <c r="BK226" i="1"/>
  <c r="AV112" i="1"/>
  <c r="Q60" i="1"/>
  <c r="BI203" i="1"/>
  <c r="BI201" i="1" s="1"/>
  <c r="BV40" i="1"/>
  <c r="BV41" i="1"/>
  <c r="BD226" i="1"/>
  <c r="BC112" i="1"/>
  <c r="BC226" i="1"/>
  <c r="AV34" i="1"/>
  <c r="AZ30" i="1"/>
  <c r="AV29" i="1"/>
  <c r="AV232" i="1"/>
  <c r="AV233" i="1" s="1"/>
  <c r="AW250" i="1"/>
  <c r="AW251" i="1" s="1"/>
  <c r="BG29" i="1"/>
  <c r="BG112" i="1"/>
  <c r="BG250" i="1"/>
  <c r="BG251" i="1" s="1"/>
  <c r="BG34" i="1"/>
  <c r="BG232" i="1"/>
  <c r="BG233" i="1" s="1"/>
  <c r="BG226" i="1"/>
  <c r="BG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O112" i="1"/>
  <c r="AX250" i="1"/>
  <c r="AX251" i="1" s="1"/>
  <c r="AX232" i="1"/>
  <c r="AX233" i="1" s="1"/>
  <c r="AX30" i="1"/>
  <c r="BB30" i="1"/>
  <c r="AX34" i="1"/>
  <c r="AX31" i="1"/>
  <c r="AX29" i="1"/>
  <c r="BB34" i="1"/>
  <c r="BF30" i="1"/>
  <c r="BB232" i="1"/>
  <c r="BB233" i="1" s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AW40" i="1"/>
  <c r="AW41" i="1"/>
  <c r="AT41" i="1"/>
  <c r="AT40" i="1"/>
  <c r="CR134" i="1"/>
  <c r="AE142" i="1"/>
  <c r="AC124" i="1"/>
  <c r="BA30" i="1" l="1"/>
  <c r="BA31" i="1"/>
  <c r="BA34" i="1"/>
  <c r="BA38" i="1" s="1"/>
  <c r="BA29" i="1"/>
  <c r="P213" i="1"/>
  <c r="G210" i="1"/>
  <c r="G211" i="1" s="1"/>
  <c r="V213" i="1"/>
  <c r="U213" i="1"/>
  <c r="T213" i="1"/>
  <c r="BA232" i="1"/>
  <c r="BA233" i="1" s="1"/>
  <c r="BA250" i="1"/>
  <c r="U210" i="1"/>
  <c r="U211" i="1" s="1"/>
  <c r="K189" i="1"/>
  <c r="K190" i="1" s="1"/>
  <c r="S213" i="1"/>
  <c r="V189" i="1"/>
  <c r="V190" i="1" s="1"/>
  <c r="M213" i="1"/>
  <c r="T210" i="1"/>
  <c r="T211" i="1" s="1"/>
  <c r="S210" i="1"/>
  <c r="S211" i="1" s="1"/>
  <c r="H210" i="1"/>
  <c r="H211" i="1" s="1"/>
  <c r="J213" i="1"/>
  <c r="D210" i="1"/>
  <c r="D211" i="1" s="1"/>
  <c r="D213" i="1"/>
  <c r="N213" i="1"/>
  <c r="I213" i="1"/>
  <c r="Q213" i="1"/>
  <c r="K210" i="1"/>
  <c r="K211" i="1" s="1"/>
  <c r="K213" i="1"/>
  <c r="Q210" i="1"/>
  <c r="Q211" i="1" s="1"/>
  <c r="I210" i="1"/>
  <c r="I211" i="1" s="1"/>
  <c r="P210" i="1"/>
  <c r="P211" i="1" s="1"/>
  <c r="J210" i="1"/>
  <c r="J211" i="1" s="1"/>
  <c r="H213" i="1"/>
  <c r="N210" i="1"/>
  <c r="N211" i="1" s="1"/>
  <c r="M210" i="1"/>
  <c r="M211" i="1" s="1"/>
  <c r="I189" i="1"/>
  <c r="I190" i="1" s="1"/>
  <c r="C210" i="1"/>
  <c r="C211" i="1" s="1"/>
  <c r="C213" i="1"/>
  <c r="O213" i="1"/>
  <c r="O210" i="1"/>
  <c r="O211" i="1" s="1"/>
  <c r="R210" i="1"/>
  <c r="R211" i="1" s="1"/>
  <c r="L213" i="1"/>
  <c r="L210" i="1"/>
  <c r="L211" i="1" s="1"/>
  <c r="L189" i="1"/>
  <c r="L190" i="1" s="1"/>
  <c r="H189" i="1"/>
  <c r="H190" i="1" s="1"/>
  <c r="C189" i="1"/>
  <c r="C190" i="1" s="1"/>
  <c r="S189" i="1"/>
  <c r="S190" i="1" s="1"/>
  <c r="N189" i="1"/>
  <c r="N190" i="1" s="1"/>
  <c r="BA226" i="1"/>
  <c r="BS226" i="1"/>
  <c r="AY29" i="1"/>
  <c r="AZ250" i="1"/>
  <c r="AZ251" i="1" s="1"/>
  <c r="G189" i="1"/>
  <c r="G190" i="1" s="1"/>
  <c r="R189" i="1"/>
  <c r="R190" i="1" s="1"/>
  <c r="M189" i="1"/>
  <c r="M190" i="1" s="1"/>
  <c r="BX226" i="1"/>
  <c r="AY34" i="1"/>
  <c r="AY38" i="1" s="1"/>
  <c r="AZ31" i="1"/>
  <c r="AY232" i="1"/>
  <c r="AY233" i="1" s="1"/>
  <c r="BQ31" i="1"/>
  <c r="BT112" i="1"/>
  <c r="BX112" i="1"/>
  <c r="BB226" i="1"/>
  <c r="R60" i="1"/>
  <c r="BQ112" i="1"/>
  <c r="BQ226" i="1"/>
  <c r="AZ226" i="1"/>
  <c r="BB112" i="1"/>
  <c r="F213" i="1"/>
  <c r="F210" i="1"/>
  <c r="F211" i="1" s="1"/>
  <c r="Q189" i="1"/>
  <c r="Q190" i="1" s="1"/>
  <c r="BA251" i="1"/>
  <c r="BD250" i="1"/>
  <c r="BD251" i="1" s="1"/>
  <c r="AW31" i="1"/>
  <c r="BH226" i="1"/>
  <c r="T60" i="1"/>
  <c r="BJ112" i="1"/>
  <c r="BI226" i="1"/>
  <c r="BI112" i="1"/>
  <c r="BH112" i="1"/>
  <c r="BJ226" i="1"/>
  <c r="BH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D112" i="1"/>
  <c r="BC250" i="1"/>
  <c r="BC251" i="1" s="1"/>
  <c r="BE226" i="1"/>
  <c r="BE112" i="1"/>
  <c r="AT226" i="1"/>
  <c r="P60" i="1"/>
  <c r="AT112" i="1"/>
  <c r="AS30" i="1"/>
  <c r="BQ232" i="1"/>
  <c r="BQ233" i="1" s="1"/>
  <c r="BQ34" i="1"/>
  <c r="BQ29" i="1"/>
  <c r="V210" i="1"/>
  <c r="V211" i="1" s="1"/>
  <c r="G213" i="1"/>
  <c r="D189" i="1"/>
  <c r="D190" i="1" s="1"/>
  <c r="J189" i="1"/>
  <c r="J190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BN38" i="1"/>
  <c r="BP55" i="1"/>
  <c r="BV42" i="1"/>
  <c r="BV245" i="1" s="1"/>
  <c r="BV48" i="1"/>
  <c r="BV234" i="1"/>
  <c r="BZ43" i="1"/>
  <c r="AQ38" i="1"/>
  <c r="AT55" i="1"/>
  <c r="BX55" i="1"/>
  <c r="BZ55" i="1"/>
  <c r="BW38" i="1"/>
  <c r="BB38" i="1"/>
  <c r="AN55" i="1"/>
  <c r="AN38" i="1"/>
  <c r="AV38" i="1"/>
  <c r="AV55" i="1"/>
  <c r="AX55" i="1"/>
  <c r="BT38" i="1"/>
  <c r="BN55" i="1"/>
  <c r="BY55" i="1"/>
  <c r="BZ113" i="1"/>
  <c r="BZ114" i="1"/>
  <c r="BG38" i="1"/>
  <c r="BS40" i="1"/>
  <c r="BS41" i="1"/>
  <c r="BJ52" i="1"/>
  <c r="BJ193" i="1"/>
  <c r="BJ195" i="1" s="1"/>
  <c r="BJ66" i="1"/>
  <c r="AT48" i="1"/>
  <c r="AT234" i="1"/>
  <c r="AT42" i="1"/>
  <c r="AT245" i="1" s="1"/>
  <c r="AW48" i="1"/>
  <c r="AW234" i="1"/>
  <c r="AW42" i="1"/>
  <c r="AW245" i="1" s="1"/>
  <c r="CR138" i="1"/>
  <c r="CS32" i="1"/>
  <c r="BA41" i="1" l="1"/>
  <c r="BA40" i="1"/>
  <c r="AZ55" i="1"/>
  <c r="BH41" i="1"/>
  <c r="BH40" i="1"/>
  <c r="BB55" i="1"/>
  <c r="BH113" i="1"/>
  <c r="BH114" i="1"/>
  <c r="BJ113" i="1"/>
  <c r="BJ114" i="1"/>
  <c r="BJ55" i="1"/>
  <c r="BH55" i="1"/>
  <c r="BQ38" i="1"/>
  <c r="BT55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AT66" i="1"/>
  <c r="AT193" i="1"/>
  <c r="AT195" i="1" s="1"/>
  <c r="AT52" i="1"/>
  <c r="AW193" i="1"/>
  <c r="AW195" i="1" s="1"/>
  <c r="AW66" i="1"/>
  <c r="AW119" i="1"/>
  <c r="AW120" i="1" s="1"/>
  <c r="AW52" i="1"/>
  <c r="CS194" i="1"/>
  <c r="CS132" i="1"/>
  <c r="CR203" i="1"/>
  <c r="CR201" i="1" s="1"/>
  <c r="AC125" i="1"/>
  <c r="AC128" i="1" s="1"/>
  <c r="AC249" i="1" s="1"/>
  <c r="BA43" i="1" l="1"/>
  <c r="BA48" i="1"/>
  <c r="BA44" i="1"/>
  <c r="BA42" i="1"/>
  <c r="BA245" i="1" s="1"/>
  <c r="BA234" i="1"/>
  <c r="BH43" i="1"/>
  <c r="BH48" i="1"/>
  <c r="BL43" i="1"/>
  <c r="BH234" i="1"/>
  <c r="BH42" i="1"/>
  <c r="BH245" i="1" s="1"/>
  <c r="BQ41" i="1"/>
  <c r="BQ40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AW129" i="1"/>
  <c r="AW55" i="1" s="1"/>
  <c r="AW207" i="1"/>
  <c r="AW205" i="1" s="1"/>
  <c r="AW92" i="1"/>
  <c r="CS134" i="1"/>
  <c r="AC206" i="1"/>
  <c r="CA226" i="1"/>
  <c r="CB226" i="1"/>
  <c r="BU226" i="1"/>
  <c r="BA119" i="1" l="1"/>
  <c r="BA120" i="1" s="1"/>
  <c r="BA193" i="1"/>
  <c r="BA195" i="1" s="1"/>
  <c r="BA52" i="1"/>
  <c r="BA66" i="1"/>
  <c r="BQ43" i="1"/>
  <c r="BU43" i="1"/>
  <c r="BQ44" i="1"/>
  <c r="BQ234" i="1"/>
  <c r="BQ48" i="1"/>
  <c r="BQ42" i="1"/>
  <c r="BQ24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R52" i="1"/>
  <c r="BR193" i="1"/>
  <c r="BR195" i="1" s="1"/>
  <c r="BR66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AW95" i="1"/>
  <c r="AW94" i="1"/>
  <c r="AW96" i="1"/>
  <c r="CS138" i="1"/>
  <c r="CT32" i="1"/>
  <c r="AD124" i="1"/>
  <c r="W59" i="1"/>
  <c r="BA129" i="1" l="1"/>
  <c r="BA55" i="1" s="1"/>
  <c r="BA92" i="1"/>
  <c r="BA207" i="1"/>
  <c r="BA205" i="1" s="1"/>
  <c r="BB207" i="1"/>
  <c r="BB205" i="1" s="1"/>
  <c r="BS54" i="1"/>
  <c r="BQ52" i="1"/>
  <c r="BQ193" i="1"/>
  <c r="BQ195" i="1" s="1"/>
  <c r="BQ66" i="1"/>
  <c r="BQ119" i="1"/>
  <c r="BQ120" i="1" s="1"/>
  <c r="BQ54" i="1" s="1"/>
  <c r="V61" i="1"/>
  <c r="BT54" i="1"/>
  <c r="BR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A96" i="1" l="1"/>
  <c r="BA94" i="1"/>
  <c r="BA95" i="1"/>
  <c r="BR69" i="1"/>
  <c r="BR86" i="1" s="1"/>
  <c r="BS69" i="1"/>
  <c r="BT69" i="1"/>
  <c r="BQ92" i="1"/>
  <c r="BQ129" i="1"/>
  <c r="BQ55" i="1" s="1"/>
  <c r="BQ207" i="1"/>
  <c r="BQ205" i="1" s="1"/>
  <c r="BR207" i="1"/>
  <c r="BR20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W70" i="1" l="1"/>
  <c r="BS70" i="1"/>
  <c r="BQ96" i="1"/>
  <c r="BQ95" i="1"/>
  <c r="BQ94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N98" i="1"/>
  <c r="CN99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P253" i="1"/>
  <c r="CN19" i="1"/>
  <c r="CO98" i="1"/>
  <c r="CO99" i="1" s="1"/>
  <c r="CO253" i="1"/>
  <c r="CO231" i="1"/>
  <c r="CK148" i="1"/>
  <c r="CM19" i="1"/>
  <c r="CP231" i="1"/>
  <c r="CP10" i="1"/>
  <c r="CT8" i="1" s="1"/>
  <c r="CQ98" i="1"/>
  <c r="CQ99" i="1" s="1"/>
  <c r="AB8" i="1"/>
  <c r="AB253" i="1" s="1"/>
  <c r="CP98" i="1"/>
  <c r="CP99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232" i="1"/>
  <c r="CU233" i="1" s="1"/>
  <c r="CY98" i="1"/>
  <c r="CY99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Y145" i="1"/>
  <c r="CY16" i="1"/>
  <c r="CY15" i="1" s="1"/>
  <c r="CY153" i="1"/>
  <c r="CY146" i="1"/>
  <c r="CY152" i="1"/>
  <c r="CY26" i="1"/>
  <c r="CY23" i="1" s="1"/>
  <c r="CY144" i="1"/>
  <c r="CU19" i="1"/>
  <c r="AD8" i="1"/>
  <c r="AD253" i="1" s="1"/>
  <c r="CU30" i="1" l="1"/>
  <c r="CU34" i="1"/>
  <c r="CU29" i="1"/>
  <c r="CU157" i="1"/>
  <c r="CV19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79" i="1"/>
  <c r="CM129" i="1"/>
  <c r="CM55" i="1" s="1"/>
  <c r="CM92" i="1"/>
  <c r="CM207" i="1"/>
  <c r="CM205" i="1" s="1"/>
  <c r="CM210" i="1" s="1"/>
  <c r="CM54" i="1"/>
  <c r="CM160" i="1" l="1"/>
  <c r="CM161" i="1" s="1"/>
  <c r="CM108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78" i="1"/>
  <c r="CN79" i="1"/>
  <c r="CJ89" i="1"/>
  <c r="CN107" i="1" l="1"/>
  <c r="CN160" i="1"/>
  <c r="CN161" i="1" s="1"/>
  <c r="CN108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78" i="1"/>
  <c r="CO92" i="1"/>
  <c r="CO207" i="1"/>
  <c r="CO205" i="1" s="1"/>
  <c r="CO210" i="1" s="1"/>
  <c r="CO129" i="1"/>
  <c r="CO55" i="1" s="1"/>
  <c r="CO54" i="1"/>
  <c r="CO160" i="1" l="1"/>
  <c r="CO161" i="1" s="1"/>
  <c r="CO107" i="1"/>
  <c r="CO108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79" i="1"/>
  <c r="CP207" i="1"/>
  <c r="CP205" i="1" s="1"/>
  <c r="CP210" i="1" s="1"/>
  <c r="CP129" i="1"/>
  <c r="CP55" i="1" s="1"/>
  <c r="CP92" i="1"/>
  <c r="CP54" i="1"/>
  <c r="CP160" i="1" l="1"/>
  <c r="CP107" i="1"/>
  <c r="AB78" i="1"/>
  <c r="CP108" i="1"/>
  <c r="AB7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129" i="1"/>
  <c r="CQ55" i="1" s="1"/>
  <c r="CQ207" i="1"/>
  <c r="CQ205" i="1" s="1"/>
  <c r="CQ210" i="1" s="1"/>
  <c r="CQ92" i="1"/>
  <c r="CQ54" i="1"/>
  <c r="CQ160" i="1" l="1"/>
  <c r="CQ161" i="1" s="1"/>
  <c r="CQ211" i="1" s="1"/>
  <c r="CQ107" i="1"/>
  <c r="CQ108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78" i="1"/>
  <c r="CR79" i="1"/>
  <c r="CR129" i="1"/>
  <c r="CR55" i="1" s="1"/>
  <c r="CR207" i="1"/>
  <c r="CR205" i="1" s="1"/>
  <c r="CR210" i="1" s="1"/>
  <c r="CR92" i="1"/>
  <c r="CR54" i="1"/>
  <c r="CR160" i="1" l="1"/>
  <c r="CR161" i="1" s="1"/>
  <c r="CR108" i="1"/>
  <c r="CR107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129" i="1"/>
  <c r="CS55" i="1" s="1"/>
  <c r="CS92" i="1"/>
  <c r="CS207" i="1"/>
  <c r="CS205" i="1" s="1"/>
  <c r="CS210" i="1" s="1"/>
  <c r="CS54" i="1"/>
  <c r="CS160" i="1" l="1"/>
  <c r="CS161" i="1" s="1"/>
  <c r="CS108" i="1"/>
  <c r="CS107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78" i="1"/>
  <c r="CT79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AC78" i="1"/>
  <c r="CT108" i="1"/>
  <c r="AC79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79" i="1"/>
  <c r="CU78" i="1"/>
  <c r="CU129" i="1"/>
  <c r="CU55" i="1" s="1"/>
  <c r="CU207" i="1"/>
  <c r="CU205" i="1" s="1"/>
  <c r="CU210" i="1" s="1"/>
  <c r="CU92" i="1"/>
  <c r="CU54" i="1"/>
  <c r="CU160" i="1" l="1"/>
  <c r="CU161" i="1" s="1"/>
  <c r="CU107" i="1"/>
  <c r="CU108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92" i="1"/>
  <c r="CV129" i="1"/>
  <c r="CV55" i="1" s="1"/>
  <c r="CV207" i="1"/>
  <c r="CV205" i="1" s="1"/>
  <c r="CV210" i="1" s="1"/>
  <c r="CV54" i="1"/>
  <c r="CV160" i="1" l="1"/>
  <c r="CV161" i="1" s="1"/>
  <c r="CV108" i="1"/>
  <c r="CV107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79" i="1"/>
  <c r="CW78" i="1"/>
  <c r="CW207" i="1"/>
  <c r="CW205" i="1" s="1"/>
  <c r="CW210" i="1" s="1"/>
  <c r="CW129" i="1"/>
  <c r="CW55" i="1" s="1"/>
  <c r="CW92" i="1"/>
  <c r="CW54" i="1"/>
  <c r="CW160" i="1" l="1"/>
  <c r="CW161" i="1" s="1"/>
  <c r="CW107" i="1"/>
  <c r="CW108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108" i="1"/>
  <c r="AD79" i="1"/>
  <c r="CX107" i="1"/>
  <c r="AD78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79" i="1"/>
  <c r="CY92" i="1"/>
  <c r="CY129" i="1"/>
  <c r="CY55" i="1" s="1"/>
  <c r="CY207" i="1"/>
  <c r="CY205" i="1" s="1"/>
  <c r="CY210" i="1" s="1"/>
  <c r="CY54" i="1"/>
  <c r="CY160" i="1" l="1"/>
  <c r="CY161" i="1" s="1"/>
  <c r="CY108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79" i="1" l="1"/>
  <c r="CZ78" i="1"/>
  <c r="CZ129" i="1"/>
  <c r="CZ55" i="1" s="1"/>
  <c r="CZ207" i="1"/>
  <c r="CZ205" i="1" s="1"/>
  <c r="CZ210" i="1" s="1"/>
  <c r="CZ92" i="1"/>
  <c r="CZ54" i="1"/>
  <c r="CZ160" i="1" l="1"/>
  <c r="CZ161" i="1" s="1"/>
  <c r="CZ107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129" i="1"/>
  <c r="DA55" i="1" s="1"/>
  <c r="DA207" i="1"/>
  <c r="DA205" i="1" s="1"/>
  <c r="DA210" i="1" s="1"/>
  <c r="DA92" i="1"/>
  <c r="DA54" i="1"/>
  <c r="DA160" i="1" l="1"/>
  <c r="DA161" i="1" s="1"/>
  <c r="DA107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107" i="1" l="1"/>
  <c r="AE78" i="1"/>
  <c r="DB108" i="1"/>
  <c r="AE79" i="1"/>
  <c r="DB207" i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Z16" i="4" l="1"/>
  <c r="JZ21" i="4"/>
  <c r="JR16" i="4"/>
  <c r="JR21" i="4"/>
  <c r="CL77" i="1"/>
  <c r="KF14" i="4"/>
  <c r="JX9" i="4"/>
  <c r="KH9" i="4"/>
  <c r="KH21" i="4"/>
  <c r="KF19" i="4"/>
  <c r="CL102" i="1"/>
  <c r="CL94" i="1"/>
  <c r="JX21" i="4"/>
  <c r="CL85" i="1"/>
  <c r="CM77" i="1"/>
  <c r="CN77" i="1" l="1"/>
  <c r="CM102" i="1"/>
  <c r="CM85" i="1"/>
  <c r="CM94" i="1"/>
  <c r="CM82" i="1"/>
  <c r="CM81" i="1"/>
  <c r="CO77" i="1" l="1"/>
  <c r="CN81" i="1"/>
  <c r="CN82" i="1"/>
  <c r="CN85" i="1"/>
  <c r="CN94" i="1"/>
  <c r="CN102" i="1"/>
  <c r="CP77" i="1" l="1"/>
  <c r="CO82" i="1"/>
  <c r="CO81" i="1"/>
  <c r="CO94" i="1"/>
  <c r="CO85" i="1"/>
  <c r="CO102" i="1"/>
  <c r="CP82" i="1" l="1"/>
  <c r="CP85" i="1"/>
  <c r="CP81" i="1"/>
  <c r="CP94" i="1"/>
  <c r="CP102" i="1"/>
  <c r="CQ77" i="1"/>
  <c r="AB77" i="1"/>
  <c r="CQ85" i="1" l="1"/>
  <c r="CQ82" i="1"/>
  <c r="CQ81" i="1"/>
  <c r="CQ94" i="1"/>
  <c r="CQ102" i="1"/>
  <c r="CR77" i="1"/>
  <c r="AB81" i="1"/>
  <c r="AB82" i="1"/>
  <c r="CR94" i="1" l="1"/>
  <c r="CR85" i="1"/>
  <c r="CR81" i="1"/>
  <c r="CR82" i="1"/>
  <c r="CR102" i="1"/>
  <c r="CS77" i="1"/>
  <c r="CS94" i="1" l="1"/>
  <c r="CS85" i="1"/>
  <c r="CS82" i="1"/>
  <c r="CS102" i="1"/>
  <c r="CS81" i="1"/>
  <c r="CT77" i="1"/>
  <c r="CT94" i="1" l="1"/>
  <c r="CT82" i="1"/>
  <c r="CT81" i="1"/>
  <c r="CT85" i="1"/>
  <c r="CT102" i="1"/>
  <c r="CU77" i="1"/>
  <c r="AC77" i="1"/>
  <c r="CU81" i="1" l="1"/>
  <c r="CU82" i="1"/>
  <c r="CU85" i="1"/>
  <c r="CU94" i="1"/>
  <c r="CU102" i="1"/>
  <c r="CV77" i="1"/>
  <c r="AC82" i="1"/>
  <c r="AC81" i="1"/>
  <c r="CV81" i="1" l="1"/>
  <c r="CV82" i="1"/>
  <c r="CV94" i="1"/>
  <c r="CV85" i="1"/>
  <c r="CV102" i="1"/>
  <c r="CW77" i="1"/>
  <c r="CW81" i="1" l="1"/>
  <c r="CW82" i="1"/>
  <c r="CW94" i="1"/>
  <c r="CW85" i="1"/>
  <c r="CW102" i="1"/>
  <c r="CX77" i="1"/>
  <c r="CX82" i="1" l="1"/>
  <c r="CX94" i="1"/>
  <c r="CX81" i="1"/>
  <c r="CX85" i="1"/>
  <c r="CX102" i="1"/>
  <c r="AD77" i="1"/>
  <c r="CY77" i="1"/>
  <c r="AD81" i="1" l="1"/>
  <c r="AD82" i="1"/>
  <c r="CY94" i="1"/>
  <c r="CY85" i="1"/>
  <c r="CY81" i="1"/>
  <c r="CY82" i="1"/>
  <c r="CY102" i="1"/>
  <c r="CZ77" i="1"/>
  <c r="CZ82" i="1" l="1"/>
  <c r="CZ85" i="1"/>
  <c r="CZ81" i="1"/>
  <c r="CZ94" i="1"/>
  <c r="CZ102" i="1"/>
  <c r="DA77" i="1"/>
  <c r="DA94" i="1" l="1"/>
  <c r="DA81" i="1"/>
  <c r="DA85" i="1"/>
  <c r="DA102" i="1"/>
  <c r="DA82" i="1"/>
  <c r="DB77" i="1"/>
  <c r="DB81" i="1" l="1"/>
  <c r="DB82" i="1"/>
  <c r="DB94" i="1"/>
  <c r="DB85" i="1"/>
  <c r="DB102" i="1"/>
  <c r="AE77" i="1"/>
  <c r="AE81" i="1" l="1"/>
  <c r="AE82" i="1"/>
  <c r="AB63" i="1" l="1"/>
  <c r="AA63" i="1"/>
  <c r="AA65" i="1"/>
  <c r="AA66" i="1"/>
  <c r="AA69" i="1"/>
  <c r="AA70" i="1"/>
  <c r="AA86" i="1"/>
  <c r="AA108" i="1"/>
  <c r="AA111" i="1"/>
  <c r="AA114" i="1"/>
  <c r="AA92" i="1"/>
  <c r="AA94" i="1"/>
  <c r="AA96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Z63" i="1"/>
  <c r="AC63" i="1"/>
  <c r="Z65" i="1"/>
  <c r="Z107" i="1"/>
  <c r="Z92" i="1"/>
  <c r="Z108" i="1"/>
  <c r="Z111" i="1"/>
  <c r="Y63" i="1"/>
  <c r="Y65" i="1"/>
  <c r="Y107" i="1"/>
  <c r="Y92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Z96" i="1"/>
  <c r="Z95" i="1"/>
  <c r="Y94" i="1"/>
  <c r="Y96" i="1"/>
  <c r="X65" i="1"/>
  <c r="X66" i="1"/>
  <c r="X69" i="1"/>
  <c r="X68" i="1"/>
  <c r="AD63" i="1"/>
  <c r="AE63" i="1"/>
  <c r="AE65" i="1"/>
  <c r="AE66" i="1"/>
  <c r="W65" i="1"/>
  <c r="W66" i="1"/>
  <c r="W69" i="1"/>
  <c r="V89" i="1"/>
  <c r="AD65" i="1"/>
  <c r="AD99" i="1"/>
  <c r="Z89" i="1"/>
  <c r="AB65" i="1"/>
  <c r="AB66" i="1"/>
  <c r="AB69" i="1"/>
  <c r="AB85" i="1"/>
  <c r="AB86" i="1"/>
  <c r="AD103" i="1"/>
  <c r="AA107" i="1"/>
  <c r="AA110" i="1"/>
  <c r="AA113" i="1"/>
  <c r="AA87" i="1"/>
  <c r="AC64" i="1"/>
  <c r="Z110" i="1"/>
  <c r="Z99" i="1"/>
  <c r="Y108" i="1"/>
  <c r="G65" i="1"/>
  <c r="G99" i="1"/>
  <c r="G104" i="1"/>
  <c r="W86" i="1"/>
  <c r="L65" i="1"/>
  <c r="L92" i="1"/>
  <c r="L95" i="1"/>
  <c r="P65" i="1"/>
  <c r="P92" i="1"/>
  <c r="P95" i="1"/>
  <c r="L107" i="1"/>
  <c r="L110" i="1"/>
  <c r="N65" i="1"/>
  <c r="N92" i="1"/>
  <c r="N94" i="1"/>
  <c r="Y111" i="1"/>
  <c r="Y114" i="1"/>
  <c r="Y99" i="1"/>
  <c r="Z94" i="1"/>
  <c r="Z102" i="1"/>
  <c r="AC65" i="1"/>
  <c r="G103" i="1"/>
  <c r="W68" i="1"/>
  <c r="AC66" i="1"/>
  <c r="AC108" i="1"/>
  <c r="AE108" i="1"/>
  <c r="AC107" i="1"/>
  <c r="P64" i="1"/>
  <c r="N96" i="1"/>
  <c r="P108" i="1"/>
  <c r="P111" i="1"/>
  <c r="P114" i="1"/>
  <c r="M65" i="1"/>
  <c r="M107" i="1"/>
  <c r="M110" i="1"/>
  <c r="Q65" i="1"/>
  <c r="Q107" i="1"/>
  <c r="Q110" i="1"/>
  <c r="Q113" i="1"/>
  <c r="R65" i="1"/>
  <c r="R92" i="1"/>
  <c r="R96" i="1"/>
  <c r="AA85" i="1"/>
  <c r="X99" i="1"/>
  <c r="Y95" i="1"/>
  <c r="X103" i="1"/>
  <c r="AB99" i="1"/>
  <c r="W70" i="1"/>
  <c r="X107" i="1"/>
  <c r="X92" i="1"/>
  <c r="Y103" i="1"/>
  <c r="Z66" i="1"/>
  <c r="X95" i="1"/>
  <c r="X85" i="1"/>
  <c r="AD107" i="1"/>
  <c r="AB108" i="1"/>
  <c r="AB107" i="1"/>
  <c r="X86" i="1"/>
  <c r="U65" i="1"/>
  <c r="F65" i="1"/>
  <c r="N66" i="1"/>
  <c r="T65" i="1"/>
  <c r="K65" i="1"/>
  <c r="I65" i="1"/>
  <c r="S65" i="1"/>
  <c r="Q66" i="1"/>
  <c r="T66" i="1"/>
  <c r="W99" i="1"/>
  <c r="L99" i="1"/>
  <c r="U66" i="1"/>
  <c r="K66" i="1"/>
  <c r="I66" i="1"/>
  <c r="L66" i="1"/>
  <c r="M99" i="1"/>
  <c r="F66" i="1"/>
  <c r="F69" i="1"/>
  <c r="F86" i="1"/>
  <c r="J65" i="1"/>
  <c r="J66" i="1"/>
  <c r="J69" i="1"/>
  <c r="J85" i="1"/>
  <c r="G108" i="1"/>
  <c r="L104" i="1"/>
  <c r="X70" i="1"/>
  <c r="AB110" i="1"/>
  <c r="V65" i="1"/>
  <c r="V99" i="1"/>
  <c r="V104" i="1"/>
  <c r="S108" i="1"/>
  <c r="E65" i="1"/>
  <c r="E66" i="1"/>
  <c r="E69" i="1"/>
  <c r="E87" i="1"/>
  <c r="AD110" i="1"/>
  <c r="H65" i="1"/>
  <c r="H99" i="1"/>
  <c r="H102" i="1"/>
  <c r="Y102" i="1"/>
  <c r="J92" i="1"/>
  <c r="J95" i="1"/>
  <c r="E99" i="1"/>
  <c r="E103" i="1"/>
  <c r="M66" i="1"/>
  <c r="M69" i="1"/>
  <c r="M87" i="1"/>
  <c r="K92" i="1"/>
  <c r="L94" i="1"/>
  <c r="S92" i="1"/>
  <c r="T107" i="1"/>
  <c r="T110" i="1"/>
  <c r="J96" i="1"/>
  <c r="M92" i="1"/>
  <c r="H92" i="1"/>
  <c r="H95" i="1"/>
  <c r="G111" i="1"/>
  <c r="E107" i="1"/>
  <c r="E110" i="1"/>
  <c r="E113" i="1"/>
  <c r="H107" i="1"/>
  <c r="H110" i="1"/>
  <c r="H113" i="1"/>
  <c r="I108" i="1"/>
  <c r="I111" i="1"/>
  <c r="I114" i="1"/>
  <c r="Q69" i="1"/>
  <c r="H66" i="1"/>
  <c r="H69" i="1"/>
  <c r="V66" i="1"/>
  <c r="V69" i="1"/>
  <c r="I69" i="1"/>
  <c r="J70" i="1"/>
  <c r="H68" i="1"/>
  <c r="N68" i="1"/>
  <c r="K68" i="1"/>
  <c r="P66" i="1"/>
  <c r="P69" i="1"/>
  <c r="P87" i="1"/>
  <c r="O65" i="1"/>
  <c r="O66" i="1"/>
  <c r="O68" i="1"/>
  <c r="G89" i="1"/>
  <c r="F92" i="1"/>
  <c r="W85" i="1"/>
  <c r="AB70" i="1"/>
  <c r="M104" i="1"/>
  <c r="O69" i="1"/>
  <c r="R66" i="1"/>
  <c r="H85" i="1"/>
  <c r="Z103" i="1"/>
  <c r="S96" i="1"/>
  <c r="Q85" i="1"/>
  <c r="F107" i="1"/>
  <c r="G66" i="1"/>
  <c r="G69" i="1"/>
  <c r="G107" i="1"/>
  <c r="R68" i="1"/>
  <c r="O70" i="1"/>
  <c r="AC68" i="1"/>
  <c r="L108" i="1"/>
  <c r="L111" i="1"/>
  <c r="L114" i="1"/>
  <c r="O64" i="1"/>
  <c r="N64" i="1"/>
  <c r="M64" i="1"/>
  <c r="L64" i="1"/>
  <c r="AD64" i="1"/>
  <c r="W103" i="1"/>
  <c r="J94" i="1"/>
  <c r="P94" i="1"/>
  <c r="E108" i="1"/>
  <c r="L113" i="1"/>
  <c r="I107" i="1"/>
  <c r="U108" i="1"/>
  <c r="L103" i="1"/>
  <c r="Q87" i="1"/>
  <c r="R95" i="1"/>
  <c r="AA99" i="1"/>
  <c r="Z114" i="1"/>
  <c r="Z68" i="1"/>
  <c r="G102" i="1"/>
  <c r="Y66" i="1"/>
  <c r="Y68" i="1"/>
  <c r="X96" i="1"/>
  <c r="AB103" i="1"/>
  <c r="Q99" i="1"/>
  <c r="I99" i="1"/>
  <c r="N99" i="1"/>
  <c r="AB87" i="1"/>
  <c r="H86" i="1"/>
  <c r="H89" i="1"/>
  <c r="Q70" i="1"/>
  <c r="M94" i="1"/>
  <c r="L68" i="1"/>
  <c r="O99" i="1"/>
  <c r="I85" i="1"/>
  <c r="V108" i="1"/>
  <c r="Y104" i="1"/>
  <c r="O85" i="1"/>
  <c r="I86" i="1"/>
  <c r="J86" i="1"/>
  <c r="K107" i="1"/>
  <c r="K99" i="1"/>
  <c r="K103" i="1"/>
  <c r="F87" i="1"/>
  <c r="F108" i="1"/>
  <c r="U107" i="1"/>
  <c r="F85" i="1"/>
  <c r="T108" i="1"/>
  <c r="T111" i="1"/>
  <c r="T114" i="1"/>
  <c r="O89" i="1"/>
  <c r="T92" i="1"/>
  <c r="G92" i="1"/>
  <c r="Q92" i="1"/>
  <c r="Q108" i="1"/>
  <c r="E85" i="1"/>
  <c r="V103" i="1"/>
  <c r="M103" i="1"/>
  <c r="G87" i="1"/>
  <c r="N108" i="1"/>
  <c r="W108" i="1"/>
  <c r="G85" i="1"/>
  <c r="M86" i="1"/>
  <c r="K104" i="1"/>
  <c r="H87" i="1"/>
  <c r="U92" i="1"/>
  <c r="AE107" i="1"/>
  <c r="AB111" i="1"/>
  <c r="R108" i="1"/>
  <c r="W107" i="1"/>
  <c r="I87" i="1"/>
  <c r="L96" i="1"/>
  <c r="T96" i="1"/>
  <c r="F96" i="1"/>
  <c r="K108" i="1"/>
  <c r="K94" i="1"/>
  <c r="M108" i="1"/>
  <c r="M111" i="1"/>
  <c r="G96" i="1"/>
  <c r="O107" i="1"/>
  <c r="O110" i="1"/>
  <c r="K95" i="1"/>
  <c r="S107" i="1"/>
  <c r="S110" i="1"/>
  <c r="K110" i="1"/>
  <c r="P107" i="1"/>
  <c r="P110" i="1"/>
  <c r="P113" i="1"/>
  <c r="S111" i="1"/>
  <c r="S114" i="1"/>
  <c r="I92" i="1"/>
  <c r="O92" i="1"/>
  <c r="O95" i="1"/>
  <c r="M96" i="1"/>
  <c r="P96" i="1"/>
  <c r="G114" i="1"/>
  <c r="AE92" i="1"/>
  <c r="N95" i="1"/>
  <c r="N107" i="1"/>
  <c r="E70" i="1"/>
  <c r="W87" i="1"/>
  <c r="AC99" i="1"/>
  <c r="AE99" i="1"/>
  <c r="AB92" i="1"/>
  <c r="AA89" i="1"/>
  <c r="AC92" i="1"/>
  <c r="AC96" i="1"/>
  <c r="AD104" i="1"/>
  <c r="AD108" i="1"/>
  <c r="AE95" i="1"/>
  <c r="X94" i="1"/>
  <c r="T68" i="1"/>
  <c r="U89" i="1"/>
  <c r="D89" i="1"/>
  <c r="E102" i="1"/>
  <c r="U68" i="1"/>
  <c r="L102" i="1"/>
  <c r="AE96" i="1"/>
  <c r="W110" i="1"/>
  <c r="W113" i="1"/>
  <c r="AB94" i="1"/>
  <c r="AB96" i="1"/>
  <c r="AB113" i="1"/>
  <c r="AC103" i="1"/>
  <c r="AD66" i="1"/>
  <c r="AD69" i="1"/>
  <c r="AD70" i="1"/>
  <c r="AD86" i="1"/>
  <c r="AD111" i="1"/>
  <c r="AD114" i="1"/>
  <c r="F111" i="1"/>
  <c r="F114" i="1"/>
  <c r="M85" i="1"/>
  <c r="P85" i="1"/>
  <c r="O103" i="1"/>
  <c r="AD87" i="1"/>
  <c r="G95" i="1"/>
  <c r="V86" i="1"/>
  <c r="Q68" i="1"/>
  <c r="V68" i="1"/>
  <c r="O102" i="1"/>
  <c r="I68" i="1"/>
  <c r="Q86" i="1"/>
  <c r="W111" i="1"/>
  <c r="W114" i="1"/>
  <c r="AC104" i="1"/>
  <c r="AE110" i="1"/>
  <c r="AE113" i="1"/>
  <c r="AB95" i="1"/>
  <c r="H104" i="1"/>
  <c r="W89" i="1"/>
  <c r="K64" i="1"/>
  <c r="J64" i="1"/>
  <c r="E89" i="1"/>
  <c r="F95" i="1"/>
  <c r="K96" i="1"/>
  <c r="O96" i="1"/>
  <c r="M95" i="1"/>
  <c r="G110" i="1"/>
  <c r="G113" i="1"/>
  <c r="H108" i="1"/>
  <c r="H111" i="1"/>
  <c r="H114" i="1"/>
  <c r="G70" i="1"/>
  <c r="W104" i="1"/>
  <c r="O108" i="1"/>
  <c r="O111" i="1"/>
  <c r="V92" i="1"/>
  <c r="M70" i="1"/>
  <c r="K113" i="1"/>
  <c r="V107" i="1"/>
  <c r="V110" i="1"/>
  <c r="V113" i="1"/>
  <c r="N111" i="1"/>
  <c r="N114" i="1"/>
  <c r="V96" i="1"/>
  <c r="R94" i="1"/>
  <c r="J107" i="1"/>
  <c r="J110" i="1"/>
  <c r="J113" i="1"/>
  <c r="AA95" i="1"/>
  <c r="AA103" i="1"/>
  <c r="Z104" i="1"/>
  <c r="Y110" i="1"/>
  <c r="X108" i="1"/>
  <c r="Z69" i="1"/>
  <c r="Y69" i="1"/>
  <c r="Y86" i="1"/>
  <c r="AD92" i="1"/>
  <c r="AC89" i="1"/>
  <c r="F99" i="1"/>
  <c r="S66" i="1"/>
  <c r="P99" i="1"/>
  <c r="AE68" i="1"/>
  <c r="V70" i="1"/>
  <c r="S99" i="1"/>
  <c r="AD95" i="1"/>
  <c r="U99" i="1"/>
  <c r="U103" i="1"/>
  <c r="AD113" i="1"/>
  <c r="P89" i="1"/>
  <c r="X102" i="1"/>
  <c r="K111" i="1"/>
  <c r="K114" i="1"/>
  <c r="Q102" i="1"/>
  <c r="Z70" i="1"/>
  <c r="T94" i="1"/>
  <c r="I104" i="1"/>
  <c r="U69" i="1"/>
  <c r="U70" i="1"/>
  <c r="P104" i="1"/>
  <c r="T69" i="1"/>
  <c r="T85" i="1"/>
  <c r="G68" i="1"/>
  <c r="K69" i="1"/>
  <c r="J89" i="1"/>
  <c r="J68" i="1"/>
  <c r="E68" i="1"/>
  <c r="U102" i="1"/>
  <c r="T70" i="1"/>
  <c r="R99" i="1"/>
  <c r="R103" i="1"/>
  <c r="S102" i="1"/>
  <c r="U86" i="1"/>
  <c r="R102" i="1"/>
  <c r="Y85" i="1"/>
  <c r="I103" i="1"/>
  <c r="K86" i="1"/>
  <c r="F104" i="1"/>
  <c r="P102" i="1"/>
  <c r="T86" i="1"/>
  <c r="N102" i="1"/>
  <c r="U104" i="1"/>
  <c r="T87" i="1"/>
  <c r="S103" i="1"/>
  <c r="S89" i="1"/>
  <c r="AB104" i="1"/>
  <c r="Y113" i="1"/>
  <c r="S68" i="1"/>
  <c r="U87" i="1"/>
  <c r="F68" i="1"/>
  <c r="Y89" i="1"/>
  <c r="M68" i="1"/>
  <c r="P68" i="1"/>
  <c r="F102" i="1"/>
  <c r="I102" i="1"/>
  <c r="T89" i="1"/>
  <c r="U85" i="1"/>
  <c r="K70" i="1"/>
  <c r="P103" i="1"/>
  <c r="R104" i="1"/>
  <c r="F103" i="1"/>
  <c r="K87" i="1"/>
  <c r="N104" i="1"/>
  <c r="AB102" i="1"/>
  <c r="AD68" i="1"/>
  <c r="Q104" i="1"/>
  <c r="K85" i="1"/>
  <c r="Q111" i="1"/>
  <c r="Q114" i="1"/>
  <c r="N103" i="1"/>
  <c r="AC102" i="1"/>
  <c r="AC94" i="1"/>
  <c r="AD102" i="1"/>
  <c r="AD85" i="1"/>
  <c r="AD94" i="1"/>
  <c r="W102" i="1"/>
  <c r="H70" i="1"/>
  <c r="F70" i="1"/>
  <c r="E86" i="1"/>
  <c r="I70" i="1"/>
  <c r="H96" i="1"/>
  <c r="J87" i="1"/>
  <c r="V111" i="1"/>
  <c r="V114" i="1"/>
  <c r="O114" i="1"/>
  <c r="S104" i="1"/>
  <c r="R69" i="1"/>
  <c r="E104" i="1"/>
  <c r="X104" i="1"/>
  <c r="G86" i="1"/>
  <c r="AE103" i="1"/>
  <c r="V102" i="1"/>
  <c r="O87" i="1"/>
  <c r="V87" i="1"/>
  <c r="Z85" i="1"/>
  <c r="U96" i="1"/>
  <c r="AE102" i="1"/>
  <c r="Z86" i="1"/>
  <c r="R85" i="1"/>
  <c r="R86" i="1"/>
  <c r="R70" i="1"/>
  <c r="Q89" i="1"/>
  <c r="R87" i="1"/>
  <c r="AE69" i="1"/>
  <c r="F89" i="1"/>
  <c r="N89" i="1"/>
  <c r="AE70" i="1"/>
  <c r="AB68" i="1"/>
  <c r="AC111" i="1"/>
  <c r="G94" i="1"/>
  <c r="R111" i="1"/>
  <c r="R114" i="1"/>
  <c r="AE111" i="1"/>
  <c r="AC110" i="1"/>
  <c r="I64" i="1"/>
  <c r="H64" i="1"/>
  <c r="G64" i="1"/>
  <c r="F64" i="1"/>
  <c r="Z113" i="1"/>
  <c r="K102" i="1"/>
  <c r="M114" i="1"/>
  <c r="Q95" i="1"/>
  <c r="E92" i="1"/>
  <c r="J108" i="1"/>
  <c r="J111" i="1"/>
  <c r="U110" i="1"/>
  <c r="I110" i="1"/>
  <c r="T95" i="1"/>
  <c r="H103" i="1"/>
  <c r="U111" i="1"/>
  <c r="U114" i="1"/>
  <c r="J99" i="1"/>
  <c r="F110" i="1"/>
  <c r="O113" i="1"/>
  <c r="O104" i="1"/>
  <c r="S95" i="1"/>
  <c r="M113" i="1"/>
  <c r="S94" i="1"/>
  <c r="Q94" i="1"/>
  <c r="Q96" i="1"/>
  <c r="I96" i="1"/>
  <c r="I113" i="1"/>
  <c r="R107" i="1"/>
  <c r="R110" i="1"/>
  <c r="E111" i="1"/>
  <c r="E114" i="1"/>
  <c r="AA102" i="1"/>
  <c r="P70" i="1"/>
  <c r="X110" i="1"/>
  <c r="Y87" i="1"/>
  <c r="W92" i="1"/>
  <c r="X87" i="1"/>
  <c r="N69" i="1"/>
  <c r="T99" i="1"/>
  <c r="L69" i="1"/>
  <c r="L89" i="1"/>
  <c r="Q103" i="1"/>
  <c r="AC69" i="1"/>
  <c r="M102" i="1"/>
  <c r="S69" i="1"/>
  <c r="X111" i="1"/>
  <c r="Y70" i="1"/>
  <c r="AD96" i="1"/>
  <c r="X89" i="1"/>
  <c r="V85" i="1"/>
  <c r="AE104" i="1"/>
  <c r="O86" i="1"/>
  <c r="N110" i="1"/>
  <c r="N113" i="1"/>
  <c r="AC113" i="1"/>
  <c r="AB114" i="1"/>
  <c r="U94" i="1"/>
  <c r="H94" i="1"/>
  <c r="U113" i="1"/>
  <c r="I89" i="1"/>
  <c r="T113" i="1"/>
  <c r="P86" i="1"/>
  <c r="I95" i="1"/>
  <c r="F94" i="1"/>
  <c r="V94" i="1"/>
  <c r="I94" i="1"/>
  <c r="R113" i="1"/>
  <c r="AA104" i="1"/>
  <c r="AE64" i="1"/>
  <c r="AC95" i="1"/>
  <c r="AE114" i="1"/>
  <c r="S113" i="1"/>
  <c r="E96" i="1"/>
  <c r="V95" i="1"/>
  <c r="U95" i="1"/>
  <c r="E95" i="1"/>
  <c r="O94" i="1"/>
  <c r="T103" i="1"/>
  <c r="N86" i="1"/>
  <c r="AE94" i="1"/>
  <c r="W96" i="1"/>
  <c r="L85" i="1"/>
  <c r="J104" i="1"/>
  <c r="Z87" i="1"/>
  <c r="AE86" i="1"/>
  <c r="AC114" i="1"/>
  <c r="F113" i="1"/>
  <c r="J114" i="1"/>
  <c r="E94" i="1"/>
  <c r="E64" i="1"/>
  <c r="AD89" i="1"/>
  <c r="AE87" i="1"/>
  <c r="X114" i="1"/>
  <c r="X113" i="1"/>
  <c r="N87" i="1"/>
  <c r="S85" i="1"/>
  <c r="K89" i="1"/>
  <c r="AB89" i="1"/>
  <c r="S70" i="1"/>
  <c r="S87" i="1"/>
  <c r="L86" i="1"/>
  <c r="W94" i="1"/>
  <c r="J102" i="1"/>
  <c r="AC86" i="1"/>
  <c r="M89" i="1"/>
  <c r="AC70" i="1"/>
  <c r="L87" i="1"/>
  <c r="W95" i="1"/>
  <c r="T104" i="1"/>
  <c r="N70" i="1"/>
  <c r="L70" i="1"/>
  <c r="T102" i="1"/>
  <c r="N85" i="1"/>
  <c r="J103" i="1"/>
  <c r="R89" i="1"/>
  <c r="AC87" i="1"/>
  <c r="S86" i="1"/>
  <c r="AC85" i="1"/>
  <c r="AE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<sst xmlns="http://schemas.openxmlformats.org/spreadsheetml/2006/main" count="662" uniqueCount="523">
  <si>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</si>
  <si>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</si>
  <si>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</si>
  <si>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</si>
  <si>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</si>
  <si>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</si>
  <si>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</si>
  <si>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</si>
  <si>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</si>
  <si>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</si>
  <si>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</si>
  <si>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</si>
  <si>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</si>
  <si>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</si>
  <si>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</si>
  <si>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</si>
  <si>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</si>
  <si>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</si>
  <si>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</si>
  <si>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</si>
  <si>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</si>
  <si>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</si>
  <si>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</si>
  <si>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</si>
  <si>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</si>
  <si>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</si>
  <si>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</si>
  <si>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</si>
  <si>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</si>
  <si>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</si>
  <si>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</si>
  <si>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</si>
  <si>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</si>
  <si>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</si>
  <si>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</si>
  <si>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</si>
  <si>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</si>
  <si>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</si>
  <si>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</si>
  <si>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</si>
  <si>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</si>
  <si>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</si>
  <si>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</si>
  <si>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</si>
  <si>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</si>
  <si>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</si>
  <si>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</si>
  <si>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</si>
  <si>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</si>
  <si>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</si>
  <si>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</si>
  <si>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</si>
  <si>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</si>
  <si>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</si>
  <si>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</si>
  <si>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</si>
  <si>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</si>
  <si>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</si>
  <si>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</si>
  <si>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</si>
  <si>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</si>
  <si>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</si>
  <si>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</si>
  <si>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</si>
  <si>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</si>
  <si>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</si>
  <si>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</si>
  <si>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</si>
  <si>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</si>
  <si>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</si>
  <si>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</si>
  <si>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</si>
  <si>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</si>
  <si>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</si>
  <si>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</si>
  <si>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</si>
  <si>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</si>
  <si>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</si>
  <si>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</si>
  <si>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</si>
  <si>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</si>
  <si>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</si>
  <si>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</si>
  <si>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</si>
  <si>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</si>
  <si>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</si>
  <si>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</si>
  <si>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</si>
  <si>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</si>
  <si>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</si>
  <si>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</si>
  <si>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</si>
  <si>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</si>
  <si>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</si>
  <si>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</si>
  <si>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</si>
  <si>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</si>
  <si>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</si>
  <si>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</si>
  <si>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</si>
  <si>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</si>
  <si>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</si>
  <si>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</si>
  <si>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</si>
  <si>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</si>
  <si>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</si>
  <si>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</si>
  <si>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</si>
  <si>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</si>
  <si>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</si>
  <si>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</si>
  <si>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</si>
  <si>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</si>
  <si>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</si>
  <si>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</si>
  <si>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</si>
  <si>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</si>
  <si>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</si>
  <si>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</si>
  <si>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</si>
  <si>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</si>
  <si>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</si>
  <si>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</si>
  <si>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</si>
  <si>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</si>
  <si>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</si>
  <si>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</si>
  <si>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</si>
  <si>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</si>
  <si>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</si>
  <si>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</si>
  <si>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</si>
  <si>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</si>
  <si>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</si>
  <si>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</si>
  <si>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</si>
  <si>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</si>
  <si>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</si>
  <si>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</si>
  <si>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</si>
  <si>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</si>
  <si>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</si>
  <si>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</si>
  <si>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</si>
  <si>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</si>
  <si>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</si>
  <si>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</si>
  <si>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</si>
  <si>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</si>
  <si>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</si>
  <si>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</si>
  <si>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</si>
  <si>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</si>
  <si>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</si>
  <si>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</si>
  <si>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</si>
  <si>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</si>
  <si>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</si>
  <si>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</si>
  <si>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</si>
  <si>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</si>
  <si>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</si>
  <si>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</si>
  <si>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</si>
  <si>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</si>
  <si>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</si>
  <si>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</si>
  <si>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</si>
  <si>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</si>
  <si>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</si>
  <si>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</si>
  <si>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</si>
  <si>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</si>
  <si>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</si>
  <si>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</si>
  <si>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</si>
  <si>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</si>
  <si>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</si>
  <si>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</si>
  <si>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</si>
  <si>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</si>
  <si>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</si>
  <si>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</si>
  <si>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</si>
  <si>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</si>
  <si>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</si>
  <si>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</si>
  <si>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</si>
  <si>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</si>
  <si>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</si>
  <si>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</si>
  <si>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</si>
  <si>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</si>
  <si>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</si>
  <si>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</si>
  <si>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</si>
  <si>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</si>
  <si>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</si>
  <si>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</si>
  <si>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</si>
  <si>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</si>
  <si>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</si>
  <si>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</si>
  <si>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</si>
  <si>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</si>
  <si>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</si>
  <si>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</si>
  <si>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</si>
  <si>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</si>
  <si>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</si>
  <si>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</si>
  <si>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</si>
  <si>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</si>
  <si>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</si>
  <si>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</si>
  <si>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</si>
  <si>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</si>
  <si>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</si>
  <si>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</si>
  <si>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</si>
  <si>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</si>
  <si>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</si>
  <si>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</si>
  <si>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</si>
  <si>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</si>
  <si>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</si>
  <si>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</si>
  <si>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</si>
  <si>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</si>
  <si>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</si>
  <si>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</si>
  <si>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</si>
  <si>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</si>
  <si>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</si>
  <si>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</si>
  <si>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</si>
  <si>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</si>
  <si>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</si>
  <si>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</si>
  <si>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</si>
  <si>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</si>
  <si>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</si>
  <si>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</si>
  <si>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</si>
  <si>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</si>
  <si>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</si>
  <si>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</si>
  <si>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</si>
  <si>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</si>
  <si>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</si>
  <si>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</si>
  <si>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</si>
  <si>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</si>
  <si>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</si>
  <si>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</si>
  <si>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</si>
  <si>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</si>
  <si>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</si>
  <si>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</si>
  <si>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</si>
  <si>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</si>
  <si>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</si>
  <si>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</si>
  <si>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</si>
  <si>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</si>
  <si>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</si>
  <si>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</si>
  <si>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</si>
  <si>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</si>
  <si>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</si>
  <si>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</si>
  <si>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</si>
  <si>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</si>
  <si>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</si>
  <si>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</si>
  <si>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</si>
  <si>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</si>
  <si>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</si>
  <si>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</si>
  <si>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</si>
  <si>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</si>
  <si>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</si>
  <si>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</si>
  <si>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</si>
  <si>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</si>
  <si>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</si>
  <si>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</si>
  <si>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</si>
  <si>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</si>
  <si>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</si>
  <si>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</si>
  <si>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</si>
  <si>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</si>
  <si>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</si>
  <si>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</si>
  <si>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</si>
  <si>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</si>
  <si>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</si>
  <si>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</si>
  <si>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</si>
  <si>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</si>
  <si>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</si>
  <si>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</si>
  <si>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</si>
  <si>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</si>
  <si>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</si>
  <si>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</si>
  <si>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</si>
  <si>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</si>
  <si>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</si>
  <si>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</si>
  <si>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</si>
  <si>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</si>
  <si>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</si>
  <si>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</si>
  <si>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</si>
  <si>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</si>
  <si>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</si>
  <si>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</si>
  <si>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</si>
  <si>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</si>
  <si>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</si>
  <si>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</si>
  <si>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</si>
  <si>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</si>
  <si>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</si>
  <si>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</si>
  <si>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</si>
  <si>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</si>
  <si>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</si>
  <si>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</si>
  <si>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</si>
  <si>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</si>
  <si>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</si>
  <si>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</si>
  <si>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</si>
  <si>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</si>
  <si>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</si>
  <si>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</si>
  <si>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</si>
  <si>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</si>
  <si>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</si>
  <si>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</si>
  <si>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</si>
  <si>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</si>
  <si>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</si>
  <si>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</si>
  <si>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</si>
  <si>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</si>
  <si>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</si>
  <si>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</si>
  <si>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</si>
  <si>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</si>
  <si>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</si>
  <si>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</si>
  <si>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</si>
  <si>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</si>
  <si>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</si>
  <si>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</si>
  <si>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</si>
  <si>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</si>
  <si>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</si>
  <si>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</si>
  <si>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</si>
  <si>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</si>
  <si>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</si>
  <si>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</si>
  <si>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</si>
  <si>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</si>
  <si>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</si>
  <si>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</si>
  <si>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</si>
  <si>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</si>
  <si>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</si>
  <si>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</si>
  <si>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</si>
  <si>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</si>
  <si>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</si>
  <si>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</si>
  <si>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</si>
  <si>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</si>
  <si>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</si>
  <si>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</si>
  <si>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</si>
  <si>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</si>
  <si>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</si>
  <si>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</si>
  <si>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</si>
  <si>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</si>
  <si>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</si>
  <si>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</si>
  <si>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</si>
  <si>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</si>
  <si>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</si>
  <si>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</si>
  <si>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</si>
  <si>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</si>
  <si>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</si>
  <si>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</si>
  <si>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</si>
  <si>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</si>
  <si>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</si>
  <si>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</si>
  <si>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</si>
  <si>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</si>
  <si>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</si>
  <si>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</si>
  <si>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</si>
  <si>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</si>
  <si>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</si>
  <si>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</si>
  <si>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</si>
  <si>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</si>
  <si>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</si>
  <si>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</si>
  <si>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</si>
  <si>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</si>
  <si>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</si>
  <si>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</si>
  <si>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</si>
  <si>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</si>
  <si>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</si>
  <si>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</si>
  <si>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</si>
  <si>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</si>
  <si>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</si>
  <si>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</si>
  <si>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</si>
  <si>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</si>
  <si>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</si>
  <si>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</si>
  <si>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</si>
  <si>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</si>
  <si>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</si>
  <si>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</si>
  <si>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</si>
  <si>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</si>
  <si>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</si>
  <si>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</si>
  <si>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</si>
  <si>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</si>
  <si>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</si>
  <si>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</si>
  <si>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</si>
  <si>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</si>
  <si>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</si>
  <si>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</si>
  <si>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</si>
  <si>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</si>
  <si>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</si>
  <si>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</si>
  <si>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</si>
  <si>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</si>
  <si>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</si>
  <si>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</si>
  <si>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</si>
  <si>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</si>
  <si>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</si>
  <si>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</si>
  <si>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</si>
  <si>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</si>
  <si>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</si>
  <si>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</si>
  <si>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</si>
  <si>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</si>
  <si>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</si>
  <si>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</si>
  <si>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</si>
  <si>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</si>
  <si>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</si>
  <si>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</si>
  <si>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</si>
  <si>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</si>
  <si>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</si>
  <si>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</si>
  <si>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</si>
  <si>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</si>
  <si>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</si>
  <si>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</si>
  <si>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</si>
  <si>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</si>
  <si>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</si>
  <si>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</si>
  <si>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</si>
  <si>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</si>
  <si>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</si>
  <si>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</si>
  <si>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</si>
  <si>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</si>
  <si>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</si>
  <si>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</si>
  <si>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</si>
  <si>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</si>
  <si>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</si>
  <si>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</si>
  <si>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</si>
  <si>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</si>
  <si>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</si>
  <si>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</si>
  <si>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</si>
  <si>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</si>
  <si>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</si>
  <si>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</si>
  <si>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</si>
  <si>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</si>
  <si>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</si>
  <si>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</si>
  <si>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</si>
  <si>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</si>
  <si>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</si>
  <si>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</si>
  <si>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</si>
  <si>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</si>
  <si>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</si>
  <si>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</si>
  <si>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Teleservices (Maharashtra)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</si>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</sst>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Teleservices (Maharashtra)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139.22819999999999</v>
      </c>
      <c r="C8" s="25">
        <f>'Annual Raw'!D6</f>
        <v>252.5</v>
      </c>
      <c r="D8" s="25">
        <f>'Annual Raw'!E6</f>
        <v>359.59</v>
      </c>
      <c r="E8" s="25">
        <f>'Annual Raw'!F6</f>
        <v>597.5</v>
      </c>
      <c r="F8" s="25">
        <f>'Annual Raw'!G6</f>
        <v>807.47</v>
      </c>
      <c r="G8" s="25">
        <f>'Annual Raw'!H6</f>
        <v>1095.1300000000001</v>
      </c>
      <c r="H8" s="25">
        <f>'Annual Raw'!I6</f>
        <v>1406.98</v>
      </c>
      <c r="I8" s="25">
        <f>'Annual Raw'!J6</f>
        <v>1707.19</v>
      </c>
      <c r="J8" s="25">
        <f>'Annual Raw'!K6</f>
        <v>1950.13</v>
      </c>
      <c r="K8" s="25">
        <f>'Annual Raw'!L6</f>
        <v>2098.27</v>
      </c>
      <c r="L8" s="25">
        <f>'Annual Raw'!M6</f>
        <v>2265.59</v>
      </c>
      <c r="M8" s="25">
        <f>'Annual Raw'!N6</f>
        <v>2488.44</v>
      </c>
      <c r="N8" s="25">
        <f>'Annual Raw'!O6</f>
        <v>2634.54</v>
      </c>
      <c r="O8" s="25">
        <f>'Annual Raw'!P6</f>
        <v>2731.18</v>
      </c>
      <c r="P8" s="25">
        <f>'Annual Raw'!Q6</f>
        <v>2892.73</v>
      </c>
      <c r="Q8" s="25">
        <f>'Annual Raw'!R6</f>
        <v>2972.09</v>
      </c>
      <c r="R8" s="25">
        <f>'Annual Raw'!S6</f>
        <v>2702.91</v>
      </c>
      <c r="S8" s="25">
        <f>'Annual Raw'!T6</f>
        <v>1868.51</v>
      </c>
      <c r="T8" s="25">
        <f>'Annual Raw'!U6</f>
        <v>1277.2</v>
      </c>
      <c r="U8" s="25">
        <f>'Annual Raw'!V6</f>
        <v>1077.74</v>
      </c>
      <c r="V8" s="25">
        <f>'Annual Raw'!W6</f>
        <v>1043.6600000000001</v>
      </c>
      <c r="W8" s="25">
        <f>'Annual Raw'!X6</f>
        <v>1093.8</v>
      </c>
      <c r="X8" s="25">
        <f>'Annual Raw'!Y6</f>
        <v>1106.17</v>
      </c>
      <c r="Y8" s="25">
        <f>'Annual Raw'!Z6</f>
        <v>1191.6500000000001</v>
      </c>
      <c r="Z8" s="25">
        <f>'Annual Raw'!AA6</f>
        <v>1308.04</v>
      </c>
      <c r="AA8" s="25">
        <f>'Annual Raw'!AB6</f>
        <v>1160.23</v>
      </c>
      <c r="AB8" s="17">
        <f>+SUM(CM8:CP8)</f>
        <v>1043.4485832616642</v>
      </c>
      <c r="AC8" s="17">
        <f>+SUM(CQ8:CT8)</f>
        <v>941.6624490887823</v>
      </c>
      <c r="AD8" s="17">
        <f>+SUM(CU8:CX8)</f>
        <v>850.44135750127225</v>
      </c>
      <c r="AE8" s="17">
        <f>+SUM(CY8:DB8)</f>
        <v>768.16246565032679</v>
      </c>
      <c r="AI8" s="25">
        <f>'QTR Raw'!C6+'QTR Raw'!C8</f>
        <v>659.73</v>
      </c>
      <c r="AJ8" s="25">
        <f>'QTR Raw'!D6+'QTR Raw'!D8</f>
        <v>642.96999999999991</v>
      </c>
      <c r="AK8" s="25">
        <f>'QTR Raw'!E6+'QTR Raw'!E8</f>
        <v>650.90000000000009</v>
      </c>
      <c r="AL8" s="25">
        <f>'QTR Raw'!F6+'QTR Raw'!F8</f>
        <v>681.18999999999994</v>
      </c>
      <c r="AM8" s="25">
        <f>'QTR Raw'!G6+'QTR Raw'!G8</f>
        <v>687.74</v>
      </c>
      <c r="AN8" s="25">
        <f>'QTR Raw'!H6+'QTR Raw'!H8</f>
        <v>677.79</v>
      </c>
      <c r="AO8" s="25">
        <f>'QTR Raw'!I6+'QTR Raw'!I8</f>
        <v>682.16</v>
      </c>
      <c r="AP8" s="25">
        <f>'QTR Raw'!J6+'QTR Raw'!J8</f>
        <v>685.94</v>
      </c>
      <c r="AQ8" s="25">
        <f>'QTR Raw'!K6+'QTR Raw'!K8</f>
        <v>707.81</v>
      </c>
      <c r="AR8" s="25">
        <f>'QTR Raw'!L6+'QTR Raw'!L8</f>
        <v>700.33999999999992</v>
      </c>
      <c r="AS8" s="25">
        <f>'QTR Raw'!M6+'QTR Raw'!M8</f>
        <v>738.56000000000006</v>
      </c>
      <c r="AT8" s="25">
        <f>'QTR Raw'!N6+'QTR Raw'!N8</f>
        <v>746.04</v>
      </c>
      <c r="AU8" s="25">
        <f>'QTR Raw'!O6+'QTR Raw'!O8</f>
        <v>750.73</v>
      </c>
      <c r="AV8" s="25">
        <f>'QTR Raw'!P6+'QTR Raw'!P8</f>
        <v>746.64</v>
      </c>
      <c r="AW8" s="25">
        <f>'QTR Raw'!Q6+'QTR Raw'!Q8</f>
        <v>741.88</v>
      </c>
      <c r="AX8" s="25">
        <f>'QTR Raw'!R6+'QTR Raw'!R8</f>
        <v>732.84</v>
      </c>
      <c r="AY8" s="25">
        <f>'QTR Raw'!S6+'QTR Raw'!S8</f>
        <v>734.91</v>
      </c>
      <c r="AZ8" s="25">
        <f>'QTR Raw'!T6+'QTR Raw'!T8</f>
        <v>712.81</v>
      </c>
      <c r="BA8" s="25">
        <f>'QTR Raw'!U6+'QTR Raw'!U8</f>
        <v>658.66</v>
      </c>
      <c r="BB8" s="25">
        <f>'QTR Raw'!V6+'QTR Raw'!V8</f>
        <v>596.53</v>
      </c>
      <c r="BC8" s="25">
        <f>'QTR Raw'!W6+'QTR Raw'!W8</f>
        <v>553.09</v>
      </c>
      <c r="BD8" s="25">
        <f>'QTR Raw'!X6+'QTR Raw'!X8</f>
        <v>515.32000000000005</v>
      </c>
      <c r="BE8" s="25">
        <f>'QTR Raw'!Y6+'QTR Raw'!Y8</f>
        <v>418.38</v>
      </c>
      <c r="BF8" s="25">
        <f>'QTR Raw'!Z6+'QTR Raw'!Z8</f>
        <v>381.72</v>
      </c>
      <c r="BG8" s="25">
        <f>'QTR Raw'!AA6+'QTR Raw'!AA8</f>
        <v>334.45</v>
      </c>
      <c r="BH8" s="25">
        <f>'QTR Raw'!AB6+'QTR Raw'!AB8</f>
        <v>321.83999999999997</v>
      </c>
      <c r="BI8" s="25">
        <f>'QTR Raw'!AC6+'QTR Raw'!AC8</f>
        <v>305.43</v>
      </c>
      <c r="BJ8" s="25">
        <f>'QTR Raw'!AD6+'QTR Raw'!AD8</f>
        <v>315.48</v>
      </c>
      <c r="BK8" s="25">
        <f>'QTR Raw'!AE6+'QTR Raw'!AE8</f>
        <v>293.45</v>
      </c>
      <c r="BL8" s="25">
        <f>'QTR Raw'!AF6+'QTR Raw'!AF8</f>
        <v>270.35000000000002</v>
      </c>
      <c r="BM8" s="25">
        <f>'QTR Raw'!AG6+'QTR Raw'!AG8</f>
        <v>255.06</v>
      </c>
      <c r="BN8" s="25">
        <f>'QTR Raw'!AH6+'QTR Raw'!AH8</f>
        <v>258.88</v>
      </c>
      <c r="BO8" s="25">
        <f>'QTR Raw'!AI6+'QTR Raw'!AI8</f>
        <v>243.3</v>
      </c>
      <c r="BP8" s="25">
        <f>'QTR Raw'!AJ6+'QTR Raw'!AJ8</f>
        <v>256.66000000000003</v>
      </c>
      <c r="BQ8" s="25">
        <f>'QTR Raw'!AK6+'QTR Raw'!AK8</f>
        <v>278.41000000000003</v>
      </c>
      <c r="BR8" s="25">
        <f>'QTR Raw'!AL6+'QTR Raw'!AL8</f>
        <v>265.29000000000002</v>
      </c>
      <c r="BS8" s="25">
        <f>'QTR Raw'!AM6+'QTR Raw'!AM8</f>
        <v>268.02999999999997</v>
      </c>
      <c r="BT8" s="25">
        <f>'QTR Raw'!AN6+'QTR Raw'!AN8</f>
        <v>268.77</v>
      </c>
      <c r="BU8" s="25">
        <f>'QTR Raw'!AO6+'QTR Raw'!AO8</f>
        <v>284.22000000000003</v>
      </c>
      <c r="BV8" s="25">
        <f>'QTR Raw'!AP6+'QTR Raw'!AP8</f>
        <v>272.77999999999997</v>
      </c>
      <c r="BW8" s="25">
        <f>'QTR Raw'!AQ6+'QTR Raw'!AQ8</f>
        <v>266.48</v>
      </c>
      <c r="BX8" s="25">
        <f>'QTR Raw'!AR6+'QTR Raw'!AR8</f>
        <v>277.66000000000003</v>
      </c>
      <c r="BY8" s="25">
        <f>'QTR Raw'!AS6+'QTR Raw'!AS8</f>
        <v>281.89999999999998</v>
      </c>
      <c r="BZ8" s="25">
        <f>'QTR Raw'!AT6+'QTR Raw'!AT8</f>
        <v>280.13</v>
      </c>
      <c r="CA8" s="25">
        <f>'QTR Raw'!AU6+'QTR Raw'!AU8</f>
        <v>285.51</v>
      </c>
      <c r="CB8" s="25">
        <f>'QTR Raw'!AV6+'QTR Raw'!AV8</f>
        <v>286.82</v>
      </c>
      <c r="CC8" s="25">
        <f>'QTR Raw'!AW6+'QTR Raw'!AW8</f>
        <v>296.02999999999997</v>
      </c>
      <c r="CD8" s="25">
        <f>'QTR Raw'!AX6+'QTR Raw'!AX8</f>
        <v>323.29000000000002</v>
      </c>
      <c r="CE8" s="25">
        <f>'QTR Raw'!AY6+'QTR Raw'!AY8</f>
        <v>323.5</v>
      </c>
      <c r="CF8" s="25">
        <f>'QTR Raw'!AZ6+'QTR Raw'!AZ8</f>
        <v>343.5</v>
      </c>
      <c r="CG8" s="25">
        <f>'QTR Raw'!BA6+'QTR Raw'!BA8</f>
        <v>332.77</v>
      </c>
      <c r="CH8" s="25">
        <f>'QTR Raw'!BB6+'QTR Raw'!BB8</f>
        <v>308.27</v>
      </c>
      <c r="CI8" s="25">
        <f>'QTR Raw'!BC6+'QTR Raw'!BC8</f>
        <v>284.25</v>
      </c>
      <c r="CJ8" s="25">
        <f>'QTR Raw'!BD6+'QTR Raw'!BD8</f>
        <v>286.13</v>
      </c>
      <c r="CK8" s="25">
        <f>'QTR Raw'!BE6+'QTR Raw'!BE8</f>
        <v>294.31</v>
      </c>
      <c r="CL8" s="25">
        <f>'QTR Raw'!BF6+'QTR Raw'!BF8</f>
        <v>295.54000000000002</v>
      </c>
      <c r="CM8" s="17">
        <f t="shared" ref="CM8:DB8" si="33">+CI10+(CM11*CI10)</f>
        <v>252.61187250920742</v>
      </c>
      <c r="CN8" s="17">
        <f t="shared" si="33"/>
        <v>254.99975836106776</v>
      </c>
      <c r="CO8" s="17">
        <f t="shared" si="33"/>
        <v>266.57336364735971</v>
      </c>
      <c r="CP8" s="17">
        <f t="shared" si="33"/>
        <v>269.26358874402945</v>
      </c>
      <c r="CQ8" s="17">
        <f t="shared" si="33"/>
        <v>227.14517394567054</v>
      </c>
      <c r="CR8" s="17">
        <f t="shared" si="33"/>
        <v>229.96108664384317</v>
      </c>
      <c r="CS8" s="17">
        <f t="shared" si="33"/>
        <v>241.10512659946272</v>
      </c>
      <c r="CT8" s="17">
        <f t="shared" si="33"/>
        <v>243.45106189980589</v>
      </c>
      <c r="CU8" s="17">
        <f t="shared" si="33"/>
        <v>204.97539389537195</v>
      </c>
      <c r="CV8" s="17">
        <f t="shared" si="33"/>
        <v>207.70111199337947</v>
      </c>
      <c r="CW8" s="17">
        <f t="shared" si="33"/>
        <v>217.85033122544203</v>
      </c>
      <c r="CX8" s="17">
        <f t="shared" si="33"/>
        <v>219.91452038707888</v>
      </c>
      <c r="CY8" s="17">
        <f t="shared" si="33"/>
        <v>185.116851057769</v>
      </c>
      <c r="CZ8" s="17">
        <f t="shared" si="33"/>
        <v>187.61584133393725</v>
      </c>
      <c r="DA8" s="17">
        <f t="shared" si="33"/>
        <v>196.78883780472415</v>
      </c>
      <c r="DB8" s="17">
        <f t="shared" si="33"/>
        <v>198.64093545389642</v>
      </c>
      <c r="DE8" s="119"/>
      <c r="DF8" s="25">
        <v>1160.23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13.32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14.84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139.22819999999999</v>
      </c>
      <c r="C10" s="26">
        <f>+C8-C9</f>
        <v>252.5</v>
      </c>
      <c r="D10" s="26">
        <f t="shared" ref="D10:U10" si="34">+D8-D9</f>
        <v>359.59</v>
      </c>
      <c r="E10" s="26">
        <f t="shared" si="34"/>
        <v>597.5</v>
      </c>
      <c r="F10" s="26">
        <f t="shared" si="34"/>
        <v>807.47</v>
      </c>
      <c r="G10" s="26">
        <f t="shared" si="34"/>
        <v>1095.1300000000001</v>
      </c>
      <c r="H10" s="26">
        <f t="shared" si="34"/>
        <v>1406.98</v>
      </c>
      <c r="I10" s="26">
        <f t="shared" si="34"/>
        <v>1707.19</v>
      </c>
      <c r="J10" s="26">
        <f t="shared" si="34"/>
        <v>1950.13</v>
      </c>
      <c r="K10" s="26">
        <f t="shared" si="34"/>
        <v>2098.27</v>
      </c>
      <c r="L10" s="26">
        <f t="shared" si="34"/>
        <v>2265.59</v>
      </c>
      <c r="M10" s="26">
        <f t="shared" si="34"/>
        <v>2488.44</v>
      </c>
      <c r="N10" s="26">
        <f t="shared" si="34"/>
        <v>2634.54</v>
      </c>
      <c r="O10" s="26">
        <f t="shared" si="34"/>
        <v>2731.18</v>
      </c>
      <c r="P10" s="26">
        <f t="shared" si="34"/>
        <v>2892.73</v>
      </c>
      <c r="Q10" s="26">
        <f t="shared" si="34"/>
        <v>2972.09</v>
      </c>
      <c r="R10" s="26">
        <f t="shared" si="34"/>
        <v>2702.91</v>
      </c>
      <c r="S10" s="26">
        <f t="shared" si="34"/>
        <v>1868.51</v>
      </c>
      <c r="T10" s="26">
        <f t="shared" si="34"/>
        <v>1277.2</v>
      </c>
      <c r="U10" s="26">
        <f t="shared" si="34"/>
        <v>1077.74</v>
      </c>
      <c r="V10" s="26">
        <f>+V8-V9</f>
        <v>1043.6600000000001</v>
      </c>
      <c r="W10" s="26">
        <f>+W8-W9</f>
        <v>1093.8</v>
      </c>
      <c r="X10" s="26">
        <f>+X8-X9</f>
        <v>1106.17</v>
      </c>
      <c r="Y10" s="26">
        <f>+Y8-Y9</f>
        <v>1191.6500000000001</v>
      </c>
      <c r="Z10" s="26">
        <f>+Z8-Z9</f>
        <v>1308.04</v>
      </c>
      <c r="AA10" s="26">
        <f>+AA8-AA9</f>
        <v>1160.23</v>
      </c>
      <c r="AB10" s="27">
        <f t="shared" ref="AB10:AD10" si="35">+AB8-AB9</f>
        <v>1043.4485832616642</v>
      </c>
      <c r="AC10" s="27">
        <f t="shared" si="35"/>
        <v>941.6624490887823</v>
      </c>
      <c r="AD10" s="27">
        <f t="shared" si="35"/>
        <v>850.44135750127225</v>
      </c>
      <c r="AE10" s="27">
        <f t="shared" ref="AE10" si="36">+AE8-AE9</f>
        <v>768.16246565032679</v>
      </c>
      <c r="AI10" s="26">
        <f t="shared" ref="AI10" si="37">+AI8-AI9</f>
        <v>646.41</v>
      </c>
      <c r="AJ10" s="26">
        <f t="shared" ref="AJ10" si="38">+AJ8-AJ9</f>
        <v>642.96999999999991</v>
      </c>
      <c r="AK10" s="26">
        <f t="shared" ref="AK10:AM10" si="39">+AK8-AK9</f>
        <v>650.90000000000009</v>
      </c>
      <c r="AL10" s="26">
        <f t="shared" si="39"/>
        <v>681.18999999999994</v>
      </c>
      <c r="AM10" s="26">
        <f t="shared" si="39"/>
        <v>687.74</v>
      </c>
      <c r="AN10" s="26">
        <f t="shared" ref="AN10:AO10" si="40">+AN8-AN9</f>
        <v>677.79</v>
      </c>
      <c r="AO10" s="26">
        <f t="shared" si="40"/>
        <v>682.16</v>
      </c>
      <c r="AP10" s="26">
        <f t="shared" ref="AP10:AW10" si="41">+AP8-AP9</f>
        <v>685.94</v>
      </c>
      <c r="AQ10" s="26">
        <f t="shared" si="41"/>
        <v>707.81</v>
      </c>
      <c r="AR10" s="26">
        <f t="shared" si="41"/>
        <v>700.33999999999992</v>
      </c>
      <c r="AS10" s="26">
        <f t="shared" si="41"/>
        <v>738.56000000000006</v>
      </c>
      <c r="AT10" s="26">
        <f t="shared" si="41"/>
        <v>746.04</v>
      </c>
      <c r="AU10" s="26">
        <f t="shared" si="41"/>
        <v>750.73</v>
      </c>
      <c r="AV10" s="26">
        <f t="shared" si="41"/>
        <v>746.64</v>
      </c>
      <c r="AW10" s="26">
        <f t="shared" si="41"/>
        <v>741.88</v>
      </c>
      <c r="AX10" s="26">
        <f t="shared" ref="AX10:CF10" si="42">+AX8-AX9</f>
        <v>732.84</v>
      </c>
      <c r="AY10" s="26">
        <f t="shared" si="42"/>
        <v>734.91</v>
      </c>
      <c r="AZ10" s="26">
        <f t="shared" si="42"/>
        <v>712.81</v>
      </c>
      <c r="BA10" s="26">
        <f t="shared" si="42"/>
        <v>643.81999999999994</v>
      </c>
      <c r="BB10" s="26">
        <f t="shared" si="42"/>
        <v>596.53</v>
      </c>
      <c r="BC10" s="26">
        <f t="shared" si="42"/>
        <v>553.09</v>
      </c>
      <c r="BD10" s="26">
        <f t="shared" si="42"/>
        <v>515.32000000000005</v>
      </c>
      <c r="BE10" s="26">
        <f t="shared" si="42"/>
        <v>418.38</v>
      </c>
      <c r="BF10" s="26">
        <f t="shared" si="42"/>
        <v>381.72</v>
      </c>
      <c r="BG10" s="26">
        <f t="shared" si="42"/>
        <v>334.45</v>
      </c>
      <c r="BH10" s="26">
        <f t="shared" si="42"/>
        <v>321.83999999999997</v>
      </c>
      <c r="BI10" s="26">
        <f t="shared" si="42"/>
        <v>305.43</v>
      </c>
      <c r="BJ10" s="26">
        <f t="shared" si="42"/>
        <v>315.48</v>
      </c>
      <c r="BK10" s="26">
        <f t="shared" si="42"/>
        <v>293.45</v>
      </c>
      <c r="BL10" s="26">
        <f t="shared" si="42"/>
        <v>270.35000000000002</v>
      </c>
      <c r="BM10" s="26">
        <f t="shared" si="42"/>
        <v>255.06</v>
      </c>
      <c r="BN10" s="26">
        <f t="shared" si="42"/>
        <v>258.88</v>
      </c>
      <c r="BO10" s="26">
        <f t="shared" si="42"/>
        <v>243.3</v>
      </c>
      <c r="BP10" s="26">
        <f t="shared" si="42"/>
        <v>256.66000000000003</v>
      </c>
      <c r="BQ10" s="26">
        <f t="shared" si="42"/>
        <v>278.41000000000003</v>
      </c>
      <c r="BR10" s="26">
        <f t="shared" si="42"/>
        <v>265.29000000000002</v>
      </c>
      <c r="BS10" s="26">
        <f t="shared" si="42"/>
        <v>268.02999999999997</v>
      </c>
      <c r="BT10" s="26">
        <f t="shared" si="42"/>
        <v>268.77</v>
      </c>
      <c r="BU10" s="26">
        <f t="shared" si="42"/>
        <v>284.22000000000003</v>
      </c>
      <c r="BV10" s="26">
        <f t="shared" si="42"/>
        <v>272.77999999999997</v>
      </c>
      <c r="BW10" s="26">
        <f t="shared" si="42"/>
        <v>266.48</v>
      </c>
      <c r="BX10" s="26">
        <f t="shared" si="42"/>
        <v>277.66000000000003</v>
      </c>
      <c r="BY10" s="26">
        <f t="shared" si="42"/>
        <v>281.89999999999998</v>
      </c>
      <c r="BZ10" s="26">
        <f t="shared" si="42"/>
        <v>280.13</v>
      </c>
      <c r="CA10" s="26">
        <f t="shared" si="42"/>
        <v>285.51</v>
      </c>
      <c r="CB10" s="26">
        <f t="shared" si="42"/>
        <v>286.82</v>
      </c>
      <c r="CC10" s="26">
        <f t="shared" si="42"/>
        <v>296.02999999999997</v>
      </c>
      <c r="CD10" s="26">
        <f t="shared" si="42"/>
        <v>323.29000000000002</v>
      </c>
      <c r="CE10" s="26">
        <f t="shared" si="42"/>
        <v>323.5</v>
      </c>
      <c r="CF10" s="26">
        <f t="shared" si="42"/>
        <v>343.5</v>
      </c>
      <c r="CG10" s="26">
        <f t="shared" ref="CG10:CH10" si="43">+CG8-CG9</f>
        <v>332.77</v>
      </c>
      <c r="CH10" s="26">
        <f t="shared" si="43"/>
        <v>308.27</v>
      </c>
      <c r="CI10" s="26">
        <f t="shared" ref="CI10:CJ10" si="44">+CI8-CI9</f>
        <v>284.25</v>
      </c>
      <c r="CJ10" s="26">
        <f t="shared" si="44"/>
        <v>286.13</v>
      </c>
      <c r="CK10" s="26">
        <f t="shared" ref="CK10:CL10" si="45">+CK8-CK9</f>
        <v>294.31</v>
      </c>
      <c r="CL10" s="26">
        <f t="shared" si="45"/>
        <v>295.54000000000002</v>
      </c>
      <c r="CM10" s="27">
        <f t="shared" ref="CM10:DB10" si="46">+CM8-CM9</f>
        <v>252.61187250920742</v>
      </c>
      <c r="CN10" s="27">
        <f t="shared" si="46"/>
        <v>254.99975836106776</v>
      </c>
      <c r="CO10" s="27">
        <f t="shared" si="46"/>
        <v>266.57336364735971</v>
      </c>
      <c r="CP10" s="27">
        <f t="shared" si="46"/>
        <v>269.26358874402945</v>
      </c>
      <c r="CQ10" s="27">
        <f t="shared" si="46"/>
        <v>227.14517394567054</v>
      </c>
      <c r="CR10" s="27">
        <f t="shared" si="46"/>
        <v>229.96108664384317</v>
      </c>
      <c r="CS10" s="27">
        <f t="shared" si="46"/>
        <v>241.10512659946272</v>
      </c>
      <c r="CT10" s="27">
        <f t="shared" si="46"/>
        <v>243.45106189980589</v>
      </c>
      <c r="CU10" s="27">
        <f t="shared" si="46"/>
        <v>204.97539389537195</v>
      </c>
      <c r="CV10" s="27">
        <f t="shared" si="46"/>
        <v>207.70111199337947</v>
      </c>
      <c r="CW10" s="27">
        <f t="shared" si="46"/>
        <v>217.85033122544203</v>
      </c>
      <c r="CX10" s="27">
        <f t="shared" si="46"/>
        <v>219.91452038707888</v>
      </c>
      <c r="CY10" s="27">
        <f t="shared" si="46"/>
        <v>185.116851057769</v>
      </c>
      <c r="CZ10" s="27">
        <f t="shared" si="46"/>
        <v>187.61584133393725</v>
      </c>
      <c r="DA10" s="27">
        <f t="shared" si="46"/>
        <v>196.78883780472415</v>
      </c>
      <c r="DB10" s="27">
        <f t="shared" si="46"/>
        <v>198.64093545389642</v>
      </c>
      <c r="DE10" s="121"/>
      <c r="DF10" s="26">
        <v>1160.23</v>
      </c>
    </row>
    <row r="11" spans="1:110" s="39" customFormat="1" x14ac:dyDescent="0.2">
      <c r="A11" s="39" t="s">
        <v>484</v>
      </c>
      <c r="C11" s="39">
        <f t="shared" ref="C11" si="47">C10/B10-1</f>
        <v>0.81356937746807056</v>
      </c>
      <c r="D11" s="39">
        <f t="shared" ref="D11" si="48">D10/C10-1</f>
        <v>0.42411881188118805</v>
      </c>
      <c r="E11" s="39">
        <f t="shared" ref="E11" si="49">E10/D10-1</f>
        <v>0.66161461664673671</v>
      </c>
      <c r="F11" s="39">
        <f t="shared" ref="F11:R11" si="50">F10/E10-1</f>
        <v>0.35141422594142258</v>
      </c>
      <c r="G11" s="39">
        <f t="shared" si="50"/>
        <v>0.35624852935712781</v>
      </c>
      <c r="H11" s="39">
        <f t="shared" si="50"/>
        <v>0.28476071333996855</v>
      </c>
      <c r="I11" s="39">
        <f t="shared" si="50"/>
        <v>0.21337190294105102</v>
      </c>
      <c r="J11" s="39">
        <f t="shared" si="50"/>
        <v>0.1423040200563499</v>
      </c>
      <c r="K11" s="39">
        <f>K10/J10-1</f>
        <v>7.5964166491464535E-2</v>
      </c>
      <c r="L11" s="39">
        <f t="shared" si="50"/>
        <v>7.9741882598521663E-2</v>
      </c>
      <c r="M11" s="39">
        <f t="shared" si="50"/>
        <v>9.8362898847540681E-2</v>
      </c>
      <c r="N11" s="39">
        <f t="shared" si="50"/>
        <v>5.8711481892269823E-2</v>
      </c>
      <c r="O11" s="39">
        <f t="shared" si="50"/>
        <v>3.6681925497430212E-2</v>
      </c>
      <c r="P11" s="39">
        <f t="shared" si="50"/>
        <v>5.9150257397901251E-2</v>
      </c>
      <c r="Q11" s="39">
        <f t="shared" si="50"/>
        <v>2.7434292173828867E-2</v>
      </c>
      <c r="R11" s="39">
        <f t="shared" si="50"/>
        <v>-9.0569262707387854E-2</v>
      </c>
      <c r="S11" s="39">
        <f t="shared" ref="S11:AA11" si="51">S10/R10-1</f>
        <v>-0.30870432237847356</v>
      </c>
      <c r="T11" s="39">
        <f t="shared" si="51"/>
        <v>-0.31646070933524573</v>
      </c>
      <c r="U11" s="39">
        <f t="shared" si="51"/>
        <v>-0.15616974632007519</v>
      </c>
      <c r="V11" s="39">
        <f t="shared" si="51"/>
        <v>-3.1621726947130058E-2</v>
      </c>
      <c r="W11" s="39">
        <f t="shared" si="51"/>
        <v>4.8042465937182532E-2</v>
      </c>
      <c r="X11" s="39">
        <f t="shared" si="51"/>
        <v>1.1309197293838169E-2</v>
      </c>
      <c r="Y11" s="39">
        <f t="shared" si="51"/>
        <v>7.7275644792391684E-2</v>
      </c>
      <c r="Z11" s="39">
        <f t="shared" si="51"/>
        <v>9.767129610204317E-2</v>
      </c>
      <c r="AA11" s="39">
        <f t="shared" si="51"/>
        <v>-0.11300113146386959</v>
      </c>
      <c r="AB11" s="40">
        <f t="shared" ref="AB11" si="52">AB10/AA10-1</f>
        <v>-0.10065367792449409</v>
      </c>
      <c r="AC11" s="40">
        <f t="shared" ref="AC11" si="53">AC10/AB10-1</f>
        <v>-9.7547819610539599E-2</v>
      </c>
      <c r="AD11" s="40">
        <f t="shared" ref="AD11" si="54">AD10/AC10-1</f>
        <v>-9.6872389544450765E-2</v>
      </c>
      <c r="AE11" s="40">
        <f t="shared" ref="AE11" si="55">AE10/AD10-1</f>
        <v>-9.67484602262213E-2</v>
      </c>
      <c r="AM11" s="39">
        <f t="shared" ref="AM11:CI11" si="56">+IF(AI10&lt;0,1-AM10/AI10,AM10/AI10-1)</f>
        <v>6.3937748487801871E-2</v>
      </c>
      <c r="AN11" s="39">
        <f t="shared" si="56"/>
        <v>5.4154937244350609E-2</v>
      </c>
      <c r="AO11" s="39">
        <f t="shared" si="56"/>
        <v>4.8025810416346459E-2</v>
      </c>
      <c r="AP11" s="39">
        <f t="shared" si="56"/>
        <v>6.9730912080332441E-3</v>
      </c>
      <c r="AQ11" s="39">
        <f t="shared" si="56"/>
        <v>2.9182539913339189E-2</v>
      </c>
      <c r="AR11" s="39">
        <f t="shared" si="56"/>
        <v>3.3269891854409206E-2</v>
      </c>
      <c r="AS11" s="39">
        <f t="shared" si="56"/>
        <v>8.2678550486689373E-2</v>
      </c>
      <c r="AT11" s="39">
        <f t="shared" si="56"/>
        <v>8.7616992739889543E-2</v>
      </c>
      <c r="AU11" s="39">
        <f t="shared" si="56"/>
        <v>6.0637741766858433E-2</v>
      </c>
      <c r="AV11" s="39">
        <f t="shared" si="56"/>
        <v>6.6110746208984272E-2</v>
      </c>
      <c r="AW11" s="39">
        <f t="shared" si="56"/>
        <v>4.4952339688040244E-3</v>
      </c>
      <c r="AX11" s="39">
        <f t="shared" si="56"/>
        <v>-1.7693421264275311E-2</v>
      </c>
      <c r="AY11" s="39">
        <f t="shared" si="56"/>
        <v>-2.1072822452812612E-2</v>
      </c>
      <c r="AZ11" s="39">
        <f t="shared" si="56"/>
        <v>-4.5309653916211334E-2</v>
      </c>
      <c r="BA11" s="39">
        <f t="shared" si="56"/>
        <v>-0.13217771068097273</v>
      </c>
      <c r="BB11" s="39">
        <f t="shared" si="56"/>
        <v>-0.18600240161563242</v>
      </c>
      <c r="BC11" s="39">
        <f t="shared" si="56"/>
        <v>-0.24740444408158813</v>
      </c>
      <c r="BD11" s="39">
        <f t="shared" si="56"/>
        <v>-0.27705840265989523</v>
      </c>
      <c r="BE11" s="39">
        <f t="shared" si="56"/>
        <v>-0.3501599826038333</v>
      </c>
      <c r="BF11" s="39">
        <f t="shared" si="56"/>
        <v>-0.36009924060818388</v>
      </c>
      <c r="BG11" s="39">
        <f t="shared" si="56"/>
        <v>-0.39530636966858923</v>
      </c>
      <c r="BH11" s="39">
        <f t="shared" si="56"/>
        <v>-0.37545602732282868</v>
      </c>
      <c r="BI11" s="39">
        <f t="shared" si="56"/>
        <v>-0.26996988383765952</v>
      </c>
      <c r="BJ11" s="39">
        <f t="shared" si="56"/>
        <v>-0.17353033637221005</v>
      </c>
      <c r="BK11" s="39">
        <f t="shared" si="56"/>
        <v>-0.12258932575870829</v>
      </c>
      <c r="BL11" s="39">
        <f t="shared" si="56"/>
        <v>-0.15998632861048956</v>
      </c>
      <c r="BM11" s="39">
        <f t="shared" si="56"/>
        <v>-0.16491503781553873</v>
      </c>
      <c r="BN11" s="39">
        <f t="shared" si="56"/>
        <v>-0.17940915430455184</v>
      </c>
      <c r="BO11" s="39">
        <f t="shared" si="56"/>
        <v>-0.17089793831998634</v>
      </c>
      <c r="BP11" s="39">
        <f t="shared" si="56"/>
        <v>-5.0638061771777321E-2</v>
      </c>
      <c r="BQ11" s="39">
        <f t="shared" si="56"/>
        <v>9.1547086959931079E-2</v>
      </c>
      <c r="BR11" s="39">
        <f t="shared" si="56"/>
        <v>2.4760506798516824E-2</v>
      </c>
      <c r="BS11" s="39">
        <f t="shared" si="56"/>
        <v>0.10164406083025046</v>
      </c>
      <c r="BT11" s="39">
        <f t="shared" si="56"/>
        <v>4.7183043715421036E-2</v>
      </c>
      <c r="BU11" s="39">
        <f t="shared" si="56"/>
        <v>2.0868503286519902E-2</v>
      </c>
      <c r="BV11" s="39">
        <f t="shared" si="56"/>
        <v>2.8233254174676592E-2</v>
      </c>
      <c r="BW11" s="39">
        <f t="shared" si="56"/>
        <v>-5.7829347461103575E-3</v>
      </c>
      <c r="BX11" s="39">
        <f t="shared" si="56"/>
        <v>3.3076608252409212E-2</v>
      </c>
      <c r="BY11" s="39">
        <f t="shared" si="56"/>
        <v>-8.1626908732673753E-3</v>
      </c>
      <c r="BZ11" s="39">
        <f t="shared" si="56"/>
        <v>2.6944790673803176E-2</v>
      </c>
      <c r="CA11" s="39">
        <f t="shared" si="56"/>
        <v>7.1412488742119473E-2</v>
      </c>
      <c r="CB11" s="39">
        <f t="shared" si="56"/>
        <v>3.2989987754807881E-2</v>
      </c>
      <c r="CC11" s="39">
        <f t="shared" si="56"/>
        <v>5.0124157502660527E-2</v>
      </c>
      <c r="CD11" s="39">
        <f t="shared" si="56"/>
        <v>0.15407132402812995</v>
      </c>
      <c r="CE11" s="39">
        <f t="shared" si="56"/>
        <v>0.13306013799866911</v>
      </c>
      <c r="CF11" s="39">
        <f t="shared" si="56"/>
        <v>0.19761522906352424</v>
      </c>
      <c r="CG11" s="39">
        <f t="shared" si="56"/>
        <v>0.12410904300239856</v>
      </c>
      <c r="CH11" s="39">
        <f t="shared" si="56"/>
        <v>-4.64598348232238E-2</v>
      </c>
      <c r="CI11" s="39">
        <f t="shared" si="56"/>
        <v>-0.12132921174652245</v>
      </c>
      <c r="CJ11" s="39">
        <f>+IF(CF10&lt;0,1-CJ10/CF10,CJ10/CF10-1)</f>
        <v>-0.1670160116448326</v>
      </c>
      <c r="CK11" s="39">
        <f>+IF(CG10&lt;0,1-CK10/CG10,CK10/CG10-1)</f>
        <v>-0.11557532229467793</v>
      </c>
      <c r="CL11" s="39">
        <f>+IF(CH10&lt;0,1-CL10/CH10,CL10/CH10-1)</f>
        <v>-4.1294968696272583E-2</v>
      </c>
      <c r="CM11" s="40">
        <f t="shared" ref="CM11" si="57">+AVERAGE(CI11:CL11)</f>
        <v>-0.11130387859557639</v>
      </c>
      <c r="CN11" s="40">
        <f t="shared" ref="CN11" si="58">+AVERAGE(CJ11:CM11)</f>
        <v>-0.10879754530783987</v>
      </c>
      <c r="CO11" s="40">
        <f t="shared" ref="CO11" si="59">+AVERAGE(CK11:CN11)</f>
        <v>-9.424292872359169E-2</v>
      </c>
      <c r="CP11" s="40">
        <f t="shared" ref="CP11" si="60">+AVERAGE(CL11:CO11)</f>
        <v>-8.890983033082013E-2</v>
      </c>
      <c r="CQ11" s="40">
        <f t="shared" ref="CQ11" si="61">+AVERAGE(CM11:CP11)</f>
        <v>-0.10081354573945701</v>
      </c>
      <c r="CR11" s="40">
        <f t="shared" ref="CR11" si="62">+AVERAGE(CN11:CQ11)</f>
        <v>-9.8190962525427167E-2</v>
      </c>
      <c r="CS11" s="40">
        <f t="shared" ref="CS11" si="63">+AVERAGE(CO11:CR11)</f>
        <v>-9.5539316829824E-2</v>
      </c>
      <c r="CT11" s="40">
        <f t="shared" ref="CT11" si="64">+AVERAGE(CP11:CS11)</f>
        <v>-9.5863413856382085E-2</v>
      </c>
      <c r="CU11" s="40">
        <f t="shared" ref="CU11" si="65">+AVERAGE(CQ11:CT11)</f>
        <v>-9.7601809737772577E-2</v>
      </c>
      <c r="CV11" s="40">
        <f t="shared" ref="CV11" si="66">+AVERAGE(CR11:CU11)</f>
        <v>-9.6798875737351464E-2</v>
      </c>
      <c r="CW11" s="40">
        <f t="shared" ref="CW11" si="67">+AVERAGE(CS11:CV11)</f>
        <v>-9.6450854040332532E-2</v>
      </c>
      <c r="CX11" s="40">
        <f t="shared" ref="CX11" si="68">+AVERAGE(CT11:CW11)</f>
        <v>-9.6678738342959661E-2</v>
      </c>
      <c r="CY11" s="40">
        <f t="shared" ref="CY11" si="69">+AVERAGE(CU11:CX11)</f>
        <v>-9.6882569464604051E-2</v>
      </c>
      <c r="CZ11" s="40">
        <f t="shared" ref="CZ11" si="70">+AVERAGE(CV11:CY11)</f>
        <v>-9.6702759396311927E-2</v>
      </c>
      <c r="DA11" s="40">
        <f t="shared" ref="DA11" si="71">+AVERAGE(CW11:CZ11)</f>
        <v>-9.6678730311052036E-2</v>
      </c>
      <c r="DB11" s="40">
        <f t="shared" ref="DB11" si="72">+AVERAGE(CX11:DA11)</f>
        <v>-9.6735699378731915E-2</v>
      </c>
      <c r="DE11" s="122"/>
      <c r="DF11" s="39">
        <v>-0.11300113146386959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-5.3216998499405754E-3</v>
      </c>
      <c r="AK12" s="39">
        <f t="shared" si="73"/>
        <v>1.2333390360359298E-2</v>
      </c>
      <c r="AL12" s="39">
        <f t="shared" si="73"/>
        <v>4.6535566139191742E-2</v>
      </c>
      <c r="AM12" s="39">
        <f t="shared" ref="AM12:CI12" si="74">+IF(AL10&lt;0,1-AM10/AL10,AM10/AL10-1)</f>
        <v>9.6155257710772712E-3</v>
      </c>
      <c r="AN12" s="39">
        <f t="shared" si="74"/>
        <v>-1.4467676738302293E-2</v>
      </c>
      <c r="AO12" s="39">
        <f t="shared" si="74"/>
        <v>6.4474247185706268E-3</v>
      </c>
      <c r="AP12" s="39">
        <f t="shared" si="74"/>
        <v>5.5412220007038382E-3</v>
      </c>
      <c r="AQ12" s="39">
        <f t="shared" si="74"/>
        <v>3.1883255095197738E-2</v>
      </c>
      <c r="AR12" s="39">
        <f t="shared" si="74"/>
        <v>-1.0553679659795701E-2</v>
      </c>
      <c r="AS12" s="39">
        <f t="shared" si="74"/>
        <v>5.4573492874889551E-2</v>
      </c>
      <c r="AT12" s="39">
        <f t="shared" si="74"/>
        <v>1.0127816291161107E-2</v>
      </c>
      <c r="AU12" s="39">
        <f t="shared" si="74"/>
        <v>6.2865261916251747E-3</v>
      </c>
      <c r="AV12" s="39">
        <f t="shared" si="74"/>
        <v>-5.4480305835653553E-3</v>
      </c>
      <c r="AW12" s="39">
        <f t="shared" si="74"/>
        <v>-6.3752276867030666E-3</v>
      </c>
      <c r="AX12" s="39">
        <f t="shared" si="74"/>
        <v>-1.2185259071547883E-2</v>
      </c>
      <c r="AY12" s="39">
        <f t="shared" si="74"/>
        <v>2.8246274766661195E-3</v>
      </c>
      <c r="AZ12" s="39">
        <f t="shared" si="74"/>
        <v>-3.0071709461022444E-2</v>
      </c>
      <c r="BA12" s="39">
        <f t="shared" si="74"/>
        <v>-9.6785959792932252E-2</v>
      </c>
      <c r="BB12" s="39">
        <f t="shared" si="74"/>
        <v>-7.3452207138641201E-2</v>
      </c>
      <c r="BC12" s="39">
        <f t="shared" si="74"/>
        <v>-7.2821148978257533E-2</v>
      </c>
      <c r="BD12" s="39">
        <f t="shared" si="74"/>
        <v>-6.8289066878808091E-2</v>
      </c>
      <c r="BE12" s="39">
        <f t="shared" si="74"/>
        <v>-0.18811612202126837</v>
      </c>
      <c r="BF12" s="39">
        <f t="shared" si="74"/>
        <v>-8.7623691381041091E-2</v>
      </c>
      <c r="BG12" s="39">
        <f t="shared" si="74"/>
        <v>-0.12383422403856237</v>
      </c>
      <c r="BH12" s="39">
        <f t="shared" si="74"/>
        <v>-3.7703692629690533E-2</v>
      </c>
      <c r="BI12" s="39">
        <f t="shared" si="74"/>
        <v>-5.0988068605518189E-2</v>
      </c>
      <c r="BJ12" s="39">
        <f t="shared" si="74"/>
        <v>3.2904429820253434E-2</v>
      </c>
      <c r="BK12" s="39">
        <f t="shared" si="74"/>
        <v>-6.9830100164828268E-2</v>
      </c>
      <c r="BL12" s="39">
        <f t="shared" si="74"/>
        <v>-7.8718691429544907E-2</v>
      </c>
      <c r="BM12" s="39">
        <f t="shared" si="74"/>
        <v>-5.6556315886813424E-2</v>
      </c>
      <c r="BN12" s="39">
        <f t="shared" si="74"/>
        <v>1.4976868187877246E-2</v>
      </c>
      <c r="BO12" s="39">
        <f t="shared" si="74"/>
        <v>-6.018232385661304E-2</v>
      </c>
      <c r="BP12" s="39">
        <f t="shared" si="74"/>
        <v>5.4911631730374166E-2</v>
      </c>
      <c r="BQ12" s="39">
        <f t="shared" si="74"/>
        <v>8.4742460843138856E-2</v>
      </c>
      <c r="BR12" s="39">
        <f t="shared" si="74"/>
        <v>-4.7124744082468362E-2</v>
      </c>
      <c r="BS12" s="39">
        <f t="shared" si="74"/>
        <v>1.0328319951750764E-2</v>
      </c>
      <c r="BT12" s="39">
        <f t="shared" si="74"/>
        <v>2.7608849755624831E-3</v>
      </c>
      <c r="BU12" s="39">
        <f t="shared" si="74"/>
        <v>5.7484094206943004E-2</v>
      </c>
      <c r="BV12" s="39">
        <f t="shared" si="74"/>
        <v>-4.0250510168179821E-2</v>
      </c>
      <c r="BW12" s="39">
        <f t="shared" si="74"/>
        <v>-2.3095534863259659E-2</v>
      </c>
      <c r="BX12" s="39">
        <f t="shared" si="74"/>
        <v>4.1954368057640412E-2</v>
      </c>
      <c r="BY12" s="39">
        <f t="shared" si="74"/>
        <v>1.5270474681264634E-2</v>
      </c>
      <c r="BZ12" s="39">
        <f t="shared" si="74"/>
        <v>-6.2788222774032842E-3</v>
      </c>
      <c r="CA12" s="39">
        <f t="shared" si="74"/>
        <v>1.9205368935851119E-2</v>
      </c>
      <c r="CB12" s="39">
        <f t="shared" si="74"/>
        <v>4.5882806206438698E-3</v>
      </c>
      <c r="CC12" s="39">
        <f t="shared" si="74"/>
        <v>3.2110731469214171E-2</v>
      </c>
      <c r="CD12" s="39">
        <f t="shared" si="74"/>
        <v>9.2085261628889192E-2</v>
      </c>
      <c r="CE12" s="39">
        <f t="shared" si="74"/>
        <v>6.4957159206890935E-4</v>
      </c>
      <c r="CF12" s="39">
        <f t="shared" si="74"/>
        <v>6.1823802163833097E-2</v>
      </c>
      <c r="CG12" s="39">
        <f t="shared" si="74"/>
        <v>-3.123726346433775E-2</v>
      </c>
      <c r="CH12" s="39">
        <f t="shared" si="74"/>
        <v>-7.362442527872104E-2</v>
      </c>
      <c r="CI12" s="39">
        <f t="shared" si="74"/>
        <v>-7.7918707626431272E-2</v>
      </c>
      <c r="CJ12" s="39">
        <f>+IF(CI10&lt;0,1-CJ10/CI10,CJ10/CI10-1)</f>
        <v>6.6138962181179206E-3</v>
      </c>
      <c r="CK12" s="39">
        <f>+IF(CJ10&lt;0,1-CK10/CJ10,CK10/CJ10-1)</f>
        <v>2.8588403872365831E-2</v>
      </c>
      <c r="CL12" s="39">
        <f>+IF(CK10&lt;0,1-CL10/CK10,CL10/CK10-1)</f>
        <v>4.1792667595392796E-3</v>
      </c>
      <c r="CM12" s="40">
        <f t="shared" ref="CM12" si="75">+CM10/CL10-1</f>
        <v>-0.14525318904646611</v>
      </c>
      <c r="CN12" s="40">
        <f t="shared" ref="CN12" si="76">+CN10/CM10-1</f>
        <v>9.4527855248502934E-3</v>
      </c>
      <c r="CO12" s="40">
        <f t="shared" ref="CO12" si="77">+CO10/CN10-1</f>
        <v>4.5386730405855058E-2</v>
      </c>
      <c r="CP12" s="40">
        <f t="shared" ref="CP12" si="78">+CP10/CO10-1</f>
        <v>1.0091875121583938E-2</v>
      </c>
      <c r="CQ12" s="40">
        <f t="shared" ref="CQ12" si="79">+CQ10/CP10-1</f>
        <v>-0.15642075853931381</v>
      </c>
      <c r="CR12" s="40">
        <f t="shared" ref="CR12" si="80">+CR10/CQ10-1</f>
        <v>1.23969734828977E-2</v>
      </c>
      <c r="CS12" s="40">
        <f t="shared" ref="CS12" si="81">+CS10/CR10-1</f>
        <v>4.8460546600560761E-2</v>
      </c>
      <c r="CT12" s="40">
        <f t="shared" ref="CT12" si="82">+CT10/CS10-1</f>
        <v>9.7299270796524784E-3</v>
      </c>
      <c r="CU12" s="40">
        <f t="shared" ref="CU12" si="83">+CU10/CT10-1</f>
        <v>-0.15804271997905228</v>
      </c>
      <c r="CV12" s="40">
        <f t="shared" ref="CV12" si="84">+CV10/CU10-1</f>
        <v>1.3297781973766298E-2</v>
      </c>
      <c r="CW12" s="40">
        <f t="shared" ref="CW12" si="85">+CW10/CV10-1</f>
        <v>4.8864539696764187E-2</v>
      </c>
      <c r="CX12" s="40">
        <f t="shared" ref="CX12" si="86">+CX10/CW10-1</f>
        <v>9.475262901945003E-3</v>
      </c>
      <c r="CY12" s="40">
        <f t="shared" ref="CY12" si="87">+CY10/CX10-1</f>
        <v>-0.1582327045438443</v>
      </c>
      <c r="CZ12" s="40">
        <f t="shared" ref="CZ12" si="88">+CZ10/CY10-1</f>
        <v>1.3499528875350109E-2</v>
      </c>
      <c r="DA12" s="40">
        <f t="shared" ref="DA12" si="89">+DA10/CZ10-1</f>
        <v>4.8892441094352534E-2</v>
      </c>
      <c r="DB12" s="40">
        <f t="shared" ref="DB12" si="90">+DB10/DA10-1</f>
        <v>9.4115991020289336E-3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-2.2200000000000002</v>
      </c>
      <c r="I13" s="23">
        <f>'Annual Raw'!J11</f>
        <v>0</v>
      </c>
      <c r="J13" s="23">
        <f>'Annual Raw'!K11</f>
        <v>0.21</v>
      </c>
      <c r="K13" s="23">
        <f>'Annual Raw'!L11</f>
        <v>-4.3899999999999997</v>
      </c>
      <c r="L13" s="23">
        <f>'Annual Raw'!M11</f>
        <v>2.62</v>
      </c>
      <c r="M13" s="23">
        <f>'Annual Raw'!N11</f>
        <v>-0.03</v>
      </c>
      <c r="N13" s="23">
        <f>'Annual Raw'!O11</f>
        <v>0.62</v>
      </c>
      <c r="O13" s="23">
        <f>'Annual Raw'!P11</f>
        <v>-1.25</v>
      </c>
      <c r="P13" s="23">
        <f>'Annual Raw'!Q11</f>
        <v>-7.98</v>
      </c>
      <c r="Q13" s="23">
        <f>'Annual Raw'!R11</f>
        <v>7.74</v>
      </c>
      <c r="R13" s="23">
        <f>'Annual Raw'!S11</f>
        <v>2.6</v>
      </c>
      <c r="S13" s="23">
        <f>'Annual Raw'!T11</f>
        <v>1.1000000000000001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5.58</v>
      </c>
      <c r="I15" s="23">
        <f>'Annual Raw'!J12</f>
        <v>7.8</v>
      </c>
      <c r="J15" s="23">
        <f>'Annual Raw'!K12</f>
        <v>9.15</v>
      </c>
      <c r="K15" s="23">
        <f>'Annual Raw'!L12</f>
        <v>27.37</v>
      </c>
      <c r="L15" s="23">
        <f>'Annual Raw'!M12</f>
        <v>19.579999999999998</v>
      </c>
      <c r="M15" s="23">
        <f>'Annual Raw'!N12</f>
        <v>13.91</v>
      </c>
      <c r="N15" s="23">
        <f>'Annual Raw'!O12</f>
        <v>11.45</v>
      </c>
      <c r="O15" s="23">
        <f>'Annual Raw'!P12</f>
        <v>19.27</v>
      </c>
      <c r="P15" s="23">
        <f>'Annual Raw'!Q12</f>
        <v>53.54</v>
      </c>
      <c r="Q15" s="23">
        <f>'Annual Raw'!R12</f>
        <v>24.66</v>
      </c>
      <c r="R15" s="23">
        <f>'Annual Raw'!S12</f>
        <v>5.67</v>
      </c>
      <c r="S15" s="23">
        <f>'Annual Raw'!T12</f>
        <v>1.21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7.89</v>
      </c>
      <c r="AR15" s="23">
        <f>'QTR Raw'!L11</f>
        <v>10.73</v>
      </c>
      <c r="AS15" s="23">
        <f>'QTR Raw'!M11</f>
        <v>9.16</v>
      </c>
      <c r="AT15" s="23">
        <f>'QTR Raw'!N11</f>
        <v>4.92</v>
      </c>
      <c r="AU15" s="23">
        <f>'QTR Raw'!O11</f>
        <v>5.15</v>
      </c>
      <c r="AV15" s="23">
        <f>'QTR Raw'!P11</f>
        <v>5.43</v>
      </c>
      <c r="AW15" s="23">
        <f>'QTR Raw'!Q11</f>
        <v>3.45</v>
      </c>
      <c r="AX15" s="23">
        <f>'QTR Raw'!R11</f>
        <v>3.64</v>
      </c>
      <c r="AY15" s="23">
        <f>'QTR Raw'!S11</f>
        <v>3.47</v>
      </c>
      <c r="AZ15" s="23">
        <f>'QTR Raw'!T11</f>
        <v>2.62</v>
      </c>
      <c r="BA15" s="23">
        <f>'QTR Raw'!U11</f>
        <v>1.18</v>
      </c>
      <c r="BB15" s="23">
        <f>'QTR Raw'!V11</f>
        <v>1</v>
      </c>
      <c r="BC15" s="23">
        <f>'QTR Raw'!W11</f>
        <v>0.52</v>
      </c>
      <c r="BD15" s="23">
        <f>'QTR Raw'!X11</f>
        <v>1.28</v>
      </c>
      <c r="BE15" s="23">
        <f>'QTR Raw'!Y11</f>
        <v>0.09</v>
      </c>
      <c r="BF15" s="23">
        <f>'QTR Raw'!Z11</f>
        <v>0.42</v>
      </c>
      <c r="BG15" s="23">
        <f>'QTR Raw'!AA11</f>
        <v>0.37</v>
      </c>
      <c r="BH15" s="23">
        <f>'QTR Raw'!AB11</f>
        <v>0.02</v>
      </c>
      <c r="BI15" s="23">
        <f>'QTR Raw'!AC11</f>
        <v>0.16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139.22819999999999</v>
      </c>
      <c r="C16" s="31">
        <f t="shared" si="92"/>
        <v>252.5</v>
      </c>
      <c r="D16" s="31">
        <f t="shared" si="92"/>
        <v>359.59</v>
      </c>
      <c r="E16" s="31">
        <f t="shared" si="92"/>
        <v>597.5</v>
      </c>
      <c r="F16" s="31">
        <f t="shared" si="92"/>
        <v>807.47</v>
      </c>
      <c r="G16" s="31">
        <f t="shared" si="92"/>
        <v>1095.1300000000001</v>
      </c>
      <c r="H16" s="31">
        <f t="shared" si="92"/>
        <v>1403.6200000000001</v>
      </c>
      <c r="I16" s="31">
        <f t="shared" si="92"/>
        <v>1699.39</v>
      </c>
      <c r="J16" s="31">
        <f t="shared" si="92"/>
        <v>1940.77</v>
      </c>
      <c r="K16" s="31">
        <f t="shared" si="92"/>
        <v>2075.29</v>
      </c>
      <c r="L16" s="31">
        <f t="shared" si="92"/>
        <v>2243.3900000000003</v>
      </c>
      <c r="M16" s="31">
        <f t="shared" si="92"/>
        <v>2474.5600000000004</v>
      </c>
      <c r="N16" s="31">
        <f t="shared" si="92"/>
        <v>2622.4700000000003</v>
      </c>
      <c r="O16" s="31">
        <f t="shared" si="92"/>
        <v>2713.16</v>
      </c>
      <c r="P16" s="31">
        <f t="shared" si="92"/>
        <v>2847.17</v>
      </c>
      <c r="Q16" s="31">
        <f t="shared" si="92"/>
        <v>2939.6900000000005</v>
      </c>
      <c r="R16" s="31">
        <f t="shared" si="92"/>
        <v>2694.64</v>
      </c>
      <c r="S16" s="31">
        <f t="shared" si="92"/>
        <v>1866.2</v>
      </c>
      <c r="T16" s="31">
        <f t="shared" si="92"/>
        <v>1277.2</v>
      </c>
      <c r="U16" s="31">
        <f t="shared" ref="U16:Z16" si="93">U10-U13-U15-U14</f>
        <v>1077.74</v>
      </c>
      <c r="V16" s="31">
        <f t="shared" si="93"/>
        <v>1043.6600000000001</v>
      </c>
      <c r="W16" s="31">
        <f t="shared" si="93"/>
        <v>1093.8</v>
      </c>
      <c r="X16" s="31">
        <f t="shared" si="93"/>
        <v>1106.17</v>
      </c>
      <c r="Y16" s="31">
        <f t="shared" si="93"/>
        <v>1191.6500000000001</v>
      </c>
      <c r="Z16" s="31">
        <f t="shared" si="93"/>
        <v>1308.04</v>
      </c>
      <c r="AA16" s="31">
        <f t="shared" ref="AA16" si="94">AA10-AA13-AA15-AA14</f>
        <v>1160.23</v>
      </c>
      <c r="AB16" s="32">
        <f t="shared" ref="AA16:AD16" si="95">AB10-AB13-AB15-AB14</f>
        <v>1043.4485832616642</v>
      </c>
      <c r="AC16" s="32">
        <f t="shared" si="95"/>
        <v>941.6624490887823</v>
      </c>
      <c r="AD16" s="32">
        <f t="shared" si="95"/>
        <v>850.44135750127225</v>
      </c>
      <c r="AE16" s="32">
        <f t="shared" ref="AE16" si="96">AE10-AE13-AE15-AE14</f>
        <v>768.16246565032679</v>
      </c>
      <c r="AI16" s="31">
        <f t="shared" ref="AI16" si="97">AI10-AI13-AI15-AI14</f>
        <v>646.41</v>
      </c>
      <c r="AJ16" s="31">
        <f t="shared" ref="AJ16" si="98">AJ10-AJ13-AJ15-AJ14</f>
        <v>642.96999999999991</v>
      </c>
      <c r="AK16" s="31">
        <f t="shared" ref="AK16:AM16" si="99">AK10-AK13-AK15-AK14</f>
        <v>650.90000000000009</v>
      </c>
      <c r="AL16" s="31">
        <f t="shared" si="99"/>
        <v>681.18999999999994</v>
      </c>
      <c r="AM16" s="31">
        <f t="shared" si="99"/>
        <v>687.74</v>
      </c>
      <c r="AN16" s="31">
        <f t="shared" ref="AN16:AO16" si="100">AN10-AN13-AN15-AN14</f>
        <v>677.79</v>
      </c>
      <c r="AO16" s="31">
        <f t="shared" si="100"/>
        <v>682.16</v>
      </c>
      <c r="AP16" s="31">
        <f t="shared" ref="AP16:CD16" si="101">AP10-AP13-AP15-AP14</f>
        <v>685.94</v>
      </c>
      <c r="AQ16" s="31">
        <f t="shared" si="101"/>
        <v>699.92</v>
      </c>
      <c r="AR16" s="31">
        <f t="shared" si="101"/>
        <v>689.6099999999999</v>
      </c>
      <c r="AS16" s="31">
        <f t="shared" si="101"/>
        <v>729.40000000000009</v>
      </c>
      <c r="AT16" s="31">
        <f t="shared" si="101"/>
        <v>741.12</v>
      </c>
      <c r="AU16" s="31">
        <f t="shared" si="101"/>
        <v>745.58</v>
      </c>
      <c r="AV16" s="31">
        <f t="shared" si="101"/>
        <v>741.21</v>
      </c>
      <c r="AW16" s="31">
        <f t="shared" si="101"/>
        <v>738.43</v>
      </c>
      <c r="AX16" s="31">
        <f t="shared" si="101"/>
        <v>729.2</v>
      </c>
      <c r="AY16" s="31">
        <f t="shared" si="101"/>
        <v>731.43999999999994</v>
      </c>
      <c r="AZ16" s="31">
        <f t="shared" si="101"/>
        <v>710.18999999999994</v>
      </c>
      <c r="BA16" s="31">
        <f t="shared" si="101"/>
        <v>642.64</v>
      </c>
      <c r="BB16" s="31">
        <f t="shared" si="101"/>
        <v>595.53</v>
      </c>
      <c r="BC16" s="31">
        <f t="shared" si="101"/>
        <v>552.57000000000005</v>
      </c>
      <c r="BD16" s="31">
        <f t="shared" si="101"/>
        <v>514.04000000000008</v>
      </c>
      <c r="BE16" s="31">
        <f t="shared" si="101"/>
        <v>418.29</v>
      </c>
      <c r="BF16" s="31">
        <f t="shared" si="101"/>
        <v>381.3</v>
      </c>
      <c r="BG16" s="31">
        <f t="shared" si="101"/>
        <v>334.08</v>
      </c>
      <c r="BH16" s="31">
        <f t="shared" si="101"/>
        <v>321.82</v>
      </c>
      <c r="BI16" s="31">
        <f t="shared" si="101"/>
        <v>305.27</v>
      </c>
      <c r="BJ16" s="31">
        <f t="shared" si="101"/>
        <v>315.48</v>
      </c>
      <c r="BK16" s="31">
        <f t="shared" si="101"/>
        <v>293.45</v>
      </c>
      <c r="BL16" s="31">
        <f t="shared" si="101"/>
        <v>270.35000000000002</v>
      </c>
      <c r="BM16" s="31">
        <f t="shared" si="101"/>
        <v>255.06</v>
      </c>
      <c r="BN16" s="31">
        <f t="shared" si="101"/>
        <v>258.88</v>
      </c>
      <c r="BO16" s="31">
        <f t="shared" si="101"/>
        <v>243.3</v>
      </c>
      <c r="BP16" s="31">
        <f t="shared" si="101"/>
        <v>256.66000000000003</v>
      </c>
      <c r="BQ16" s="31">
        <f t="shared" si="101"/>
        <v>278.41000000000003</v>
      </c>
      <c r="BR16" s="31">
        <f t="shared" si="101"/>
        <v>265.29000000000002</v>
      </c>
      <c r="BS16" s="31">
        <f t="shared" si="101"/>
        <v>268.02999999999997</v>
      </c>
      <c r="BT16" s="31">
        <f t="shared" si="101"/>
        <v>268.77</v>
      </c>
      <c r="BU16" s="31">
        <f t="shared" si="101"/>
        <v>284.22000000000003</v>
      </c>
      <c r="BV16" s="31">
        <f t="shared" si="101"/>
        <v>272.77999999999997</v>
      </c>
      <c r="BW16" s="31">
        <f t="shared" si="101"/>
        <v>266.48</v>
      </c>
      <c r="BX16" s="31">
        <f t="shared" si="101"/>
        <v>277.66000000000003</v>
      </c>
      <c r="BY16" s="31">
        <f t="shared" si="101"/>
        <v>281.89999999999998</v>
      </c>
      <c r="BZ16" s="31">
        <f t="shared" si="101"/>
        <v>280.13</v>
      </c>
      <c r="CA16" s="31">
        <f t="shared" si="101"/>
        <v>285.51</v>
      </c>
      <c r="CB16" s="31">
        <f t="shared" si="101"/>
        <v>286.82</v>
      </c>
      <c r="CC16" s="31">
        <f t="shared" si="101"/>
        <v>296.02999999999997</v>
      </c>
      <c r="CD16" s="31">
        <f t="shared" si="101"/>
        <v>323.29000000000002</v>
      </c>
      <c r="CE16" s="31">
        <f t="shared" ref="CE16:CF16" si="102">CE10-CE13-CE15-CE14</f>
        <v>323.5</v>
      </c>
      <c r="CF16" s="31">
        <f t="shared" si="102"/>
        <v>343.5</v>
      </c>
      <c r="CG16" s="31">
        <f t="shared" ref="CG16:CH16" si="103">CG10-CG13-CG15-CG14</f>
        <v>332.77</v>
      </c>
      <c r="CH16" s="31">
        <f t="shared" si="103"/>
        <v>308.27</v>
      </c>
      <c r="CI16" s="31">
        <f t="shared" ref="CI16:CJ16" si="104">CI10-CI13-CI15-CI14</f>
        <v>284.25</v>
      </c>
      <c r="CJ16" s="31">
        <f t="shared" si="104"/>
        <v>286.13</v>
      </c>
      <c r="CK16" s="31">
        <f t="shared" ref="CK16:CL16" si="105">CK10-CK13-CK15-CK14</f>
        <v>294.31</v>
      </c>
      <c r="CL16" s="31">
        <f t="shared" si="105"/>
        <v>295.54000000000002</v>
      </c>
      <c r="CM16" s="32">
        <f t="shared" ref="CM16:DB16" si="106">+CM17*CM10</f>
        <v>252.61187250920742</v>
      </c>
      <c r="CN16" s="32">
        <f t="shared" si="106"/>
        <v>254.99975836106776</v>
      </c>
      <c r="CO16" s="32">
        <f t="shared" si="106"/>
        <v>266.57336364735971</v>
      </c>
      <c r="CP16" s="32">
        <f t="shared" si="106"/>
        <v>269.26358874402945</v>
      </c>
      <c r="CQ16" s="32">
        <f t="shared" si="106"/>
        <v>227.14517394567054</v>
      </c>
      <c r="CR16" s="32">
        <f t="shared" si="106"/>
        <v>229.96108664384317</v>
      </c>
      <c r="CS16" s="32">
        <f t="shared" si="106"/>
        <v>241.10512659946272</v>
      </c>
      <c r="CT16" s="32">
        <f t="shared" si="106"/>
        <v>243.45106189980589</v>
      </c>
      <c r="CU16" s="32">
        <f t="shared" si="106"/>
        <v>204.97539389537195</v>
      </c>
      <c r="CV16" s="32">
        <f t="shared" si="106"/>
        <v>207.70111199337947</v>
      </c>
      <c r="CW16" s="32">
        <f t="shared" si="106"/>
        <v>217.85033122544203</v>
      </c>
      <c r="CX16" s="32">
        <f t="shared" si="106"/>
        <v>219.91452038707888</v>
      </c>
      <c r="CY16" s="32">
        <f t="shared" si="106"/>
        <v>185.116851057769</v>
      </c>
      <c r="CZ16" s="32">
        <f t="shared" si="106"/>
        <v>187.61584133393725</v>
      </c>
      <c r="DA16" s="32">
        <f t="shared" si="106"/>
        <v>196.78883780472415</v>
      </c>
      <c r="DB16" s="32">
        <f t="shared" si="106"/>
        <v>198.64093545389642</v>
      </c>
      <c r="DE16" s="124"/>
      <c r="DF16" s="31">
        <v>1160.23</v>
      </c>
    </row>
    <row r="17" spans="1:110" s="41" customFormat="1" x14ac:dyDescent="0.2">
      <c r="A17" s="41" t="s">
        <v>6</v>
      </c>
      <c r="B17" s="41">
        <f>B16/B10</f>
        <v>1</v>
      </c>
      <c r="C17" s="41">
        <f t="shared" ref="C17:U17" si="107">C16/C10</f>
        <v>1</v>
      </c>
      <c r="D17" s="41">
        <f t="shared" si="107"/>
        <v>1</v>
      </c>
      <c r="E17" s="41">
        <f t="shared" si="107"/>
        <v>1</v>
      </c>
      <c r="F17" s="41">
        <f t="shared" si="107"/>
        <v>1</v>
      </c>
      <c r="G17" s="41">
        <f t="shared" si="107"/>
        <v>1</v>
      </c>
      <c r="H17" s="41">
        <f t="shared" si="107"/>
        <v>0.99761190635261343</v>
      </c>
      <c r="I17" s="41">
        <f t="shared" si="107"/>
        <v>0.99543108851387374</v>
      </c>
      <c r="J17" s="41">
        <f t="shared" si="107"/>
        <v>0.99520031997866798</v>
      </c>
      <c r="K17" s="41">
        <f t="shared" si="107"/>
        <v>0.98904812059458502</v>
      </c>
      <c r="L17" s="41">
        <f t="shared" si="107"/>
        <v>0.9902012279362109</v>
      </c>
      <c r="M17" s="41">
        <f t="shared" si="107"/>
        <v>0.99442220829113837</v>
      </c>
      <c r="N17" s="41">
        <f t="shared" si="107"/>
        <v>0.99541855504186705</v>
      </c>
      <c r="O17" s="41">
        <f t="shared" si="107"/>
        <v>0.9934021192305158</v>
      </c>
      <c r="P17" s="41">
        <f t="shared" si="107"/>
        <v>0.98425017198286746</v>
      </c>
      <c r="Q17" s="41">
        <f t="shared" si="107"/>
        <v>0.98909858046021504</v>
      </c>
      <c r="R17" s="41">
        <f t="shared" si="107"/>
        <v>0.99694033467633036</v>
      </c>
      <c r="S17" s="41">
        <f t="shared" si="107"/>
        <v>0.99876372082568465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>
        <f t="shared" ref="AI17" si="110">AI16/AI10</f>
        <v>1</v>
      </c>
      <c r="AJ17" s="41">
        <f t="shared" ref="AJ17" si="111">AJ16/AJ10</f>
        <v>1</v>
      </c>
      <c r="AK17" s="41">
        <f t="shared" ref="AK17:AM17" si="112">AK16/AK10</f>
        <v>1</v>
      </c>
      <c r="AL17" s="41">
        <f t="shared" si="112"/>
        <v>1</v>
      </c>
      <c r="AM17" s="41">
        <f t="shared" si="112"/>
        <v>1</v>
      </c>
      <c r="AN17" s="41">
        <f t="shared" ref="AN17:AO17" si="113">AN16/AN10</f>
        <v>1</v>
      </c>
      <c r="AO17" s="41">
        <f t="shared" si="113"/>
        <v>1</v>
      </c>
      <c r="AP17" s="41">
        <f t="shared" ref="AP17:CD17" si="114">AP16/AP10</f>
        <v>1</v>
      </c>
      <c r="AQ17" s="41">
        <f t="shared" si="114"/>
        <v>0.98885294076093866</v>
      </c>
      <c r="AR17" s="41">
        <f t="shared" si="114"/>
        <v>0.98467887026301504</v>
      </c>
      <c r="AS17" s="41">
        <f t="shared" si="114"/>
        <v>0.98759748700173311</v>
      </c>
      <c r="AT17" s="41">
        <f t="shared" si="114"/>
        <v>0.99340517934695194</v>
      </c>
      <c r="AU17" s="41">
        <f t="shared" si="114"/>
        <v>0.9931400103898872</v>
      </c>
      <c r="AV17" s="41">
        <f t="shared" si="114"/>
        <v>0.99272741883638704</v>
      </c>
      <c r="AW17" s="41">
        <f t="shared" si="114"/>
        <v>0.99534965223486271</v>
      </c>
      <c r="AX17" s="41">
        <f t="shared" si="114"/>
        <v>0.99503302221494461</v>
      </c>
      <c r="AY17" s="41">
        <f t="shared" si="114"/>
        <v>0.99527833340136884</v>
      </c>
      <c r="AZ17" s="41">
        <f t="shared" si="114"/>
        <v>0.99632440622325724</v>
      </c>
      <c r="BA17" s="41">
        <f t="shared" si="114"/>
        <v>0.99816718958715178</v>
      </c>
      <c r="BB17" s="41">
        <f t="shared" si="114"/>
        <v>0.99832363837527027</v>
      </c>
      <c r="BC17" s="41">
        <f t="shared" si="114"/>
        <v>0.99905982751450939</v>
      </c>
      <c r="BD17" s="41">
        <f t="shared" si="114"/>
        <v>0.99751610649693401</v>
      </c>
      <c r="BE17" s="41">
        <f t="shared" si="114"/>
        <v>0.99978488455471104</v>
      </c>
      <c r="BF17" s="41">
        <f t="shared" si="114"/>
        <v>0.99889971707010372</v>
      </c>
      <c r="BG17" s="41">
        <f t="shared" si="114"/>
        <v>0.99889370608461647</v>
      </c>
      <c r="BH17" s="41">
        <f t="shared" si="114"/>
        <v>0.99993785732040774</v>
      </c>
      <c r="BI17" s="41">
        <f t="shared" si="114"/>
        <v>0.99947614838097099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0.81356937746807056</v>
      </c>
      <c r="D18" s="39">
        <f t="shared" si="120"/>
        <v>0.42411881188118805</v>
      </c>
      <c r="E18" s="39">
        <f t="shared" si="120"/>
        <v>0.66161461664673671</v>
      </c>
      <c r="F18" s="39">
        <f t="shared" si="120"/>
        <v>0.35141422594142258</v>
      </c>
      <c r="G18" s="39">
        <f t="shared" si="120"/>
        <v>0.35624852935712781</v>
      </c>
      <c r="H18" s="39">
        <f t="shared" si="120"/>
        <v>0.28169258444202971</v>
      </c>
      <c r="I18" s="39">
        <f t="shared" si="120"/>
        <v>0.21071942548553024</v>
      </c>
      <c r="J18" s="39">
        <f t="shared" si="120"/>
        <v>0.14203920230200251</v>
      </c>
      <c r="K18" s="39">
        <f t="shared" si="120"/>
        <v>6.9312695476537733E-2</v>
      </c>
      <c r="L18" s="39">
        <f t="shared" si="120"/>
        <v>8.1000727609153556E-2</v>
      </c>
      <c r="M18" s="39">
        <f t="shared" si="120"/>
        <v>0.10304494537285103</v>
      </c>
      <c r="N18" s="39">
        <f t="shared" si="120"/>
        <v>5.97722423380318E-2</v>
      </c>
      <c r="O18" s="39">
        <f t="shared" si="120"/>
        <v>3.4581901794872527E-2</v>
      </c>
      <c r="P18" s="39">
        <f t="shared" si="120"/>
        <v>4.9392590190036723E-2</v>
      </c>
      <c r="Q18" s="39">
        <f t="shared" si="120"/>
        <v>3.249542528194671E-2</v>
      </c>
      <c r="R18" s="39">
        <f t="shared" si="120"/>
        <v>-8.3359129704152712E-2</v>
      </c>
      <c r="S18" s="39">
        <f t="shared" si="120"/>
        <v>-0.30743995487337816</v>
      </c>
      <c r="T18" s="39">
        <f t="shared" si="120"/>
        <v>-0.31561461794019929</v>
      </c>
      <c r="U18" s="39">
        <f t="shared" si="120"/>
        <v>-0.15616974632007519</v>
      </c>
      <c r="V18" s="39">
        <f t="shared" si="120"/>
        <v>-3.1621726947130058E-2</v>
      </c>
      <c r="W18" s="39">
        <f t="shared" si="120"/>
        <v>4.8042465937182532E-2</v>
      </c>
      <c r="X18" s="39">
        <f t="shared" si="120"/>
        <v>1.1309197293838169E-2</v>
      </c>
      <c r="Y18" s="39">
        <f t="shared" si="120"/>
        <v>7.7275644792391684E-2</v>
      </c>
      <c r="Z18" s="39">
        <f t="shared" si="120"/>
        <v>9.767129610204317E-2</v>
      </c>
      <c r="AA18" s="39">
        <f t="shared" si="120"/>
        <v>-0.11300113146386959</v>
      </c>
      <c r="AB18" s="40">
        <f t="shared" si="120"/>
        <v>-0.10065367792449409</v>
      </c>
      <c r="AC18" s="40">
        <f t="shared" si="120"/>
        <v>-9.7547819610539599E-2</v>
      </c>
      <c r="AD18" s="40">
        <f t="shared" si="120"/>
        <v>-9.6872389544450765E-2</v>
      </c>
      <c r="AE18" s="40">
        <f t="shared" si="120"/>
        <v>-9.67484602262213E-2</v>
      </c>
      <c r="AM18" s="39">
        <f>+IF(AI16&lt;0,1-AM16/AI16,AM16/AI16-1)</f>
        <v>6.3937748487801871E-2</v>
      </c>
      <c r="AN18" s="39">
        <f t="shared" ref="AN18" si="121">+IF(AJ16&lt;0,1-AN16/AJ16,AN16/AJ16-1)</f>
        <v>5.4154937244350609E-2</v>
      </c>
      <c r="AO18" s="39">
        <f t="shared" ref="AO18" si="122">+IF(AK16&lt;0,1-AO16/AK16,AO16/AK16-1)</f>
        <v>4.8025810416346459E-2</v>
      </c>
      <c r="AP18" s="39">
        <f t="shared" ref="AP18" si="123">+IF(AL16&lt;0,1-AP16/AL16,AP16/AL16-1)</f>
        <v>6.9730912080332441E-3</v>
      </c>
      <c r="AQ18" s="39">
        <f t="shared" ref="AQ18" si="124">+IF(AM16&lt;0,1-AQ16/AM16,AQ16/AM16-1)</f>
        <v>1.7710181173117734E-2</v>
      </c>
      <c r="AR18" s="39">
        <f t="shared" ref="AR18" si="125">+IF(AN16&lt;0,1-AR16/AN16,AR16/AN16-1)</f>
        <v>1.7439029787987392E-2</v>
      </c>
      <c r="AS18" s="39">
        <f t="shared" ref="AS18" si="126">+IF(AO16&lt;0,1-AS16/AO16,AS16/AO16-1)</f>
        <v>6.9250615691333506E-2</v>
      </c>
      <c r="AT18" s="39">
        <f t="shared" ref="AT18" si="127">+IF(AP16&lt;0,1-AT16/AP16,AT16/AP16-1)</f>
        <v>8.0444353733562624E-2</v>
      </c>
      <c r="AU18" s="39">
        <f t="shared" ref="AU18" si="128">+IF(AQ16&lt;0,1-AU16/AQ16,AU16/AQ16-1)</f>
        <v>6.5236026974511585E-2</v>
      </c>
      <c r="AV18" s="39">
        <f t="shared" ref="AV18" si="129">+IF(AR16&lt;0,1-AV16/AR16,AV16/AR16-1)</f>
        <v>7.4824901031017799E-2</v>
      </c>
      <c r="AW18" s="39">
        <f t="shared" ref="AW18" si="130">+IF(AS16&lt;0,1-AW16/AS16,AW16/AS16-1)</f>
        <v>1.2380038387715731E-2</v>
      </c>
      <c r="AX18" s="39">
        <f t="shared" ref="AX18" si="131">+IF(AT16&lt;0,1-AX16/AT16,AX16/AT16-1)</f>
        <v>-1.6083765112262505E-2</v>
      </c>
      <c r="AY18" s="39">
        <f t="shared" ref="AY18" si="132">+IF(AU16&lt;0,1-AY16/AU16,AY16/AU16-1)</f>
        <v>-1.8965100995198547E-2</v>
      </c>
      <c r="AZ18" s="39">
        <f t="shared" ref="AZ18" si="133">+IF(AV16&lt;0,1-AZ16/AV16,AZ16/AV16-1)</f>
        <v>-4.1850487716032059E-2</v>
      </c>
      <c r="BA18" s="39">
        <f t="shared" ref="BA18" si="134">+IF(AW16&lt;0,1-BA16/AW16,BA16/AW16-1)</f>
        <v>-0.12972116517476262</v>
      </c>
      <c r="BB18" s="39">
        <f t="shared" ref="BB18" si="135">+IF(AX16&lt;0,1-BB16/AX16,BB16/AX16-1)</f>
        <v>-0.18331047723532645</v>
      </c>
      <c r="BC18" s="39">
        <f t="shared" ref="BC18" si="136">+IF(AY16&lt;0,1-BC16/AY16,BC16/AY16-1)</f>
        <v>-0.24454500710926375</v>
      </c>
      <c r="BD18" s="39">
        <f t="shared" ref="BD18" si="137">+IF(AZ16&lt;0,1-BD16/AZ16,BD16/AZ16-1)</f>
        <v>-0.2761936946450948</v>
      </c>
      <c r="BE18" s="39">
        <f t="shared" ref="BE18" si="138">+IF(BA16&lt;0,1-BE16/BA16,BE16/BA16-1)</f>
        <v>-0.34910680941117889</v>
      </c>
      <c r="BF18" s="39">
        <f t="shared" ref="BF18" si="139">+IF(BB16&lt;0,1-BF16/BB16,BF16/BB16-1)</f>
        <v>-0.35972998841368187</v>
      </c>
      <c r="BG18" s="39">
        <f t="shared" ref="BG18" si="140">+IF(BC16&lt;0,1-BG16/BC16,BG16/BC16-1)</f>
        <v>-0.39540691677072592</v>
      </c>
      <c r="BH18" s="39">
        <f t="shared" ref="BH18" si="141">+IF(BD16&lt;0,1-BH16/BD16,BH16/BD16-1)</f>
        <v>-0.37393977122402933</v>
      </c>
      <c r="BI18" s="39">
        <f t="shared" ref="BI18" si="142">+IF(BE16&lt;0,1-BI16/BE16,BI16/BE16-1)</f>
        <v>-0.27019531903703176</v>
      </c>
      <c r="BJ18" s="39">
        <f t="shared" ref="BJ18" si="143">+IF(BF16&lt;0,1-BJ16/BF16,BJ16/BF16-1)</f>
        <v>-0.17261998426435876</v>
      </c>
      <c r="BK18" s="39">
        <f t="shared" ref="BK18" si="144">+IF(BG16&lt;0,1-BK16/BG16,BK16/BG16-1)</f>
        <v>-0.12161757662835249</v>
      </c>
      <c r="BL18" s="39">
        <f t="shared" ref="BL18" si="145">+IF(BH16&lt;0,1-BL16/BH16,BL16/BH16-1)</f>
        <v>-0.15993412466596224</v>
      </c>
      <c r="BM18" s="39">
        <f t="shared" ref="BM18" si="146">+IF(BI16&lt;0,1-BM16/BI16,BM16/BI16-1)</f>
        <v>-0.16447734792151203</v>
      </c>
      <c r="BN18" s="39">
        <f t="shared" ref="BN18" si="147">+IF(BJ16&lt;0,1-BN16/BJ16,BN16/BJ16-1)</f>
        <v>-0.17940915430455184</v>
      </c>
      <c r="BO18" s="39">
        <f t="shared" ref="BO18" si="148">+IF(BK16&lt;0,1-BO16/BK16,BO16/BK16-1)</f>
        <v>-0.17089793831998634</v>
      </c>
      <c r="BP18" s="39">
        <f t="shared" ref="BP18" si="149">+IF(BL16&lt;0,1-BP16/BL16,BP16/BL16-1)</f>
        <v>-5.0638061771777321E-2</v>
      </c>
      <c r="BQ18" s="39">
        <f t="shared" ref="BQ18" si="150">+IF(BM16&lt;0,1-BQ16/BM16,BQ16/BM16-1)</f>
        <v>9.1547086959931079E-2</v>
      </c>
      <c r="BR18" s="39">
        <f t="shared" ref="BR18" si="151">+IF(BN16&lt;0,1-BR16/BN16,BR16/BN16-1)</f>
        <v>2.4760506798516824E-2</v>
      </c>
      <c r="BS18" s="39">
        <f t="shared" ref="BS18" si="152">+IF(BO16&lt;0,1-BS16/BO16,BS16/BO16-1)</f>
        <v>0.10164406083025046</v>
      </c>
      <c r="BT18" s="39">
        <f t="shared" ref="BT18" si="153">+IF(BP16&lt;0,1-BT16/BP16,BT16/BP16-1)</f>
        <v>4.7183043715421036E-2</v>
      </c>
      <c r="BU18" s="39">
        <f t="shared" ref="BU18" si="154">+IF(BQ16&lt;0,1-BU16/BQ16,BU16/BQ16-1)</f>
        <v>2.0868503286519902E-2</v>
      </c>
      <c r="BV18" s="39">
        <f t="shared" ref="BV18" si="155">+IF(BR16&lt;0,1-BV16/BR16,BV16/BR16-1)</f>
        <v>2.8233254174676592E-2</v>
      </c>
      <c r="BW18" s="39">
        <f t="shared" ref="BW18" si="156">+IF(BS16&lt;0,1-BW16/BS16,BW16/BS16-1)</f>
        <v>-5.7829347461103575E-3</v>
      </c>
      <c r="BX18" s="39">
        <f t="shared" ref="BX18" si="157">+IF(BT16&lt;0,1-BX16/BT16,BX16/BT16-1)</f>
        <v>3.3076608252409212E-2</v>
      </c>
      <c r="BY18" s="39">
        <f t="shared" ref="BY18" si="158">+IF(BU16&lt;0,1-BY16/BU16,BY16/BU16-1)</f>
        <v>-8.1626908732673753E-3</v>
      </c>
      <c r="BZ18" s="39">
        <f t="shared" ref="BZ18" si="159">+IF(BV16&lt;0,1-BZ16/BV16,BZ16/BV16-1)</f>
        <v>2.6944790673803176E-2</v>
      </c>
      <c r="CA18" s="39">
        <f t="shared" ref="CA18" si="160">+IF(BW16&lt;0,1-CA16/BW16,CA16/BW16-1)</f>
        <v>7.1412488742119473E-2</v>
      </c>
      <c r="CB18" s="39">
        <f t="shared" ref="CB18" si="161">+IF(BX16&lt;0,1-CB16/BX16,CB16/BX16-1)</f>
        <v>3.2989987754807881E-2</v>
      </c>
      <c r="CC18" s="39">
        <f t="shared" ref="CC18" si="162">+IF(BY16&lt;0,1-CC16/BY16,CC16/BY16-1)</f>
        <v>5.0124157502660527E-2</v>
      </c>
      <c r="CD18" s="39">
        <f t="shared" ref="CD18" si="163">+IF(BZ16&lt;0,1-CD16/BZ16,CD16/BZ16-1)</f>
        <v>0.15407132402812995</v>
      </c>
      <c r="CE18" s="39">
        <f t="shared" ref="CE18" si="164">+IF(CA16&lt;0,1-CE16/CA16,CE16/CA16-1)</f>
        <v>0.13306013799866911</v>
      </c>
      <c r="CF18" s="39">
        <f t="shared" ref="CF18" si="165">+IF(CB16&lt;0,1-CF16/CB16,CF16/CB16-1)</f>
        <v>0.19761522906352424</v>
      </c>
      <c r="CG18" s="39">
        <f t="shared" ref="CG18" si="166">+IF(CC16&lt;0,1-CG16/CC16,CG16/CC16-1)</f>
        <v>0.12410904300239856</v>
      </c>
      <c r="CH18" s="39">
        <f t="shared" ref="CH18:CL18" si="167">+IF(CD16&lt;0,1-CH16/CD16,CH16/CD16-1)</f>
        <v>-4.64598348232238E-2</v>
      </c>
      <c r="CI18" s="39">
        <f t="shared" si="167"/>
        <v>-0.12132921174652245</v>
      </c>
      <c r="CJ18" s="39">
        <f t="shared" si="167"/>
        <v>-0.1670160116448326</v>
      </c>
      <c r="CK18" s="39">
        <f t="shared" si="167"/>
        <v>-0.11557532229467793</v>
      </c>
      <c r="CL18" s="39">
        <f t="shared" si="167"/>
        <v>-4.1294968696272583E-2</v>
      </c>
      <c r="CM18" s="40">
        <f t="shared" ref="CM18" si="168">+CM16/CI16-1</f>
        <v>-0.11130387859557633</v>
      </c>
      <c r="CN18" s="40">
        <f t="shared" ref="CN18" si="169">+CN16/CJ16-1</f>
        <v>-0.10879754530783992</v>
      </c>
      <c r="CO18" s="40">
        <f t="shared" ref="CO18" si="170">+CO16/CK16-1</f>
        <v>-9.4242928723591746E-2</v>
      </c>
      <c r="CP18" s="40">
        <f t="shared" ref="CP18" si="171">+CP16/CL16-1</f>
        <v>-8.8909830330820117E-2</v>
      </c>
      <c r="CQ18" s="40">
        <f t="shared" ref="CQ18" si="172">+CQ16/CM16-1</f>
        <v>-0.10081354573945711</v>
      </c>
      <c r="CR18" s="40">
        <f t="shared" ref="CR18" si="173">+CR16/CN16-1</f>
        <v>-9.8190962525427139E-2</v>
      </c>
      <c r="CS18" s="40">
        <f t="shared" ref="CS18" si="174">+CS16/CO16-1</f>
        <v>-9.5539316829823973E-2</v>
      </c>
      <c r="CT18" s="40">
        <f t="shared" ref="CT18" si="175">+CT16/CP16-1</f>
        <v>-9.5863413856382085E-2</v>
      </c>
      <c r="CU18" s="40">
        <f t="shared" ref="CU18" si="176">+CU16/CQ16-1</f>
        <v>-9.7601809737772549E-2</v>
      </c>
      <c r="CV18" s="40">
        <f t="shared" ref="CV18" si="177">+CV16/CR16-1</f>
        <v>-9.6798875737351575E-2</v>
      </c>
      <c r="CW18" s="40">
        <f t="shared" ref="CW18" si="178">+CW16/CS16-1</f>
        <v>-9.6450854040332601E-2</v>
      </c>
      <c r="CX18" s="40">
        <f t="shared" ref="CX18" si="179">+CX16/CT16-1</f>
        <v>-9.6678738342959702E-2</v>
      </c>
      <c r="CY18" s="40">
        <f t="shared" ref="CY18" si="180">+CY16/CU16-1</f>
        <v>-9.6882569464604051E-2</v>
      </c>
      <c r="CZ18" s="40">
        <f t="shared" ref="CZ18" si="181">+CZ16/CV16-1</f>
        <v>-9.6702759396311899E-2</v>
      </c>
      <c r="DA18" s="40">
        <f t="shared" ref="DA18" si="182">+DA16/CW16-1</f>
        <v>-9.6678730311052119E-2</v>
      </c>
      <c r="DB18" s="40">
        <f t="shared" ref="DB18" si="183">+DB16/CX16-1</f>
        <v>-9.6735699378731832E-2</v>
      </c>
      <c r="DE18" s="122"/>
      <c r="DF18" s="39">
        <v>-0.11300113146386959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-5.3216998499405754E-3</v>
      </c>
      <c r="AK19" s="39">
        <f t="shared" ref="AK19" si="184">+IF(AJ16&lt;0,1-AK16/AJ16,AK16/AJ16-1)</f>
        <v>1.2333390360359298E-2</v>
      </c>
      <c r="AL19" s="39">
        <f t="shared" ref="AL19" si="185">+IF(AK16&lt;0,1-AL16/AK16,AL16/AK16-1)</f>
        <v>4.6535566139191742E-2</v>
      </c>
      <c r="AM19" s="39">
        <f t="shared" ref="AM19" si="186">+IF(AL16&lt;0,1-AM16/AL16,AM16/AL16-1)</f>
        <v>9.6155257710772712E-3</v>
      </c>
      <c r="AN19" s="39">
        <f t="shared" ref="AN19" si="187">+IF(AM16&lt;0,1-AN16/AM16,AN16/AM16-1)</f>
        <v>-1.4467676738302293E-2</v>
      </c>
      <c r="AO19" s="39">
        <f t="shared" ref="AO19" si="188">+IF(AN16&lt;0,1-AO16/AN16,AO16/AN16-1)</f>
        <v>6.4474247185706268E-3</v>
      </c>
      <c r="AP19" s="39">
        <f t="shared" ref="AP19" si="189">+IF(AO16&lt;0,1-AP16/AO16,AP16/AO16-1)</f>
        <v>5.5412220007038382E-3</v>
      </c>
      <c r="AQ19" s="39">
        <f t="shared" ref="AQ19" si="190">+IF(AP16&lt;0,1-AQ16/AP16,AQ16/AP16-1)</f>
        <v>2.0380791322856195E-2</v>
      </c>
      <c r="AR19" s="39">
        <f t="shared" ref="AR19" si="191">+IF(AQ16&lt;0,1-AR16/AQ16,AR16/AQ16-1)</f>
        <v>-1.4730254886272776E-2</v>
      </c>
      <c r="AS19" s="39">
        <f t="shared" ref="AS19" si="192">+IF(AR16&lt;0,1-AS16/AR16,AS16/AR16-1)</f>
        <v>5.7699279302794615E-2</v>
      </c>
      <c r="AT19" s="39">
        <f t="shared" ref="AT19" si="193">+IF(AS16&lt;0,1-AT16/AS16,AT16/AS16-1)</f>
        <v>1.606800109679174E-2</v>
      </c>
      <c r="AU19" s="39">
        <f t="shared" ref="AU19" si="194">+IF(AT16&lt;0,1-AU16/AT16,AU16/AT16-1)</f>
        <v>6.0179188255613525E-3</v>
      </c>
      <c r="AV19" s="39">
        <f t="shared" ref="AV19" si="195">+IF(AU16&lt;0,1-AV16/AU16,AV16/AU16-1)</f>
        <v>-5.8612087234100052E-3</v>
      </c>
      <c r="AW19" s="39">
        <f t="shared" ref="AW19" si="196">+IF(AV16&lt;0,1-AW16/AV16,AW16/AV16-1)</f>
        <v>-3.7506239797089336E-3</v>
      </c>
      <c r="AX19" s="39">
        <f t="shared" ref="AX19" si="197">+IF(AW16&lt;0,1-AX16/AW16,AX16/AW16-1)</f>
        <v>-1.2499492165811144E-2</v>
      </c>
      <c r="AY19" s="39">
        <f t="shared" ref="AY19" si="198">+IF(AX16&lt;0,1-AY16/AX16,AY16/AX16-1)</f>
        <v>3.0718595721337394E-3</v>
      </c>
      <c r="AZ19" s="39">
        <f t="shared" ref="AZ19" si="199">+IF(AY16&lt;0,1-AZ16/AY16,AZ16/AY16-1)</f>
        <v>-2.9052280433118249E-2</v>
      </c>
      <c r="BA19" s="39">
        <f t="shared" ref="BA19" si="200">+IF(AZ16&lt;0,1-BA16/AZ16,BA16/AZ16-1)</f>
        <v>-9.5115391655754E-2</v>
      </c>
      <c r="BB19" s="39">
        <f t="shared" ref="BB19" si="201">+IF(BA16&lt;0,1-BB16/BA16,BB16/BA16-1)</f>
        <v>-7.3306983692269401E-2</v>
      </c>
      <c r="BC19" s="39">
        <f t="shared" ref="BC19" si="202">+IF(BB16&lt;0,1-BC16/BB16,BC16/BB16-1)</f>
        <v>-7.2137423807364764E-2</v>
      </c>
      <c r="BD19" s="39">
        <f t="shared" ref="BD19" si="203">+IF(BC16&lt;0,1-BD16/BC16,BD16/BC16-1)</f>
        <v>-6.972872215284931E-2</v>
      </c>
      <c r="BE19" s="39">
        <f t="shared" ref="BE19" si="204">+IF(BD16&lt;0,1-BE16/BD16,BE16/BD16-1)</f>
        <v>-0.18626955100770382</v>
      </c>
      <c r="BF19" s="39">
        <f t="shared" ref="BF19" si="205">+IF(BE16&lt;0,1-BF16/BE16,BF16/BE16-1)</f>
        <v>-8.8431470989026817E-2</v>
      </c>
      <c r="BG19" s="39">
        <f t="shared" ref="BG19" si="206">+IF(BF16&lt;0,1-BG16/BF16,BG16/BF16-1)</f>
        <v>-0.12383949645948078</v>
      </c>
      <c r="BH19" s="39">
        <f t="shared" ref="BH19" si="207">+IF(BG16&lt;0,1-BH16/BG16,BH16/BG16-1)</f>
        <v>-3.6697796934865856E-2</v>
      </c>
      <c r="BI19" s="39">
        <f t="shared" ref="BI19" si="208">+IF(BH16&lt;0,1-BI16/BH16,BI16/BH16-1)</f>
        <v>-5.1426263128456884E-2</v>
      </c>
      <c r="BJ19" s="39">
        <f t="shared" ref="BJ19" si="209">+IF(BI16&lt;0,1-BJ16/BI16,BJ16/BI16-1)</f>
        <v>3.3445802076850217E-2</v>
      </c>
      <c r="BK19" s="39">
        <f t="shared" ref="BK19" si="210">+IF(BJ16&lt;0,1-BK16/BJ16,BK16/BJ16-1)</f>
        <v>-6.9830100164828268E-2</v>
      </c>
      <c r="BL19" s="39">
        <f t="shared" ref="BL19" si="211">+IF(BK16&lt;0,1-BL16/BK16,BL16/BK16-1)</f>
        <v>-7.8718691429544907E-2</v>
      </c>
      <c r="BM19" s="39">
        <f t="shared" ref="BM19" si="212">+IF(BL16&lt;0,1-BM16/BL16,BM16/BL16-1)</f>
        <v>-5.6556315886813424E-2</v>
      </c>
      <c r="BN19" s="39">
        <f t="shared" ref="BN19" si="213">+IF(BM16&lt;0,1-BN16/BM16,BN16/BM16-1)</f>
        <v>1.4976868187877246E-2</v>
      </c>
      <c r="BO19" s="39">
        <f t="shared" ref="BO19" si="214">+IF(BN16&lt;0,1-BO16/BN16,BO16/BN16-1)</f>
        <v>-6.018232385661304E-2</v>
      </c>
      <c r="BP19" s="39">
        <f t="shared" ref="BP19" si="215">+IF(BO16&lt;0,1-BP16/BO16,BP16/BO16-1)</f>
        <v>5.4911631730374166E-2</v>
      </c>
      <c r="BQ19" s="39">
        <f t="shared" ref="BQ19" si="216">+IF(BP16&lt;0,1-BQ16/BP16,BQ16/BP16-1)</f>
        <v>8.4742460843138856E-2</v>
      </c>
      <c r="BR19" s="39">
        <f t="shared" ref="BR19" si="217">+IF(BQ16&lt;0,1-BR16/BQ16,BR16/BQ16-1)</f>
        <v>-4.7124744082468362E-2</v>
      </c>
      <c r="BS19" s="39">
        <f t="shared" ref="BS19" si="218">+IF(BR16&lt;0,1-BS16/BR16,BS16/BR16-1)</f>
        <v>1.0328319951750764E-2</v>
      </c>
      <c r="BT19" s="39">
        <f t="shared" ref="BT19" si="219">+IF(BS16&lt;0,1-BT16/BS16,BT16/BS16-1)</f>
        <v>2.7608849755624831E-3</v>
      </c>
      <c r="BU19" s="39">
        <f t="shared" ref="BU19" si="220">+IF(BT16&lt;0,1-BU16/BT16,BU16/BT16-1)</f>
        <v>5.7484094206943004E-2</v>
      </c>
      <c r="BV19" s="39">
        <f t="shared" ref="BV19" si="221">+IF(BU16&lt;0,1-BV16/BU16,BV16/BU16-1)</f>
        <v>-4.0250510168179821E-2</v>
      </c>
      <c r="BW19" s="39">
        <f t="shared" ref="BW19" si="222">+IF(BV16&lt;0,1-BW16/BV16,BW16/BV16-1)</f>
        <v>-2.3095534863259659E-2</v>
      </c>
      <c r="BX19" s="39">
        <f t="shared" ref="BX19" si="223">+IF(BW16&lt;0,1-BX16/BW16,BX16/BW16-1)</f>
        <v>4.1954368057640412E-2</v>
      </c>
      <c r="BY19" s="39">
        <f t="shared" ref="BY19" si="224">+IF(BX16&lt;0,1-BY16/BX16,BY16/BX16-1)</f>
        <v>1.5270474681264634E-2</v>
      </c>
      <c r="BZ19" s="39">
        <f t="shared" ref="BZ19" si="225">+IF(BY16&lt;0,1-BZ16/BY16,BZ16/BY16-1)</f>
        <v>-6.2788222774032842E-3</v>
      </c>
      <c r="CA19" s="39">
        <f t="shared" ref="CA19" si="226">+IF(BZ16&lt;0,1-CA16/BZ16,CA16/BZ16-1)</f>
        <v>1.9205368935851119E-2</v>
      </c>
      <c r="CB19" s="39">
        <f t="shared" ref="CB19" si="227">+IF(CA16&lt;0,1-CB16/CA16,CB16/CA16-1)</f>
        <v>4.5882806206438698E-3</v>
      </c>
      <c r="CC19" s="39">
        <f t="shared" ref="CC19" si="228">+IF(CB16&lt;0,1-CC16/CB16,CC16/CB16-1)</f>
        <v>3.2110731469214171E-2</v>
      </c>
      <c r="CD19" s="39">
        <f t="shared" ref="CD19" si="229">+IF(CC16&lt;0,1-CD16/CC16,CD16/CC16-1)</f>
        <v>9.2085261628889192E-2</v>
      </c>
      <c r="CE19" s="39">
        <f t="shared" ref="CE19" si="230">+IF(CD16&lt;0,1-CE16/CD16,CE16/CD16-1)</f>
        <v>6.4957159206890935E-4</v>
      </c>
      <c r="CF19" s="39">
        <f t="shared" ref="CF19" si="231">+IF(CE16&lt;0,1-CF16/CE16,CF16/CE16-1)</f>
        <v>6.1823802163833097E-2</v>
      </c>
      <c r="CG19" s="39">
        <f t="shared" ref="CG19" si="232">+IF(CF16&lt;0,1-CG16/CF16,CG16/CF16-1)</f>
        <v>-3.123726346433775E-2</v>
      </c>
      <c r="CH19" s="39">
        <f t="shared" ref="CH19:CL19" si="233">+IF(CG16&lt;0,1-CH16/CG16,CH16/CG16-1)</f>
        <v>-7.362442527872104E-2</v>
      </c>
      <c r="CI19" s="39">
        <f t="shared" si="233"/>
        <v>-7.7918707626431272E-2</v>
      </c>
      <c r="CJ19" s="39">
        <f t="shared" si="233"/>
        <v>6.6138962181179206E-3</v>
      </c>
      <c r="CK19" s="39">
        <f t="shared" si="233"/>
        <v>2.8588403872365831E-2</v>
      </c>
      <c r="CL19" s="39">
        <f t="shared" si="233"/>
        <v>4.1792667595392796E-3</v>
      </c>
      <c r="CM19" s="40">
        <f t="shared" ref="CM19" si="234">+CM16/CL16-1</f>
        <v>-0.14525318904646611</v>
      </c>
      <c r="CN19" s="40">
        <f t="shared" ref="CN19" si="235">+CN16/CM16-1</f>
        <v>9.4527855248502934E-3</v>
      </c>
      <c r="CO19" s="40">
        <f t="shared" ref="CO19" si="236">+CO16/CN16-1</f>
        <v>4.5386730405855058E-2</v>
      </c>
      <c r="CP19" s="40">
        <f t="shared" ref="CP19" si="237">+CP16/CO16-1</f>
        <v>1.0091875121583938E-2</v>
      </c>
      <c r="CQ19" s="40">
        <f t="shared" ref="CQ19" si="238">+CQ16/CP16-1</f>
        <v>-0.15642075853931381</v>
      </c>
      <c r="CR19" s="40">
        <f t="shared" ref="CR19" si="239">+CR16/CQ16-1</f>
        <v>1.23969734828977E-2</v>
      </c>
      <c r="CS19" s="40">
        <f t="shared" ref="CS19" si="240">+CS16/CR16-1</f>
        <v>4.8460546600560761E-2</v>
      </c>
      <c r="CT19" s="40">
        <f t="shared" ref="CT19" si="241">+CT16/CS16-1</f>
        <v>9.7299270796524784E-3</v>
      </c>
      <c r="CU19" s="40">
        <f t="shared" ref="CU19" si="242">+CU16/CT16-1</f>
        <v>-0.15804271997905228</v>
      </c>
      <c r="CV19" s="40">
        <f t="shared" ref="CV19" si="243">+CV16/CU16-1</f>
        <v>1.3297781973766298E-2</v>
      </c>
      <c r="CW19" s="40">
        <f t="shared" ref="CW19" si="244">+CW16/CV16-1</f>
        <v>4.8864539696764187E-2</v>
      </c>
      <c r="CX19" s="40">
        <f t="shared" ref="CX19" si="245">+CX16/CW16-1</f>
        <v>9.475262901945003E-3</v>
      </c>
      <c r="CY19" s="40">
        <f t="shared" ref="CY19" si="246">+CY16/CX16-1</f>
        <v>-0.1582327045438443</v>
      </c>
      <c r="CZ19" s="40">
        <f t="shared" ref="CZ19" si="247">+CZ16/CY16-1</f>
        <v>1.3499528875350109E-2</v>
      </c>
      <c r="DA19" s="40">
        <f t="shared" ref="DA19" si="248">+DA16/CZ16-1</f>
        <v>4.8892441094352534E-2</v>
      </c>
      <c r="DB19" s="40">
        <f t="shared" ref="DB19" si="249">+DB16/DA16-1</f>
        <v>9.4115991020289336E-3</v>
      </c>
      <c r="DE19" s="122"/>
    </row>
    <row r="20" spans="1:110" s="23" customFormat="1" outlineLevel="1" x14ac:dyDescent="0.2">
      <c r="A20" s="23" t="s">
        <v>8</v>
      </c>
      <c r="B20" s="23">
        <f>'Annual Raw'!C14</f>
        <v>20.511600000000001</v>
      </c>
      <c r="C20" s="23">
        <f>'Annual Raw'!D14</f>
        <v>33.46</v>
      </c>
      <c r="D20" s="23">
        <f>'Annual Raw'!E14</f>
        <v>38.92</v>
      </c>
      <c r="E20" s="23">
        <f>'Annual Raw'!F14</f>
        <v>39.68</v>
      </c>
      <c r="F20" s="23">
        <f>'Annual Raw'!G14</f>
        <v>40.86</v>
      </c>
      <c r="G20" s="23">
        <f>'Annual Raw'!H14</f>
        <v>47.44</v>
      </c>
      <c r="H20" s="23">
        <f>'Annual Raw'!I14</f>
        <v>69.739999999999995</v>
      </c>
      <c r="I20" s="23">
        <f>'Annual Raw'!J14</f>
        <v>92.15</v>
      </c>
      <c r="J20" s="23">
        <f>'Annual Raw'!K14</f>
        <v>111.1</v>
      </c>
      <c r="K20" s="23">
        <f>'Annual Raw'!L14</f>
        <v>147.06</v>
      </c>
      <c r="L20" s="23">
        <f>'Annual Raw'!M14</f>
        <v>164.56</v>
      </c>
      <c r="M20" s="23">
        <f>'Annual Raw'!N14</f>
        <v>174.46</v>
      </c>
      <c r="N20" s="23">
        <f>'Annual Raw'!O14</f>
        <v>159.81</v>
      </c>
      <c r="O20" s="23">
        <f>'Annual Raw'!P14</f>
        <v>172.67</v>
      </c>
      <c r="P20" s="23">
        <f>'Annual Raw'!Q14</f>
        <v>158.53</v>
      </c>
      <c r="Q20" s="23">
        <f>'Annual Raw'!R14</f>
        <v>119.9</v>
      </c>
      <c r="R20" s="23">
        <f>'Annual Raw'!S14</f>
        <v>125.9</v>
      </c>
      <c r="S20" s="23">
        <f>'Annual Raw'!T14</f>
        <v>103</v>
      </c>
      <c r="T20" s="23">
        <f>'Annual Raw'!U14</f>
        <v>64.790000000000006</v>
      </c>
      <c r="U20" s="23">
        <f>'Annual Raw'!V14</f>
        <v>59.12</v>
      </c>
      <c r="V20" s="23">
        <f>'Annual Raw'!W14</f>
        <v>49.37</v>
      </c>
      <c r="W20" s="23">
        <f>'Annual Raw'!X14</f>
        <v>55.04</v>
      </c>
      <c r="X20" s="23">
        <f>'Annual Raw'!Y14</f>
        <v>61.9</v>
      </c>
      <c r="Y20" s="23">
        <f>'Annual Raw'!Z14</f>
        <v>70.599999999999994</v>
      </c>
      <c r="Z20" s="23">
        <f>'Annual Raw'!AA14</f>
        <v>83.09</v>
      </c>
      <c r="AA20" s="23">
        <f>'Annual Raw'!AB14</f>
        <v>86.48</v>
      </c>
      <c r="AB20" s="76">
        <f t="shared" ref="AB20:AB25" si="250">+SUM(CM20:CP20)</f>
        <v>92.533600000000007</v>
      </c>
      <c r="AC20" s="76">
        <f t="shared" ref="AC20:AC25" si="251">+SUM(CQ20:CT20)</f>
        <v>99.010952000000003</v>
      </c>
      <c r="AD20" s="76">
        <f t="shared" ref="AD20:AD25" si="252">+SUM(CU20:CX20)</f>
        <v>105.94171864000003</v>
      </c>
      <c r="AE20" s="76">
        <f t="shared" ref="AE20:AE25" si="253">+SUM(CY20:DB20)</f>
        <v>113.35763894480003</v>
      </c>
      <c r="AI20" s="23">
        <f>'QTR Raw'!C16</f>
        <v>40.69</v>
      </c>
      <c r="AJ20" s="23">
        <f>'QTR Raw'!D16</f>
        <v>32.89</v>
      </c>
      <c r="AK20" s="23">
        <f>'QTR Raw'!E16</f>
        <v>45.18</v>
      </c>
      <c r="AL20" s="23">
        <f>'QTR Raw'!F16</f>
        <v>41.05</v>
      </c>
      <c r="AM20" s="23">
        <f>'QTR Raw'!G16</f>
        <v>42.17</v>
      </c>
      <c r="AN20" s="23">
        <f>'QTR Raw'!H16</f>
        <v>45.93</v>
      </c>
      <c r="AO20" s="23">
        <f>'QTR Raw'!I16</f>
        <v>39.22</v>
      </c>
      <c r="AP20" s="23">
        <f>'QTR Raw'!J16</f>
        <v>45.35</v>
      </c>
      <c r="AQ20" s="23">
        <f>'QTR Raw'!K16</f>
        <v>32.270000000000003</v>
      </c>
      <c r="AR20" s="23">
        <f>'QTR Raw'!L16</f>
        <v>41.84</v>
      </c>
      <c r="AS20" s="23">
        <f>'QTR Raw'!M16</f>
        <v>40.99</v>
      </c>
      <c r="AT20" s="23">
        <f>'QTR Raw'!N16</f>
        <v>43.43</v>
      </c>
      <c r="AU20" s="23">
        <f>'QTR Raw'!O16</f>
        <v>25.37</v>
      </c>
      <c r="AV20" s="23">
        <f>'QTR Raw'!P16</f>
        <v>33.31</v>
      </c>
      <c r="AW20" s="23">
        <f>'QTR Raw'!Q16</f>
        <v>32.479999999999997</v>
      </c>
      <c r="AX20" s="23">
        <f>'QTR Raw'!R16</f>
        <v>28.74</v>
      </c>
      <c r="AY20" s="23">
        <f>'QTR Raw'!S16</f>
        <v>30.53</v>
      </c>
      <c r="AZ20" s="23">
        <f>'QTR Raw'!T16</f>
        <v>31.71</v>
      </c>
      <c r="BA20" s="23">
        <f>'QTR Raw'!U16</f>
        <v>31.37</v>
      </c>
      <c r="BB20" s="23">
        <f>'QTR Raw'!V16</f>
        <v>32.29</v>
      </c>
      <c r="BC20" s="23">
        <f>'QTR Raw'!W16</f>
        <v>28.16</v>
      </c>
      <c r="BD20" s="23">
        <f>'QTR Raw'!X16</f>
        <v>23.98</v>
      </c>
      <c r="BE20" s="23">
        <f>'QTR Raw'!Y16</f>
        <v>26.63</v>
      </c>
      <c r="BF20" s="23">
        <f>'QTR Raw'!Z16</f>
        <v>24.23</v>
      </c>
      <c r="BG20" s="23">
        <f>'QTR Raw'!AA16</f>
        <v>15.71</v>
      </c>
      <c r="BH20" s="23">
        <f>'QTR Raw'!AB16</f>
        <v>18.59</v>
      </c>
      <c r="BI20" s="23">
        <f>'QTR Raw'!AC16</f>
        <v>18.2</v>
      </c>
      <c r="BJ20" s="23">
        <f>'QTR Raw'!AD16</f>
        <v>12.29</v>
      </c>
      <c r="BK20" s="23">
        <f>'QTR Raw'!AE16</f>
        <v>17.100000000000001</v>
      </c>
      <c r="BL20" s="23">
        <f>'QTR Raw'!AF16</f>
        <v>15.29</v>
      </c>
      <c r="BM20" s="23">
        <f>'QTR Raw'!AG16</f>
        <v>14.52</v>
      </c>
      <c r="BN20" s="23">
        <f>'QTR Raw'!AH16</f>
        <v>12.21</v>
      </c>
      <c r="BO20" s="23">
        <f>'QTR Raw'!AI16</f>
        <v>13.68</v>
      </c>
      <c r="BP20" s="23">
        <f>'QTR Raw'!AJ16</f>
        <v>11.31</v>
      </c>
      <c r="BQ20" s="23">
        <f>'QTR Raw'!AK16</f>
        <v>12.85</v>
      </c>
      <c r="BR20" s="23">
        <f>'QTR Raw'!AL16</f>
        <v>11.53</v>
      </c>
      <c r="BS20" s="23">
        <f>'QTR Raw'!AM16</f>
        <v>12.46</v>
      </c>
      <c r="BT20" s="23">
        <f>'QTR Raw'!AN16</f>
        <v>14.21</v>
      </c>
      <c r="BU20" s="23">
        <f>'QTR Raw'!AO16</f>
        <v>14.21</v>
      </c>
      <c r="BV20" s="23">
        <f>'QTR Raw'!AP16</f>
        <v>14.16</v>
      </c>
      <c r="BW20" s="23">
        <f>'QTR Raw'!AQ16</f>
        <v>13.98</v>
      </c>
      <c r="BX20" s="23">
        <f>'QTR Raw'!AR16</f>
        <v>15.35</v>
      </c>
      <c r="BY20" s="23">
        <f>'QTR Raw'!AS16</f>
        <v>15.68</v>
      </c>
      <c r="BZ20" s="23">
        <f>'QTR Raw'!AT16</f>
        <v>16.89</v>
      </c>
      <c r="CA20" s="23">
        <f>'QTR Raw'!AU16</f>
        <v>15.98</v>
      </c>
      <c r="CB20" s="23">
        <f>'QTR Raw'!AV16</f>
        <v>18.04</v>
      </c>
      <c r="CC20" s="23">
        <f>'QTR Raw'!AW16</f>
        <v>18.649999999999999</v>
      </c>
      <c r="CD20" s="23">
        <f>'QTR Raw'!AX16</f>
        <v>17.93</v>
      </c>
      <c r="CE20" s="23">
        <f>'QTR Raw'!AY16</f>
        <v>19.03</v>
      </c>
      <c r="CF20" s="23">
        <f>'QTR Raw'!AZ16</f>
        <v>21.86</v>
      </c>
      <c r="CG20" s="23">
        <f>'QTR Raw'!BA16</f>
        <v>21.07</v>
      </c>
      <c r="CH20" s="23">
        <f>'QTR Raw'!BB16</f>
        <v>21.13</v>
      </c>
      <c r="CI20" s="23">
        <f>'QTR Raw'!BC16</f>
        <v>21.41</v>
      </c>
      <c r="CJ20" s="23">
        <f>'QTR Raw'!BD16</f>
        <v>21.95</v>
      </c>
      <c r="CK20" s="23">
        <f>'QTR Raw'!BE16</f>
        <v>22.35</v>
      </c>
      <c r="CL20" s="23">
        <f>'QTR Raw'!BF16</f>
        <v>20.77</v>
      </c>
      <c r="CM20" s="24">
        <f t="shared" ref="CM20:DB20" si="254">CI20*107%</f>
        <v>22.908700000000003</v>
      </c>
      <c r="CN20" s="24">
        <f t="shared" si="254"/>
        <v>23.486499999999999</v>
      </c>
      <c r="CO20" s="24">
        <f t="shared" si="254"/>
        <v>23.914500000000004</v>
      </c>
      <c r="CP20" s="24">
        <f t="shared" si="254"/>
        <v>22.2239</v>
      </c>
      <c r="CQ20" s="24">
        <f t="shared" si="254"/>
        <v>24.512309000000005</v>
      </c>
      <c r="CR20" s="24">
        <f t="shared" si="254"/>
        <v>25.130555000000001</v>
      </c>
      <c r="CS20" s="24">
        <f t="shared" si="254"/>
        <v>25.588515000000005</v>
      </c>
      <c r="CT20" s="24">
        <f t="shared" si="254"/>
        <v>23.779573000000003</v>
      </c>
      <c r="CU20" s="24">
        <f t="shared" si="254"/>
        <v>26.228170630000008</v>
      </c>
      <c r="CV20" s="24">
        <f t="shared" si="254"/>
        <v>26.889693850000004</v>
      </c>
      <c r="CW20" s="24">
        <f t="shared" si="254"/>
        <v>27.379711050000008</v>
      </c>
      <c r="CX20" s="24">
        <f t="shared" si="254"/>
        <v>25.444143110000006</v>
      </c>
      <c r="CY20" s="24">
        <f t="shared" si="254"/>
        <v>28.064142574100011</v>
      </c>
      <c r="CZ20" s="24">
        <f t="shared" si="254"/>
        <v>28.771972419500006</v>
      </c>
      <c r="DA20" s="24">
        <f t="shared" si="254"/>
        <v>29.296290823500009</v>
      </c>
      <c r="DB20" s="24">
        <f t="shared" si="254"/>
        <v>27.225233127700008</v>
      </c>
      <c r="DE20" s="123"/>
      <c r="DF20" s="23">
        <v>86.48</v>
      </c>
    </row>
    <row r="21" spans="1:110" s="23" customFormat="1" outlineLevel="1" x14ac:dyDescent="0.2">
      <c r="A21" s="23" t="s">
        <v>10</v>
      </c>
      <c r="B21" s="23">
        <f>'Annual Raw'!C17</f>
        <v>24.247599999999998</v>
      </c>
      <c r="C21" s="23">
        <f>'Annual Raw'!D17</f>
        <v>31.34</v>
      </c>
      <c r="D21" s="23">
        <f>'Annual Raw'!E17</f>
        <v>34.979999999999997</v>
      </c>
      <c r="E21" s="23">
        <f>'Annual Raw'!F17</f>
        <v>47.61</v>
      </c>
      <c r="F21" s="23">
        <f>'Annual Raw'!G17</f>
        <v>64.16</v>
      </c>
      <c r="G21" s="23">
        <f>'Annual Raw'!H17</f>
        <v>69.680000000000007</v>
      </c>
      <c r="H21" s="23">
        <f>'Annual Raw'!I17</f>
        <v>79.72</v>
      </c>
      <c r="I21" s="23">
        <f>'Annual Raw'!J17</f>
        <v>72.739999999999995</v>
      </c>
      <c r="J21" s="23">
        <f>'Annual Raw'!K17</f>
        <v>163.99</v>
      </c>
      <c r="K21" s="23">
        <f>'Annual Raw'!L17</f>
        <v>235.65</v>
      </c>
      <c r="L21" s="23">
        <f>'Annual Raw'!M17</f>
        <v>231.45</v>
      </c>
      <c r="M21" s="23">
        <f>'Annual Raw'!N17</f>
        <v>147.84</v>
      </c>
      <c r="N21" s="23">
        <f>'Annual Raw'!O17</f>
        <v>183.81</v>
      </c>
      <c r="O21" s="23">
        <f>'Annual Raw'!P17</f>
        <v>78.13</v>
      </c>
      <c r="P21" s="23">
        <f>'Annual Raw'!Q17</f>
        <v>86.25</v>
      </c>
      <c r="Q21" s="23">
        <f>'Annual Raw'!R17</f>
        <v>100.82</v>
      </c>
      <c r="R21" s="23">
        <f>'Annual Raw'!S17</f>
        <v>462.22</v>
      </c>
      <c r="S21" s="23">
        <f>'Annual Raw'!T17</f>
        <v>427.27</v>
      </c>
      <c r="T21" s="23">
        <f>'Annual Raw'!U17</f>
        <v>213.47</v>
      </c>
      <c r="U21" s="23">
        <f>'Annual Raw'!V17</f>
        <v>20.7</v>
      </c>
      <c r="V21" s="23">
        <f>'Annual Raw'!W17</f>
        <v>10.029999999999999</v>
      </c>
      <c r="W21" s="23">
        <f>'Annual Raw'!X17</f>
        <v>28.98</v>
      </c>
      <c r="X21" s="23">
        <f>'Annual Raw'!Y17</f>
        <v>24.39</v>
      </c>
      <c r="Y21" s="23">
        <f>'Annual Raw'!Z17</f>
        <v>34.83</v>
      </c>
      <c r="Z21" s="23">
        <f>'Annual Raw'!AA17</f>
        <v>25.76</v>
      </c>
      <c r="AA21" s="23">
        <f>'Annual Raw'!AB17</f>
        <v>25.19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75.03</v>
      </c>
      <c r="AJ21" s="23">
        <f>'QTR Raw'!D17</f>
        <v>93.45</v>
      </c>
      <c r="AK21" s="23">
        <f>'QTR Raw'!E17</f>
        <v>62.2</v>
      </c>
      <c r="AL21" s="23">
        <f>'QTR Raw'!F17</f>
        <v>65.53</v>
      </c>
      <c r="AM21" s="23">
        <f>'QTR Raw'!G17</f>
        <v>79.95</v>
      </c>
      <c r="AN21" s="23">
        <f>'QTR Raw'!H17</f>
        <v>83.19</v>
      </c>
      <c r="AO21" s="23">
        <f>'QTR Raw'!I17</f>
        <v>87.95</v>
      </c>
      <c r="AP21" s="23">
        <f>'QTR Raw'!J17</f>
        <v>64.069999999999993</v>
      </c>
      <c r="AQ21" s="23">
        <f>'QTR Raw'!K17</f>
        <v>74.48</v>
      </c>
      <c r="AR21" s="23">
        <f>'QTR Raw'!L17</f>
        <v>83.39</v>
      </c>
      <c r="AS21" s="23">
        <f>'QTR Raw'!M17</f>
        <v>87.82</v>
      </c>
      <c r="AT21" s="23">
        <f>'QTR Raw'!N17</f>
        <v>65.569999999999993</v>
      </c>
      <c r="AU21" s="23">
        <f>'QTR Raw'!O17</f>
        <v>145.66999999999999</v>
      </c>
      <c r="AV21" s="23">
        <f>'QTR Raw'!P17</f>
        <v>78.23</v>
      </c>
      <c r="AW21" s="23">
        <f>'QTR Raw'!Q17</f>
        <v>71.84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64.2517</v>
      </c>
      <c r="C22" s="23">
        <f>'Annual Raw'!D19-'Annual Raw'!D20</f>
        <v>12.34</v>
      </c>
      <c r="D22" s="23">
        <f>'Annual Raw'!E19-'Annual Raw'!E20</f>
        <v>17.75</v>
      </c>
      <c r="E22" s="23">
        <f>'Annual Raw'!F19-'Annual Raw'!F20</f>
        <v>99.34</v>
      </c>
      <c r="F22" s="23">
        <f>'Annual Raw'!G19-'Annual Raw'!G20</f>
        <v>230.3</v>
      </c>
      <c r="G22" s="23">
        <f>'Annual Raw'!H19-'Annual Raw'!H20</f>
        <v>95.06</v>
      </c>
      <c r="H22" s="23">
        <f>'Annual Raw'!I19-'Annual Raw'!I20</f>
        <v>78.64</v>
      </c>
      <c r="I22" s="23">
        <f>'Annual Raw'!J19-'Annual Raw'!J20</f>
        <v>71.959999999999994</v>
      </c>
      <c r="J22" s="23">
        <f>'Annual Raw'!K19-'Annual Raw'!K20</f>
        <v>73.97</v>
      </c>
      <c r="K22" s="23">
        <f>'Annual Raw'!L19-'Annual Raw'!L20</f>
        <v>71.55</v>
      </c>
      <c r="L22" s="23">
        <f>'Annual Raw'!M19-'Annual Raw'!M20</f>
        <v>496.89</v>
      </c>
      <c r="M22" s="23">
        <f>'Annual Raw'!N19-'Annual Raw'!N20</f>
        <v>79.16</v>
      </c>
      <c r="N22" s="23">
        <f>'Annual Raw'!O19-'Annual Raw'!O20</f>
        <v>204.27</v>
      </c>
      <c r="O22" s="23">
        <f>'Annual Raw'!P19-'Annual Raw'!P20</f>
        <v>319.02</v>
      </c>
      <c r="P22" s="23">
        <f>'Annual Raw'!Q19-'Annual Raw'!Q20</f>
        <v>150.22999999999999</v>
      </c>
      <c r="Q22" s="23">
        <f>'Annual Raw'!R19-'Annual Raw'!R20</f>
        <v>210.44</v>
      </c>
      <c r="R22" s="23">
        <f>'Annual Raw'!S19-'Annual Raw'!S20</f>
        <v>252.05</v>
      </c>
      <c r="S22" s="23">
        <f>'Annual Raw'!T19-'Annual Raw'!T20</f>
        <v>416.31</v>
      </c>
      <c r="T22" s="23">
        <f>'Annual Raw'!U19-'Annual Raw'!U20</f>
        <v>72.930000000000007</v>
      </c>
      <c r="U22" s="23">
        <f>'Annual Raw'!V19-'Annual Raw'!V20</f>
        <v>14.71</v>
      </c>
      <c r="V22" s="23">
        <f>'Annual Raw'!W19-'Annual Raw'!W20</f>
        <v>2.5</v>
      </c>
      <c r="W22" s="23">
        <f>'Annual Raw'!X19-'Annual Raw'!X20</f>
        <v>8.75</v>
      </c>
      <c r="X22" s="23">
        <f>'Annual Raw'!Y19-'Annual Raw'!Y20</f>
        <v>7.9</v>
      </c>
      <c r="Y22" s="23">
        <f>'Annual Raw'!Z19-'Annual Raw'!Z20</f>
        <v>8.8699999999999992</v>
      </c>
      <c r="Z22" s="23">
        <f>'Annual Raw'!AA19-'Annual Raw'!AA20</f>
        <v>10.74</v>
      </c>
      <c r="AA22" s="23">
        <f>'Annual Raw'!AB19-'Annual Raw'!AB20</f>
        <v>10.19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72.27</v>
      </c>
      <c r="AL22" s="23">
        <f>+'QTR Raw'!F21</f>
        <v>23.27</v>
      </c>
      <c r="AM22" s="23">
        <f>+'QTR Raw'!G21</f>
        <v>10</v>
      </c>
      <c r="AN22" s="23">
        <f>+'QTR Raw'!H21</f>
        <v>29.2</v>
      </c>
      <c r="AO22" s="23">
        <f>+'QTR Raw'!I21</f>
        <v>26</v>
      </c>
      <c r="AP22" s="23">
        <f>+'QTR Raw'!J21</f>
        <v>34.200000000000003</v>
      </c>
      <c r="AQ22" s="23">
        <f>+'QTR Raw'!K21</f>
        <v>8.8000000000000007</v>
      </c>
      <c r="AR22" s="23">
        <f>+'QTR Raw'!L21</f>
        <v>10.4</v>
      </c>
      <c r="AS22" s="23">
        <f>+'QTR Raw'!M21</f>
        <v>8.3000000000000007</v>
      </c>
      <c r="AT22" s="23">
        <f>+'QTR Raw'!N21</f>
        <v>8.9</v>
      </c>
      <c r="AU22" s="23">
        <f>+'QTR Raw'!O21</f>
        <v>8.6999999999999993</v>
      </c>
      <c r="AV22" s="23">
        <f>+'QTR Raw'!P21</f>
        <v>10.7</v>
      </c>
      <c r="AW22" s="23">
        <f>+'QTR Raw'!Q21</f>
        <v>10</v>
      </c>
      <c r="AX22" s="23">
        <f>+'QTR Raw'!R21</f>
        <v>76.12</v>
      </c>
      <c r="AY22" s="23">
        <f>+'QTR Raw'!S21</f>
        <v>-2.68</v>
      </c>
      <c r="AZ22" s="23">
        <f>+'QTR Raw'!T21</f>
        <v>15.38</v>
      </c>
      <c r="BA22" s="23">
        <f>+'QTR Raw'!U21</f>
        <v>9.44</v>
      </c>
      <c r="BB22" s="23">
        <f>+'QTR Raw'!V21</f>
        <v>4.46</v>
      </c>
      <c r="BC22" s="23">
        <f>+'QTR Raw'!W21</f>
        <v>2.0499999999999998</v>
      </c>
      <c r="BD22" s="23">
        <f>+'QTR Raw'!X21</f>
        <v>1.87</v>
      </c>
      <c r="BE22" s="23">
        <f>+'QTR Raw'!Y21</f>
        <v>1.67</v>
      </c>
      <c r="BF22" s="23">
        <f>+'QTR Raw'!Z21</f>
        <v>150.22999999999999</v>
      </c>
      <c r="BG22" s="23">
        <f>+'QTR Raw'!AA21</f>
        <v>2.27</v>
      </c>
      <c r="BH22" s="23">
        <f>+'QTR Raw'!AB21</f>
        <v>2.4</v>
      </c>
      <c r="BI22" s="23">
        <f>+'QTR Raw'!AC21</f>
        <v>2.72</v>
      </c>
      <c r="BJ22" s="23">
        <f>+'QTR Raw'!AD21</f>
        <v>-413.01</v>
      </c>
      <c r="BK22" s="23">
        <f>+'QTR Raw'!AE21</f>
        <v>2.4300000000000002</v>
      </c>
      <c r="BL22" s="23">
        <f>+'QTR Raw'!AF21</f>
        <v>0.54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85.879800000000003</v>
      </c>
      <c r="C23" s="23">
        <f>'Annual Raw'!D15+'Annual Raw'!D16</f>
        <v>147.59</v>
      </c>
      <c r="D23" s="23">
        <f>'Annual Raw'!E15+'Annual Raw'!E16</f>
        <v>185.76</v>
      </c>
      <c r="E23" s="23">
        <f>'Annual Raw'!F15+'Annual Raw'!F16</f>
        <v>349.19</v>
      </c>
      <c r="F23" s="23">
        <f>'Annual Raw'!G15+'Annual Raw'!G16</f>
        <v>421.03</v>
      </c>
      <c r="G23" s="23">
        <f>'Annual Raw'!H15+'Annual Raw'!H16</f>
        <v>545.69000000000005</v>
      </c>
      <c r="H23" s="23">
        <f>'Annual Raw'!I15+'Annual Raw'!I16</f>
        <v>620.01</v>
      </c>
      <c r="I23" s="23">
        <f>'Annual Raw'!J15+'Annual Raw'!J16</f>
        <v>714.2</v>
      </c>
      <c r="J23" s="23">
        <f>'Annual Raw'!K15+'Annual Raw'!K16</f>
        <v>751.9</v>
      </c>
      <c r="K23" s="23">
        <f>'Annual Raw'!L15+'Annual Raw'!L16</f>
        <v>778.83</v>
      </c>
      <c r="L23" s="23">
        <f>'Annual Raw'!M15+'Annual Raw'!M16</f>
        <v>879.26</v>
      </c>
      <c r="M23" s="23">
        <f>'Annual Raw'!N15+'Annual Raw'!N16</f>
        <v>1138.17</v>
      </c>
      <c r="N23" s="23">
        <f>'Annual Raw'!O15+'Annual Raw'!O16</f>
        <v>1271.81</v>
      </c>
      <c r="O23" s="23">
        <f>'Annual Raw'!P15+'Annual Raw'!P16</f>
        <v>1411.4</v>
      </c>
      <c r="P23" s="23">
        <f>'Annual Raw'!Q15+'Annual Raw'!Q16</f>
        <v>1527.3</v>
      </c>
      <c r="Q23" s="23">
        <f>'Annual Raw'!R15+'Annual Raw'!R16</f>
        <v>1479.82</v>
      </c>
      <c r="R23" s="23">
        <f>'Annual Raw'!S15+'Annual Raw'!S16</f>
        <v>973.66</v>
      </c>
      <c r="S23" s="23">
        <f>'Annual Raw'!T15+'Annual Raw'!T16</f>
        <v>663.26</v>
      </c>
      <c r="T23" s="23">
        <f>'Annual Raw'!U15+'Annual Raw'!U16</f>
        <v>600.52</v>
      </c>
      <c r="U23" s="23">
        <f>'Annual Raw'!V15+'Annual Raw'!V16</f>
        <v>456.69</v>
      </c>
      <c r="V23" s="23">
        <f>'Annual Raw'!W15+'Annual Raw'!W16</f>
        <v>413.73</v>
      </c>
      <c r="W23" s="23">
        <f>'Annual Raw'!X15+'Annual Raw'!X16</f>
        <v>452.65</v>
      </c>
      <c r="X23" s="23">
        <f>'Annual Raw'!Y15+'Annual Raw'!Y16</f>
        <v>471.99</v>
      </c>
      <c r="Y23" s="23">
        <f>'Annual Raw'!Z15+'Annual Raw'!Z16</f>
        <v>503.04</v>
      </c>
      <c r="Z23" s="23">
        <f>'Annual Raw'!AA15+'Annual Raw'!AA16</f>
        <v>570.75</v>
      </c>
      <c r="AA23" s="23">
        <f>'Annual Raw'!AB15+'Annual Raw'!AB16</f>
        <v>375.86</v>
      </c>
      <c r="AB23" s="76">
        <f t="shared" si="250"/>
        <v>387.03966464314794</v>
      </c>
      <c r="AC23" s="76">
        <f t="shared" si="251"/>
        <v>332.19373538308275</v>
      </c>
      <c r="AD23" s="76">
        <f t="shared" si="252"/>
        <v>283.27004018064406</v>
      </c>
      <c r="AE23" s="76">
        <f t="shared" si="253"/>
        <v>238.17703612957115</v>
      </c>
      <c r="AI23" s="23">
        <f>'QTR Raw'!C14</f>
        <v>355.29</v>
      </c>
      <c r="AJ23" s="23">
        <f>'QTR Raw'!D14</f>
        <v>366.82</v>
      </c>
      <c r="AK23" s="23">
        <f>'QTR Raw'!E14</f>
        <v>361.75</v>
      </c>
      <c r="AL23" s="23">
        <f>'QTR Raw'!F14</f>
        <v>374.36</v>
      </c>
      <c r="AM23" s="23">
        <f>'QTR Raw'!G14</f>
        <v>361.1</v>
      </c>
      <c r="AN23" s="23">
        <f>'QTR Raw'!H14</f>
        <v>365.62</v>
      </c>
      <c r="AO23" s="23">
        <f>'QTR Raw'!I14</f>
        <v>378.18</v>
      </c>
      <c r="AP23" s="23">
        <f>'QTR Raw'!J14</f>
        <v>376.22</v>
      </c>
      <c r="AQ23" s="23">
        <f>'QTR Raw'!K14</f>
        <v>388.38</v>
      </c>
      <c r="AR23" s="23">
        <f>'QTR Raw'!L14</f>
        <v>390.36</v>
      </c>
      <c r="AS23" s="23">
        <f>'QTR Raw'!M14</f>
        <v>402.57</v>
      </c>
      <c r="AT23" s="23">
        <f>'QTR Raw'!N14</f>
        <v>429.56</v>
      </c>
      <c r="AU23" s="23">
        <f>'QTR Raw'!O14</f>
        <v>325.97000000000003</v>
      </c>
      <c r="AV23" s="23">
        <f>'QTR Raw'!P14</f>
        <v>395.5</v>
      </c>
      <c r="AW23" s="23">
        <f>'QTR Raw'!Q14</f>
        <v>380.76</v>
      </c>
      <c r="AX23" s="23">
        <f>'QTR Raw'!R14</f>
        <v>508.64</v>
      </c>
      <c r="AY23" s="23">
        <f>'QTR Raw'!S14</f>
        <v>489.03</v>
      </c>
      <c r="AZ23" s="23">
        <f>'QTR Raw'!T14</f>
        <v>495.42</v>
      </c>
      <c r="BA23" s="23">
        <f>'QTR Raw'!U14</f>
        <v>447.29</v>
      </c>
      <c r="BB23" s="23">
        <f>'QTR Raw'!V14</f>
        <v>450.02</v>
      </c>
      <c r="BC23" s="23">
        <f>'QTR Raw'!W14</f>
        <v>403.63</v>
      </c>
      <c r="BD23" s="23">
        <f>'QTR Raw'!X14</f>
        <v>365.09</v>
      </c>
      <c r="BE23" s="23">
        <f>'QTR Raw'!Y14</f>
        <v>355.97</v>
      </c>
      <c r="BF23" s="23">
        <f>'QTR Raw'!Z14</f>
        <v>347.75</v>
      </c>
      <c r="BG23" s="23">
        <f>'QTR Raw'!AA14</f>
        <v>279.95</v>
      </c>
      <c r="BH23" s="23">
        <f>'QTR Raw'!AB14</f>
        <v>261.44</v>
      </c>
      <c r="BI23" s="23">
        <f>'QTR Raw'!AC14</f>
        <v>213.44</v>
      </c>
      <c r="BJ23" s="23">
        <f>'QTR Raw'!AD14</f>
        <v>208.42</v>
      </c>
      <c r="BK23" s="23">
        <f>'QTR Raw'!AE14</f>
        <v>223.31</v>
      </c>
      <c r="BL23" s="23">
        <f>'QTR Raw'!AF14</f>
        <v>132.18</v>
      </c>
      <c r="BM23" s="23">
        <f>'QTR Raw'!AG14</f>
        <v>109.58</v>
      </c>
      <c r="BN23" s="23">
        <f>'QTR Raw'!AH14</f>
        <v>128.97</v>
      </c>
      <c r="BO23" s="23">
        <f>'QTR Raw'!AI14</f>
        <v>111.96</v>
      </c>
      <c r="BP23" s="23">
        <f>'QTR Raw'!AJ14</f>
        <v>127.2</v>
      </c>
      <c r="BQ23" s="23">
        <f>'QTR Raw'!AK14</f>
        <v>136.83000000000001</v>
      </c>
      <c r="BR23" s="23">
        <f>'QTR Raw'!AL14</f>
        <v>129.41</v>
      </c>
      <c r="BS23" s="23">
        <f>'QTR Raw'!AM14</f>
        <v>138.65</v>
      </c>
      <c r="BT23" s="23">
        <f>'QTR Raw'!AN14</f>
        <v>140.81</v>
      </c>
      <c r="BU23" s="23">
        <f>'QTR Raw'!AO14</f>
        <v>153.4</v>
      </c>
      <c r="BV23" s="23">
        <f>'QTR Raw'!AP14</f>
        <v>138.27000000000001</v>
      </c>
      <c r="BW23" s="23">
        <f>'QTR Raw'!AQ14</f>
        <v>135.49</v>
      </c>
      <c r="BX23" s="23">
        <f>'QTR Raw'!AR14</f>
        <v>143.43</v>
      </c>
      <c r="BY23" s="23">
        <f>'QTR Raw'!AS14</f>
        <v>140.22999999999999</v>
      </c>
      <c r="BZ23" s="23">
        <f>'QTR Raw'!AT14</f>
        <v>132.62</v>
      </c>
      <c r="CA23" s="23">
        <f>'QTR Raw'!AU14</f>
        <v>144.77000000000001</v>
      </c>
      <c r="CB23" s="23">
        <f>'QTR Raw'!AV14</f>
        <v>143.26</v>
      </c>
      <c r="CC23" s="23">
        <f>'QTR Raw'!AW14</f>
        <v>141.08000000000001</v>
      </c>
      <c r="CD23" s="23">
        <f>'QTR Raw'!AX14</f>
        <v>164.52</v>
      </c>
      <c r="CE23" s="23">
        <f>'QTR Raw'!AY14</f>
        <v>169.61</v>
      </c>
      <c r="CF23" s="23">
        <f>'QTR Raw'!AZ14</f>
        <v>184.43</v>
      </c>
      <c r="CG23" s="23">
        <f>'QTR Raw'!BA14</f>
        <v>162.87</v>
      </c>
      <c r="CH23" s="23">
        <f>'QTR Raw'!BB14</f>
        <v>137.26</v>
      </c>
      <c r="CI23" s="23">
        <f>'QTR Raw'!BC14</f>
        <v>118.14</v>
      </c>
      <c r="CJ23" s="23">
        <f>'QTR Raw'!BD14</f>
        <v>126.27</v>
      </c>
      <c r="CK23" s="23">
        <f>'QTR Raw'!BE14</f>
        <v>98.16</v>
      </c>
      <c r="CL23" s="23">
        <f>'QTR Raw'!BF14</f>
        <v>113.77</v>
      </c>
      <c r="CM23" s="24">
        <f t="shared" ref="CM23:DB23" si="255">CM26-CM20-CM21-CM22-CM24-CM25</f>
        <v>95.418367392714629</v>
      </c>
      <c r="CN23" s="24">
        <f t="shared" si="255"/>
        <v>94.523020982128315</v>
      </c>
      <c r="CO23" s="24">
        <f t="shared" si="255"/>
        <v>95.77014815433067</v>
      </c>
      <c r="CP23" s="24">
        <f t="shared" si="255"/>
        <v>101.32812811397436</v>
      </c>
      <c r="CQ23" s="24">
        <f t="shared" si="255"/>
        <v>79.919019568057749</v>
      </c>
      <c r="CR23" s="24">
        <f t="shared" si="255"/>
        <v>80.097618586680341</v>
      </c>
      <c r="CS23" s="24">
        <f t="shared" si="255"/>
        <v>84.42613965416875</v>
      </c>
      <c r="CT23" s="24">
        <f t="shared" si="255"/>
        <v>87.750957574175885</v>
      </c>
      <c r="CU23" s="24">
        <f t="shared" si="255"/>
        <v>67.63843528621625</v>
      </c>
      <c r="CV23" s="24">
        <f t="shared" si="255"/>
        <v>68.130883915366482</v>
      </c>
      <c r="CW23" s="24">
        <f t="shared" si="255"/>
        <v>72.278332581634672</v>
      </c>
      <c r="CX23" s="24">
        <f t="shared" si="255"/>
        <v>75.222388397426641</v>
      </c>
      <c r="CY23" s="24">
        <f t="shared" si="255"/>
        <v>56.656528147832496</v>
      </c>
      <c r="CZ23" s="24">
        <f t="shared" si="255"/>
        <v>57.079237989606526</v>
      </c>
      <c r="DA23" s="24">
        <f t="shared" si="255"/>
        <v>60.757477953168952</v>
      </c>
      <c r="DB23" s="24">
        <f t="shared" si="255"/>
        <v>63.683792038963205</v>
      </c>
      <c r="DE23" s="123"/>
      <c r="DF23" s="23">
        <v>456.34</v>
      </c>
    </row>
    <row r="24" spans="1:110" s="23" customFormat="1" outlineLevel="1" x14ac:dyDescent="0.2">
      <c r="A24" s="23" t="s">
        <v>7</v>
      </c>
      <c r="B24" s="23">
        <f>'Annual Raw'!C13</f>
        <v>5.8960999999999997</v>
      </c>
      <c r="C24" s="23">
        <f>'Annual Raw'!D13</f>
        <v>8.6999999999999993</v>
      </c>
      <c r="D24" s="23">
        <f>'Annual Raw'!E13</f>
        <v>10.01</v>
      </c>
      <c r="E24" s="23">
        <f>'Annual Raw'!F13</f>
        <v>16.5</v>
      </c>
      <c r="F24" s="23">
        <f>'Annual Raw'!G13</f>
        <v>24.58</v>
      </c>
      <c r="G24" s="23">
        <f>'Annual Raw'!H13</f>
        <v>30.17</v>
      </c>
      <c r="H24" s="23">
        <f>'Annual Raw'!I13</f>
        <v>36.76</v>
      </c>
      <c r="I24" s="23">
        <f>'Annual Raw'!J13</f>
        <v>52.27</v>
      </c>
      <c r="J24" s="23">
        <f>'Annual Raw'!K13</f>
        <v>59.15</v>
      </c>
      <c r="K24" s="23">
        <f>'Annual Raw'!L13</f>
        <v>107.96</v>
      </c>
      <c r="L24" s="23">
        <f>'Annual Raw'!M13</f>
        <v>150.19</v>
      </c>
      <c r="M24" s="23">
        <f>'Annual Raw'!N13</f>
        <v>159.28</v>
      </c>
      <c r="N24" s="23">
        <f>'Annual Raw'!O13</f>
        <v>189.84</v>
      </c>
      <c r="O24" s="23">
        <f>'Annual Raw'!P13</f>
        <v>200.65</v>
      </c>
      <c r="P24" s="23">
        <f>'Annual Raw'!Q13</f>
        <v>205.57</v>
      </c>
      <c r="Q24" s="23">
        <f>'Annual Raw'!R13</f>
        <v>194.4</v>
      </c>
      <c r="R24" s="23">
        <f>'Annual Raw'!S13</f>
        <v>216.93</v>
      </c>
      <c r="S24" s="23">
        <f>'Annual Raw'!T13</f>
        <v>215.69</v>
      </c>
      <c r="T24" s="23">
        <f>'Annual Raw'!U13</f>
        <v>74.069999999999993</v>
      </c>
      <c r="U24" s="23">
        <f>'Annual Raw'!V13</f>
        <v>46.6</v>
      </c>
      <c r="V24" s="23">
        <f>'Annual Raw'!W13</f>
        <v>33.76</v>
      </c>
      <c r="W24" s="23">
        <f>'Annual Raw'!X13</f>
        <v>31.71</v>
      </c>
      <c r="X24" s="23">
        <f>'Annual Raw'!Y13</f>
        <v>29.95</v>
      </c>
      <c r="Y24" s="23">
        <f>'Annual Raw'!Z13</f>
        <v>32.299999999999997</v>
      </c>
      <c r="Z24" s="23">
        <f>'Annual Raw'!AA13</f>
        <v>33.229999999999997</v>
      </c>
      <c r="AA24" s="23">
        <f>'Annual Raw'!AB13</f>
        <v>32.74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1.9917</v>
      </c>
      <c r="C25" s="23">
        <f>'Annual Raw'!D18</f>
        <v>5.56</v>
      </c>
      <c r="D25" s="23">
        <f>'Annual Raw'!E18</f>
        <v>8.82</v>
      </c>
      <c r="E25" s="23">
        <f>'Annual Raw'!F18</f>
        <v>45.6</v>
      </c>
      <c r="F25" s="23">
        <f>'Annual Raw'!G18</f>
        <v>121.67</v>
      </c>
      <c r="G25" s="23">
        <f>'Annual Raw'!H18</f>
        <v>184.39</v>
      </c>
      <c r="H25" s="23">
        <f>'Annual Raw'!I18</f>
        <v>233.59</v>
      </c>
      <c r="I25" s="23">
        <f>'Annual Raw'!J18</f>
        <v>304.66000000000003</v>
      </c>
      <c r="J25" s="23">
        <f>'Annual Raw'!K18</f>
        <v>296.14999999999998</v>
      </c>
      <c r="K25" s="23">
        <f>'Annual Raw'!L18</f>
        <v>352.49</v>
      </c>
      <c r="L25" s="23">
        <f>'Annual Raw'!M18</f>
        <v>306.38</v>
      </c>
      <c r="M25" s="23">
        <f>'Annual Raw'!N18</f>
        <v>245.85</v>
      </c>
      <c r="N25" s="23">
        <f>'Annual Raw'!O18</f>
        <v>163.31</v>
      </c>
      <c r="O25" s="23">
        <f>'Annual Raw'!P18</f>
        <v>120.45</v>
      </c>
      <c r="P25" s="23">
        <f>'Annual Raw'!Q18</f>
        <v>126.36</v>
      </c>
      <c r="Q25" s="23">
        <f>'Annual Raw'!R18</f>
        <v>118.47</v>
      </c>
      <c r="R25" s="23">
        <f>'Annual Raw'!S18</f>
        <v>87.44</v>
      </c>
      <c r="S25" s="23">
        <f>'Annual Raw'!T18</f>
        <v>49.68</v>
      </c>
      <c r="T25" s="23">
        <f>'Annual Raw'!U18</f>
        <v>52.28</v>
      </c>
      <c r="U25" s="23">
        <f>'Annual Raw'!V18</f>
        <v>58.22</v>
      </c>
      <c r="V25" s="23">
        <f>'Annual Raw'!W18</f>
        <v>45.38</v>
      </c>
      <c r="W25" s="23">
        <f>'Annual Raw'!X18</f>
        <v>49.04</v>
      </c>
      <c r="X25" s="23">
        <f>'Annual Raw'!Y18</f>
        <v>17.54</v>
      </c>
      <c r="Y25" s="23">
        <f>'Annual Raw'!Z18</f>
        <v>14.59</v>
      </c>
      <c r="Z25" s="23">
        <f>'Annual Raw'!AA18</f>
        <v>13.69</v>
      </c>
      <c r="AA25" s="23">
        <f>'Annual Raw'!AB18</f>
        <v>12.36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56.57</v>
      </c>
      <c r="AJ25" s="23">
        <f>'QTR Raw'!D18</f>
        <v>49.99</v>
      </c>
      <c r="AK25" s="23">
        <f>'QTR Raw'!E18</f>
        <v>33.42</v>
      </c>
      <c r="AL25" s="23">
        <f>'QTR Raw'!F18</f>
        <v>35.4</v>
      </c>
      <c r="AM25" s="23">
        <f>'QTR Raw'!G18</f>
        <v>40.200000000000003</v>
      </c>
      <c r="AN25" s="23">
        <f>'QTR Raw'!H18</f>
        <v>32.340000000000003</v>
      </c>
      <c r="AO25" s="23">
        <f>'QTR Raw'!I18</f>
        <v>31.19</v>
      </c>
      <c r="AP25" s="23">
        <f>'QTR Raw'!J18</f>
        <v>34.74</v>
      </c>
      <c r="AQ25" s="23">
        <f>'QTR Raw'!K18</f>
        <v>33.299999999999997</v>
      </c>
      <c r="AR25" s="23">
        <f>'QTR Raw'!L18</f>
        <v>35.08</v>
      </c>
      <c r="AS25" s="23">
        <f>'QTR Raw'!M18</f>
        <v>40.36</v>
      </c>
      <c r="AT25" s="23">
        <f>'QTR Raw'!N18</f>
        <v>34.049999999999997</v>
      </c>
      <c r="AU25" s="23">
        <f>'QTR Raw'!O18</f>
        <v>29.89</v>
      </c>
      <c r="AV25" s="23">
        <f>'QTR Raw'!P18</f>
        <v>36.450000000000003</v>
      </c>
      <c r="AW25" s="23">
        <f>'QTR Raw'!Q18</f>
        <v>34.5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202.77849999999998</v>
      </c>
      <c r="C26" s="22">
        <f t="shared" si="256"/>
        <v>238.99</v>
      </c>
      <c r="D26" s="22">
        <f t="shared" si="256"/>
        <v>296.23999999999995</v>
      </c>
      <c r="E26" s="22">
        <f t="shared" si="256"/>
        <v>597.91999999999996</v>
      </c>
      <c r="F26" s="22">
        <f t="shared" ref="F26:AE26" si="257">+SUM(F20:F25)</f>
        <v>902.59999999999991</v>
      </c>
      <c r="G26" s="22">
        <f t="shared" si="257"/>
        <v>972.43000000000006</v>
      </c>
      <c r="H26" s="22">
        <f t="shared" si="257"/>
        <v>1118.4599999999998</v>
      </c>
      <c r="I26" s="22">
        <f t="shared" si="257"/>
        <v>1307.98</v>
      </c>
      <c r="J26" s="22">
        <f t="shared" si="257"/>
        <v>1456.2600000000002</v>
      </c>
      <c r="K26" s="22">
        <f t="shared" si="257"/>
        <v>1693.5400000000002</v>
      </c>
      <c r="L26" s="22">
        <f t="shared" si="257"/>
        <v>2228.73</v>
      </c>
      <c r="M26" s="22">
        <f t="shared" si="257"/>
        <v>1944.76</v>
      </c>
      <c r="N26" s="22">
        <f t="shared" si="257"/>
        <v>2172.85</v>
      </c>
      <c r="O26" s="22">
        <f t="shared" si="257"/>
        <v>2302.3199999999997</v>
      </c>
      <c r="P26" s="22">
        <f t="shared" si="257"/>
        <v>2254.2400000000002</v>
      </c>
      <c r="Q26" s="22">
        <f t="shared" si="257"/>
        <v>2223.85</v>
      </c>
      <c r="R26" s="22">
        <f t="shared" si="257"/>
        <v>2118.1999999999998</v>
      </c>
      <c r="S26" s="22">
        <f t="shared" si="257"/>
        <v>1875.21</v>
      </c>
      <c r="T26" s="22">
        <f t="shared" si="257"/>
        <v>1078.06</v>
      </c>
      <c r="U26" s="22">
        <f t="shared" si="257"/>
        <v>656.04000000000008</v>
      </c>
      <c r="V26" s="22">
        <f t="shared" si="257"/>
        <v>554.77</v>
      </c>
      <c r="W26" s="22">
        <f t="shared" si="257"/>
        <v>626.16999999999996</v>
      </c>
      <c r="X26" s="22">
        <f t="shared" si="257"/>
        <v>613.67000000000007</v>
      </c>
      <c r="Y26" s="22">
        <f t="shared" si="257"/>
        <v>664.23</v>
      </c>
      <c r="Z26" s="22">
        <f t="shared" ref="Z26:AA26" si="258">+SUM(Z20:Z25)</f>
        <v>737.2600000000001</v>
      </c>
      <c r="AA26" s="22">
        <f t="shared" si="258"/>
        <v>542.82000000000005</v>
      </c>
      <c r="AB26" s="21">
        <f t="shared" si="257"/>
        <v>479.57326464314792</v>
      </c>
      <c r="AC26" s="21">
        <f t="shared" si="257"/>
        <v>431.20468738308273</v>
      </c>
      <c r="AD26" s="21">
        <f t="shared" si="257"/>
        <v>389.21175882064409</v>
      </c>
      <c r="AE26" s="21">
        <f t="shared" si="257"/>
        <v>351.53467507437119</v>
      </c>
      <c r="AI26" s="22">
        <f t="shared" ref="AI26:BN26" si="259">+SUM(AI20:AI25)</f>
        <v>527.58000000000004</v>
      </c>
      <c r="AJ26" s="22">
        <f t="shared" si="259"/>
        <v>543.15</v>
      </c>
      <c r="AK26" s="22">
        <f t="shared" si="259"/>
        <v>574.81999999999994</v>
      </c>
      <c r="AL26" s="22">
        <f t="shared" si="259"/>
        <v>539.61</v>
      </c>
      <c r="AM26" s="22">
        <f t="shared" si="259"/>
        <v>533.42000000000007</v>
      </c>
      <c r="AN26" s="22">
        <f t="shared" si="259"/>
        <v>556.28000000000009</v>
      </c>
      <c r="AO26" s="22">
        <f t="shared" si="259"/>
        <v>562.54000000000008</v>
      </c>
      <c r="AP26" s="22">
        <f t="shared" si="259"/>
        <v>554.58000000000004</v>
      </c>
      <c r="AQ26" s="22">
        <f t="shared" si="259"/>
        <v>537.23</v>
      </c>
      <c r="AR26" s="22">
        <f t="shared" si="259"/>
        <v>561.07000000000005</v>
      </c>
      <c r="AS26" s="22">
        <f t="shared" si="259"/>
        <v>580.04000000000008</v>
      </c>
      <c r="AT26" s="22">
        <f t="shared" si="259"/>
        <v>581.51</v>
      </c>
      <c r="AU26" s="22">
        <f t="shared" si="259"/>
        <v>535.6</v>
      </c>
      <c r="AV26" s="22">
        <f t="shared" si="259"/>
        <v>554.19000000000005</v>
      </c>
      <c r="AW26" s="22">
        <f t="shared" si="259"/>
        <v>529.57999999999993</v>
      </c>
      <c r="AX26" s="22">
        <f t="shared" si="259"/>
        <v>613.5</v>
      </c>
      <c r="AY26" s="22">
        <f t="shared" si="259"/>
        <v>516.88</v>
      </c>
      <c r="AZ26" s="22">
        <f t="shared" si="259"/>
        <v>542.51</v>
      </c>
      <c r="BA26" s="22">
        <f t="shared" si="259"/>
        <v>488.1</v>
      </c>
      <c r="BB26" s="22">
        <f t="shared" si="259"/>
        <v>486.77</v>
      </c>
      <c r="BC26" s="22">
        <f t="shared" si="259"/>
        <v>433.84</v>
      </c>
      <c r="BD26" s="22">
        <f t="shared" si="259"/>
        <v>390.94</v>
      </c>
      <c r="BE26" s="22">
        <f t="shared" si="259"/>
        <v>384.27000000000004</v>
      </c>
      <c r="BF26" s="22">
        <f t="shared" si="259"/>
        <v>522.21</v>
      </c>
      <c r="BG26" s="22">
        <f t="shared" si="259"/>
        <v>297.93</v>
      </c>
      <c r="BH26" s="22">
        <f t="shared" si="259"/>
        <v>282.43</v>
      </c>
      <c r="BI26" s="22">
        <f t="shared" si="259"/>
        <v>234.35999999999999</v>
      </c>
      <c r="BJ26" s="22">
        <f t="shared" si="259"/>
        <v>-192.29999999999998</v>
      </c>
      <c r="BK26" s="22">
        <f t="shared" si="259"/>
        <v>242.84</v>
      </c>
      <c r="BL26" s="22">
        <f t="shared" si="259"/>
        <v>148.01</v>
      </c>
      <c r="BM26" s="22">
        <f t="shared" si="259"/>
        <v>124.1</v>
      </c>
      <c r="BN26" s="22">
        <f t="shared" si="259"/>
        <v>141.18</v>
      </c>
      <c r="BO26" s="22">
        <f t="shared" ref="BO26:CH26" si="260">+SUM(BO20:BO25)</f>
        <v>125.63999999999999</v>
      </c>
      <c r="BP26" s="22">
        <f t="shared" si="260"/>
        <v>138.51</v>
      </c>
      <c r="BQ26" s="22">
        <f t="shared" si="260"/>
        <v>149.68</v>
      </c>
      <c r="BR26" s="22">
        <f t="shared" si="260"/>
        <v>140.94</v>
      </c>
      <c r="BS26" s="22">
        <f t="shared" si="260"/>
        <v>151.11000000000001</v>
      </c>
      <c r="BT26" s="22">
        <f t="shared" si="260"/>
        <v>155.02000000000001</v>
      </c>
      <c r="BU26" s="22">
        <f t="shared" si="260"/>
        <v>167.61</v>
      </c>
      <c r="BV26" s="22">
        <f t="shared" si="260"/>
        <v>152.43</v>
      </c>
      <c r="BW26" s="22">
        <f t="shared" si="260"/>
        <v>149.47</v>
      </c>
      <c r="BX26" s="22">
        <f t="shared" si="260"/>
        <v>158.78</v>
      </c>
      <c r="BY26" s="22">
        <f t="shared" si="260"/>
        <v>155.91</v>
      </c>
      <c r="BZ26" s="22">
        <f t="shared" si="260"/>
        <v>149.51</v>
      </c>
      <c r="CA26" s="22">
        <f t="shared" si="260"/>
        <v>160.75</v>
      </c>
      <c r="CB26" s="22">
        <f t="shared" si="260"/>
        <v>161.29999999999998</v>
      </c>
      <c r="CC26" s="22">
        <f t="shared" si="260"/>
        <v>159.73000000000002</v>
      </c>
      <c r="CD26" s="22">
        <f t="shared" si="260"/>
        <v>182.45000000000002</v>
      </c>
      <c r="CE26" s="22">
        <f t="shared" si="260"/>
        <v>188.64000000000001</v>
      </c>
      <c r="CF26" s="22">
        <f t="shared" si="260"/>
        <v>206.29000000000002</v>
      </c>
      <c r="CG26" s="22">
        <f t="shared" si="260"/>
        <v>183.94</v>
      </c>
      <c r="CH26" s="22">
        <f t="shared" si="260"/>
        <v>158.38999999999999</v>
      </c>
      <c r="CI26" s="22">
        <f t="shared" ref="CI26:CJ26" si="261">+SUM(CI20:CI25)</f>
        <v>139.55000000000001</v>
      </c>
      <c r="CJ26" s="22">
        <f t="shared" si="261"/>
        <v>148.22</v>
      </c>
      <c r="CK26" s="22">
        <f t="shared" ref="CK26:CL26" si="262">+SUM(CK20:CK25)</f>
        <v>120.50999999999999</v>
      </c>
      <c r="CL26" s="22">
        <f t="shared" si="262"/>
        <v>134.54</v>
      </c>
      <c r="CM26" s="21">
        <f t="shared" ref="CM26:DB26" si="263">CM27*CM10</f>
        <v>118.32706739271464</v>
      </c>
      <c r="CN26" s="21">
        <f t="shared" si="263"/>
        <v>118.00952098212832</v>
      </c>
      <c r="CO26" s="21">
        <f t="shared" si="263"/>
        <v>119.68464815433067</v>
      </c>
      <c r="CP26" s="21">
        <f t="shared" si="263"/>
        <v>123.55202811397436</v>
      </c>
      <c r="CQ26" s="21">
        <f t="shared" si="263"/>
        <v>104.43132856805775</v>
      </c>
      <c r="CR26" s="21">
        <f t="shared" si="263"/>
        <v>105.22817358668034</v>
      </c>
      <c r="CS26" s="21">
        <f t="shared" si="263"/>
        <v>110.01465465416875</v>
      </c>
      <c r="CT26" s="21">
        <f t="shared" si="263"/>
        <v>111.53053057417588</v>
      </c>
      <c r="CU26" s="21">
        <f t="shared" si="263"/>
        <v>93.866605916216258</v>
      </c>
      <c r="CV26" s="21">
        <f t="shared" si="263"/>
        <v>95.020577765366482</v>
      </c>
      <c r="CW26" s="21">
        <f t="shared" si="263"/>
        <v>99.658043631634683</v>
      </c>
      <c r="CX26" s="21">
        <f t="shared" si="263"/>
        <v>100.66653150742664</v>
      </c>
      <c r="CY26" s="21">
        <f t="shared" si="263"/>
        <v>84.720670721932507</v>
      </c>
      <c r="CZ26" s="21">
        <f t="shared" si="263"/>
        <v>85.851210409106528</v>
      </c>
      <c r="DA26" s="21">
        <f t="shared" si="263"/>
        <v>90.05376877666896</v>
      </c>
      <c r="DB26" s="21">
        <f t="shared" si="263"/>
        <v>90.909025166663213</v>
      </c>
      <c r="DE26" s="126"/>
      <c r="DF26" s="22">
        <v>542.81999999999994</v>
      </c>
    </row>
    <row r="27" spans="1:110" s="44" customFormat="1" x14ac:dyDescent="0.2">
      <c r="A27" s="43" t="s">
        <v>349</v>
      </c>
      <c r="B27" s="44">
        <f t="shared" ref="B27:E27" si="264">B26/B10</f>
        <v>1.4564470416194419</v>
      </c>
      <c r="C27" s="44">
        <f t="shared" si="264"/>
        <v>0.94649504950495056</v>
      </c>
      <c r="D27" s="44">
        <f t="shared" si="264"/>
        <v>0.82382713646096939</v>
      </c>
      <c r="E27" s="44">
        <f t="shared" si="264"/>
        <v>1.0007029288702929</v>
      </c>
      <c r="F27" s="44">
        <f t="shared" ref="F27:AE27" si="265">F26/F10</f>
        <v>1.1178124264678562</v>
      </c>
      <c r="G27" s="44">
        <f t="shared" si="265"/>
        <v>0.88795850720918978</v>
      </c>
      <c r="H27" s="44">
        <f t="shared" si="265"/>
        <v>0.79493667287381464</v>
      </c>
      <c r="I27" s="44">
        <f t="shared" si="265"/>
        <v>0.7661595955927577</v>
      </c>
      <c r="J27" s="44">
        <f t="shared" si="265"/>
        <v>0.7467502166522233</v>
      </c>
      <c r="K27" s="44">
        <f t="shared" si="265"/>
        <v>0.80711252603335137</v>
      </c>
      <c r="L27" s="44">
        <f t="shared" si="265"/>
        <v>0.98373050728507805</v>
      </c>
      <c r="M27" s="44">
        <f t="shared" si="265"/>
        <v>0.78151773802060731</v>
      </c>
      <c r="N27" s="44">
        <f t="shared" si="265"/>
        <v>0.82475498569010153</v>
      </c>
      <c r="O27" s="44">
        <f t="shared" si="265"/>
        <v>0.84297629595998791</v>
      </c>
      <c r="P27" s="44">
        <f t="shared" si="265"/>
        <v>0.77927770652636097</v>
      </c>
      <c r="Q27" s="44">
        <f t="shared" si="265"/>
        <v>0.74824450134417186</v>
      </c>
      <c r="R27" s="44">
        <f t="shared" si="265"/>
        <v>0.7836738922124673</v>
      </c>
      <c r="S27" s="44">
        <f t="shared" si="265"/>
        <v>1.0035857447913044</v>
      </c>
      <c r="T27" s="44">
        <f t="shared" si="265"/>
        <v>0.84408080175383648</v>
      </c>
      <c r="U27" s="44">
        <f t="shared" si="265"/>
        <v>0.60871824373225458</v>
      </c>
      <c r="V27" s="44">
        <f t="shared" si="265"/>
        <v>0.53156200295115263</v>
      </c>
      <c r="W27" s="44">
        <f t="shared" si="265"/>
        <v>0.57247211556043154</v>
      </c>
      <c r="X27" s="44">
        <f t="shared" si="265"/>
        <v>0.55477006246779426</v>
      </c>
      <c r="Y27" s="44">
        <f t="shared" si="265"/>
        <v>0.55740360005035028</v>
      </c>
      <c r="Z27" s="44">
        <f t="shared" ref="Z27:AA27" si="266">Z26/Z10</f>
        <v>0.56363719763921605</v>
      </c>
      <c r="AA27" s="44">
        <f t="shared" si="266"/>
        <v>0.46785551140722104</v>
      </c>
      <c r="AB27" s="52">
        <f t="shared" si="265"/>
        <v>0.45960411690250574</v>
      </c>
      <c r="AC27" s="52">
        <f t="shared" si="265"/>
        <v>0.45791853312229475</v>
      </c>
      <c r="AD27" s="52">
        <f t="shared" si="265"/>
        <v>0.45765855033697822</v>
      </c>
      <c r="AE27" s="52">
        <f t="shared" si="265"/>
        <v>0.45763063257296976</v>
      </c>
      <c r="AI27" s="44">
        <f t="shared" ref="AI27:BN27" si="267">AI26/AI10</f>
        <v>0.81616930431150514</v>
      </c>
      <c r="AJ27" s="44">
        <f t="shared" si="267"/>
        <v>0.84475169914615</v>
      </c>
      <c r="AK27" s="44">
        <f t="shared" si="267"/>
        <v>0.88311568597326762</v>
      </c>
      <c r="AL27" s="44">
        <f t="shared" si="267"/>
        <v>0.79215784142456591</v>
      </c>
      <c r="AM27" s="44">
        <f t="shared" si="267"/>
        <v>0.77561287695931613</v>
      </c>
      <c r="AN27" s="44">
        <f t="shared" si="267"/>
        <v>0.82072618362619709</v>
      </c>
      <c r="AO27" s="44">
        <f t="shared" si="267"/>
        <v>0.82464524451741539</v>
      </c>
      <c r="AP27" s="44">
        <f t="shared" si="267"/>
        <v>0.80849636994489316</v>
      </c>
      <c r="AQ27" s="44">
        <f t="shared" si="267"/>
        <v>0.75900312230683387</v>
      </c>
      <c r="AR27" s="44">
        <f t="shared" si="267"/>
        <v>0.80113944655453084</v>
      </c>
      <c r="AS27" s="44">
        <f t="shared" si="267"/>
        <v>0.78536611785095323</v>
      </c>
      <c r="AT27" s="44">
        <f t="shared" si="267"/>
        <v>0.77946222722642222</v>
      </c>
      <c r="AU27" s="44">
        <f t="shared" si="267"/>
        <v>0.71343891945173366</v>
      </c>
      <c r="AV27" s="44">
        <f t="shared" si="267"/>
        <v>0.74224525875924152</v>
      </c>
      <c r="AW27" s="44">
        <f t="shared" si="267"/>
        <v>0.71383512158300522</v>
      </c>
      <c r="AX27" s="44">
        <f t="shared" si="267"/>
        <v>0.8371540854756836</v>
      </c>
      <c r="AY27" s="44">
        <f t="shared" si="267"/>
        <v>0.70332421657073663</v>
      </c>
      <c r="AZ27" s="44">
        <f t="shared" si="267"/>
        <v>0.76108640451172127</v>
      </c>
      <c r="BA27" s="44">
        <f t="shared" si="267"/>
        <v>0.75813115467056025</v>
      </c>
      <c r="BB27" s="44">
        <f t="shared" si="267"/>
        <v>0.81600254806966954</v>
      </c>
      <c r="BC27" s="44">
        <f t="shared" si="267"/>
        <v>0.78439313674085587</v>
      </c>
      <c r="BD27" s="44">
        <f t="shared" si="267"/>
        <v>0.75863541100675302</v>
      </c>
      <c r="BE27" s="44">
        <f t="shared" si="267"/>
        <v>0.91847124623547982</v>
      </c>
      <c r="BF27" s="44">
        <f t="shared" si="267"/>
        <v>1.3680446400502986</v>
      </c>
      <c r="BG27" s="44">
        <f t="shared" si="267"/>
        <v>0.89080580056809688</v>
      </c>
      <c r="BH27" s="44">
        <f t="shared" si="267"/>
        <v>0.87754784986328616</v>
      </c>
      <c r="BI27" s="44">
        <f t="shared" si="267"/>
        <v>0.7673116589725959</v>
      </c>
      <c r="BJ27" s="44">
        <f t="shared" si="267"/>
        <v>-0.60954735640928104</v>
      </c>
      <c r="BK27" s="44">
        <f t="shared" si="267"/>
        <v>0.82753450332254219</v>
      </c>
      <c r="BL27" s="44">
        <f t="shared" si="267"/>
        <v>0.54747549472905488</v>
      </c>
      <c r="BM27" s="44">
        <f t="shared" si="267"/>
        <v>0.48655218379989018</v>
      </c>
      <c r="BN27" s="44">
        <f t="shared" si="267"/>
        <v>0.54534919653893699</v>
      </c>
      <c r="BO27" s="44">
        <f t="shared" ref="BO27:CH27" si="268">BO26/BO10</f>
        <v>0.51639950678175084</v>
      </c>
      <c r="BP27" s="44">
        <f t="shared" si="268"/>
        <v>0.53966336787968505</v>
      </c>
      <c r="BQ27" s="44">
        <f t="shared" si="268"/>
        <v>0.53762436694084259</v>
      </c>
      <c r="BR27" s="44">
        <f t="shared" si="268"/>
        <v>0.53126766934298308</v>
      </c>
      <c r="BS27" s="44">
        <f t="shared" si="268"/>
        <v>0.5637801738611351</v>
      </c>
      <c r="BT27" s="44">
        <f t="shared" si="268"/>
        <v>0.57677568180972583</v>
      </c>
      <c r="BU27" s="44">
        <f t="shared" si="268"/>
        <v>0.58971923158116946</v>
      </c>
      <c r="BV27" s="44">
        <f t="shared" si="268"/>
        <v>0.55880196495344236</v>
      </c>
      <c r="BW27" s="44">
        <f t="shared" si="268"/>
        <v>0.56090513359351546</v>
      </c>
      <c r="BX27" s="44">
        <f t="shared" si="268"/>
        <v>0.57185046459698907</v>
      </c>
      <c r="BY27" s="44">
        <f t="shared" si="268"/>
        <v>0.5530684639943243</v>
      </c>
      <c r="BZ27" s="44">
        <f t="shared" si="268"/>
        <v>0.53371648877306965</v>
      </c>
      <c r="CA27" s="44">
        <f t="shared" si="268"/>
        <v>0.5630275647087668</v>
      </c>
      <c r="CB27" s="44">
        <f t="shared" si="268"/>
        <v>0.56237361411338116</v>
      </c>
      <c r="CC27" s="44">
        <f t="shared" si="268"/>
        <v>0.53957369185555526</v>
      </c>
      <c r="CD27" s="44">
        <f t="shared" si="268"/>
        <v>0.56435398558569705</v>
      </c>
      <c r="CE27" s="44">
        <f t="shared" si="268"/>
        <v>0.58312210200927361</v>
      </c>
      <c r="CF27" s="44">
        <f t="shared" si="268"/>
        <v>0.60055312954876283</v>
      </c>
      <c r="CG27" s="44">
        <f t="shared" si="268"/>
        <v>0.55275415452114074</v>
      </c>
      <c r="CH27" s="44">
        <f t="shared" si="268"/>
        <v>0.51380283517695524</v>
      </c>
      <c r="CI27" s="44">
        <f t="shared" ref="CI27:CJ27" si="269">CI26/CI10</f>
        <v>0.49094107299912054</v>
      </c>
      <c r="CJ27" s="44">
        <f t="shared" si="269"/>
        <v>0.51801628630342855</v>
      </c>
      <c r="CK27" s="44">
        <f t="shared" ref="CK27:CL27" si="270">CK26/CK10</f>
        <v>0.40946620909924908</v>
      </c>
      <c r="CL27" s="44">
        <f t="shared" si="270"/>
        <v>0.45523448602558025</v>
      </c>
      <c r="CM27" s="52">
        <f t="shared" ref="CM27:DB27" si="271">AVERAGE(CI27:CL27)</f>
        <v>0.46841451360684461</v>
      </c>
      <c r="CN27" s="52">
        <f t="shared" si="271"/>
        <v>0.46278287375877569</v>
      </c>
      <c r="CO27" s="52">
        <f t="shared" si="271"/>
        <v>0.44897452062261245</v>
      </c>
      <c r="CP27" s="52">
        <f t="shared" si="271"/>
        <v>0.45885159850345325</v>
      </c>
      <c r="CQ27" s="52">
        <f t="shared" si="271"/>
        <v>0.4597558766229215</v>
      </c>
      <c r="CR27" s="52">
        <f t="shared" si="271"/>
        <v>0.4575912173769407</v>
      </c>
      <c r="CS27" s="52">
        <f t="shared" si="271"/>
        <v>0.45629330328148199</v>
      </c>
      <c r="CT27" s="52">
        <f t="shared" si="271"/>
        <v>0.45812299894619934</v>
      </c>
      <c r="CU27" s="52">
        <f t="shared" si="271"/>
        <v>0.45794084905688592</v>
      </c>
      <c r="CV27" s="52">
        <f t="shared" si="271"/>
        <v>0.45748709216537697</v>
      </c>
      <c r="CW27" s="52">
        <f t="shared" si="271"/>
        <v>0.45746106086248606</v>
      </c>
      <c r="CX27" s="52">
        <f t="shared" si="271"/>
        <v>0.45775300025773707</v>
      </c>
      <c r="CY27" s="52">
        <f t="shared" si="271"/>
        <v>0.45766050058562152</v>
      </c>
      <c r="CZ27" s="52">
        <f t="shared" si="271"/>
        <v>0.45759041346780543</v>
      </c>
      <c r="DA27" s="52">
        <f t="shared" si="271"/>
        <v>0.45761624379341254</v>
      </c>
      <c r="DB27" s="52">
        <f t="shared" si="271"/>
        <v>0.45765503952614417</v>
      </c>
      <c r="DE27" s="128"/>
      <c r="DF27" s="44">
        <v>0.46785551140722093</v>
      </c>
    </row>
    <row r="28" spans="1:110" s="26" customFormat="1" x14ac:dyDescent="0.2">
      <c r="A28" s="34" t="s">
        <v>13</v>
      </c>
      <c r="B28" s="26">
        <f t="shared" ref="B28:E28" si="272">B16-B26</f>
        <v>-63.550299999999993</v>
      </c>
      <c r="C28" s="26">
        <f t="shared" si="272"/>
        <v>13.509999999999991</v>
      </c>
      <c r="D28" s="26">
        <f t="shared" si="272"/>
        <v>63.350000000000023</v>
      </c>
      <c r="E28" s="26">
        <f t="shared" si="272"/>
        <v>-0.41999999999995907</v>
      </c>
      <c r="F28" s="26">
        <f t="shared" ref="F28:AE28" si="273">F16-F26</f>
        <v>-95.129999999999882</v>
      </c>
      <c r="G28" s="26">
        <f t="shared" si="273"/>
        <v>122.70000000000005</v>
      </c>
      <c r="H28" s="26">
        <f t="shared" si="273"/>
        <v>285.16000000000031</v>
      </c>
      <c r="I28" s="26">
        <f t="shared" si="273"/>
        <v>391.41000000000008</v>
      </c>
      <c r="J28" s="26">
        <f t="shared" si="273"/>
        <v>484.50999999999976</v>
      </c>
      <c r="K28" s="26">
        <f t="shared" si="273"/>
        <v>381.74999999999977</v>
      </c>
      <c r="L28" s="26">
        <f t="shared" si="273"/>
        <v>14.660000000000309</v>
      </c>
      <c r="M28" s="26">
        <f t="shared" si="273"/>
        <v>529.80000000000041</v>
      </c>
      <c r="N28" s="26">
        <f t="shared" si="273"/>
        <v>449.62000000000035</v>
      </c>
      <c r="O28" s="26">
        <f t="shared" si="273"/>
        <v>410.84000000000015</v>
      </c>
      <c r="P28" s="26">
        <f t="shared" si="273"/>
        <v>592.92999999999984</v>
      </c>
      <c r="Q28" s="26">
        <f t="shared" si="273"/>
        <v>715.8400000000006</v>
      </c>
      <c r="R28" s="26">
        <f t="shared" si="273"/>
        <v>576.44000000000005</v>
      </c>
      <c r="S28" s="26">
        <f t="shared" si="273"/>
        <v>-9.0099999999999909</v>
      </c>
      <c r="T28" s="26">
        <f t="shared" si="273"/>
        <v>199.1400000000001</v>
      </c>
      <c r="U28" s="26">
        <f t="shared" si="273"/>
        <v>421.69999999999993</v>
      </c>
      <c r="V28" s="26">
        <f t="shared" si="273"/>
        <v>488.8900000000001</v>
      </c>
      <c r="W28" s="26">
        <f t="shared" si="273"/>
        <v>467.63</v>
      </c>
      <c r="X28" s="26">
        <f t="shared" si="273"/>
        <v>492.5</v>
      </c>
      <c r="Y28" s="26">
        <f t="shared" si="273"/>
        <v>527.42000000000007</v>
      </c>
      <c r="Z28" s="26">
        <f t="shared" ref="Z28:AA28" si="274">Z16-Z26</f>
        <v>570.77999999999986</v>
      </c>
      <c r="AA28" s="26">
        <f t="shared" si="274"/>
        <v>617.41</v>
      </c>
      <c r="AB28" s="27">
        <f t="shared" si="273"/>
        <v>563.8753186185163</v>
      </c>
      <c r="AC28" s="27">
        <f t="shared" si="273"/>
        <v>510.45776170569957</v>
      </c>
      <c r="AD28" s="27">
        <f t="shared" si="273"/>
        <v>461.22959868062816</v>
      </c>
      <c r="AE28" s="27">
        <f t="shared" si="273"/>
        <v>416.6277905759556</v>
      </c>
      <c r="AI28" s="26">
        <f t="shared" ref="AI28:BN28" si="275">AI16-AI26</f>
        <v>118.82999999999993</v>
      </c>
      <c r="AJ28" s="26">
        <f t="shared" si="275"/>
        <v>99.819999999999936</v>
      </c>
      <c r="AK28" s="26">
        <f t="shared" si="275"/>
        <v>76.080000000000155</v>
      </c>
      <c r="AL28" s="26">
        <f t="shared" si="275"/>
        <v>141.57999999999993</v>
      </c>
      <c r="AM28" s="26">
        <f t="shared" si="275"/>
        <v>154.31999999999994</v>
      </c>
      <c r="AN28" s="26">
        <f t="shared" si="275"/>
        <v>121.50999999999988</v>
      </c>
      <c r="AO28" s="26">
        <f t="shared" si="275"/>
        <v>119.61999999999989</v>
      </c>
      <c r="AP28" s="26">
        <f t="shared" si="275"/>
        <v>131.36000000000001</v>
      </c>
      <c r="AQ28" s="26">
        <f t="shared" si="275"/>
        <v>162.68999999999994</v>
      </c>
      <c r="AR28" s="26">
        <f t="shared" si="275"/>
        <v>128.53999999999985</v>
      </c>
      <c r="AS28" s="26">
        <f t="shared" si="275"/>
        <v>149.36000000000001</v>
      </c>
      <c r="AT28" s="26">
        <f t="shared" si="275"/>
        <v>159.61000000000001</v>
      </c>
      <c r="AU28" s="26">
        <f t="shared" si="275"/>
        <v>209.98000000000002</v>
      </c>
      <c r="AV28" s="26">
        <f t="shared" si="275"/>
        <v>187.01999999999998</v>
      </c>
      <c r="AW28" s="26">
        <f t="shared" si="275"/>
        <v>208.85000000000002</v>
      </c>
      <c r="AX28" s="26">
        <f t="shared" si="275"/>
        <v>115.70000000000005</v>
      </c>
      <c r="AY28" s="26">
        <f t="shared" si="275"/>
        <v>214.55999999999995</v>
      </c>
      <c r="AZ28" s="26">
        <f t="shared" si="275"/>
        <v>167.67999999999995</v>
      </c>
      <c r="BA28" s="26">
        <f t="shared" si="275"/>
        <v>154.53999999999996</v>
      </c>
      <c r="BB28" s="26">
        <f t="shared" si="275"/>
        <v>108.75999999999999</v>
      </c>
      <c r="BC28" s="26">
        <f t="shared" si="275"/>
        <v>118.73000000000008</v>
      </c>
      <c r="BD28" s="26">
        <f t="shared" si="275"/>
        <v>123.10000000000008</v>
      </c>
      <c r="BE28" s="26">
        <f t="shared" si="275"/>
        <v>34.019999999999982</v>
      </c>
      <c r="BF28" s="26">
        <f t="shared" si="275"/>
        <v>-140.91000000000003</v>
      </c>
      <c r="BG28" s="26">
        <f t="shared" si="275"/>
        <v>36.149999999999977</v>
      </c>
      <c r="BH28" s="26">
        <f t="shared" si="275"/>
        <v>39.389999999999986</v>
      </c>
      <c r="BI28" s="26">
        <f t="shared" si="275"/>
        <v>70.91</v>
      </c>
      <c r="BJ28" s="26">
        <f t="shared" si="275"/>
        <v>507.78</v>
      </c>
      <c r="BK28" s="26">
        <f t="shared" si="275"/>
        <v>50.609999999999985</v>
      </c>
      <c r="BL28" s="26">
        <f t="shared" si="275"/>
        <v>122.34000000000003</v>
      </c>
      <c r="BM28" s="26">
        <f t="shared" si="275"/>
        <v>130.96</v>
      </c>
      <c r="BN28" s="26">
        <f t="shared" si="275"/>
        <v>117.69999999999999</v>
      </c>
      <c r="BO28" s="26">
        <f t="shared" ref="BO28:CT28" si="276">BO16-BO26</f>
        <v>117.66000000000003</v>
      </c>
      <c r="BP28" s="26">
        <f t="shared" si="276"/>
        <v>118.15000000000003</v>
      </c>
      <c r="BQ28" s="26">
        <f t="shared" si="276"/>
        <v>128.73000000000002</v>
      </c>
      <c r="BR28" s="26">
        <f t="shared" si="276"/>
        <v>124.35000000000002</v>
      </c>
      <c r="BS28" s="26">
        <f t="shared" si="276"/>
        <v>116.91999999999996</v>
      </c>
      <c r="BT28" s="26">
        <f t="shared" si="276"/>
        <v>113.74999999999997</v>
      </c>
      <c r="BU28" s="26">
        <f t="shared" si="276"/>
        <v>116.61000000000001</v>
      </c>
      <c r="BV28" s="26">
        <f t="shared" si="276"/>
        <v>120.34999999999997</v>
      </c>
      <c r="BW28" s="26">
        <f t="shared" si="276"/>
        <v>117.01000000000002</v>
      </c>
      <c r="BX28" s="26">
        <f t="shared" si="276"/>
        <v>118.88000000000002</v>
      </c>
      <c r="BY28" s="26">
        <f t="shared" si="276"/>
        <v>125.98999999999998</v>
      </c>
      <c r="BZ28" s="26">
        <f t="shared" si="276"/>
        <v>130.62</v>
      </c>
      <c r="CA28" s="26">
        <f t="shared" si="276"/>
        <v>124.75999999999999</v>
      </c>
      <c r="CB28" s="26">
        <f t="shared" si="276"/>
        <v>125.52000000000001</v>
      </c>
      <c r="CC28" s="26">
        <f t="shared" si="276"/>
        <v>136.29999999999995</v>
      </c>
      <c r="CD28" s="26">
        <f t="shared" si="276"/>
        <v>140.84</v>
      </c>
      <c r="CE28" s="26">
        <f t="shared" si="276"/>
        <v>134.85999999999999</v>
      </c>
      <c r="CF28" s="26">
        <f t="shared" si="276"/>
        <v>137.20999999999998</v>
      </c>
      <c r="CG28" s="26">
        <f t="shared" si="276"/>
        <v>148.82999999999998</v>
      </c>
      <c r="CH28" s="26">
        <f t="shared" si="276"/>
        <v>149.88</v>
      </c>
      <c r="CI28" s="26">
        <f t="shared" ref="CI28:CJ28" si="277">CI16-CI26</f>
        <v>144.69999999999999</v>
      </c>
      <c r="CJ28" s="26">
        <f t="shared" si="277"/>
        <v>137.91</v>
      </c>
      <c r="CK28" s="26">
        <f t="shared" ref="CK28:CL28" si="278">CK16-CK26</f>
        <v>173.8</v>
      </c>
      <c r="CL28" s="26">
        <f t="shared" si="278"/>
        <v>161.00000000000003</v>
      </c>
      <c r="CM28" s="27">
        <f t="shared" si="276"/>
        <v>134.28480511649278</v>
      </c>
      <c r="CN28" s="27">
        <f t="shared" si="276"/>
        <v>136.99023737893944</v>
      </c>
      <c r="CO28" s="27">
        <f t="shared" si="276"/>
        <v>146.88871549302905</v>
      </c>
      <c r="CP28" s="27">
        <f t="shared" si="276"/>
        <v>145.71156063005509</v>
      </c>
      <c r="CQ28" s="27">
        <f t="shared" si="276"/>
        <v>122.71384537761278</v>
      </c>
      <c r="CR28" s="27">
        <f t="shared" si="276"/>
        <v>124.73291305716283</v>
      </c>
      <c r="CS28" s="27">
        <f t="shared" si="276"/>
        <v>131.09047194529398</v>
      </c>
      <c r="CT28" s="27">
        <f t="shared" si="276"/>
        <v>131.92053132563001</v>
      </c>
      <c r="CU28" s="27">
        <f t="shared" ref="CU28:DB28" si="279">CU16-CU26</f>
        <v>111.10878797915569</v>
      </c>
      <c r="CV28" s="27">
        <f t="shared" si="279"/>
        <v>112.68053422801299</v>
      </c>
      <c r="CW28" s="27">
        <f t="shared" si="279"/>
        <v>118.19228759380735</v>
      </c>
      <c r="CX28" s="27">
        <f t="shared" si="279"/>
        <v>119.24798887965224</v>
      </c>
      <c r="CY28" s="27">
        <f t="shared" si="279"/>
        <v>100.39618033583649</v>
      </c>
      <c r="CZ28" s="27">
        <f t="shared" si="279"/>
        <v>101.76463092483073</v>
      </c>
      <c r="DA28" s="27">
        <f t="shared" si="279"/>
        <v>106.73506902805519</v>
      </c>
      <c r="DB28" s="27">
        <f t="shared" si="279"/>
        <v>107.73191028723321</v>
      </c>
      <c r="DE28" s="121"/>
      <c r="DF28" s="26">
        <v>617.41000000000008</v>
      </c>
    </row>
    <row r="29" spans="1:110" s="168" customFormat="1" x14ac:dyDescent="0.2">
      <c r="A29" s="165" t="s">
        <v>14</v>
      </c>
      <c r="B29" s="166">
        <f t="shared" ref="B29:E29" si="280">B28/B10</f>
        <v>-0.45644704161944205</v>
      </c>
      <c r="C29" s="166">
        <f t="shared" si="280"/>
        <v>5.3504950495049469E-2</v>
      </c>
      <c r="D29" s="166">
        <f t="shared" si="280"/>
        <v>0.17617286353903064</v>
      </c>
      <c r="E29" s="166">
        <f t="shared" si="280"/>
        <v>-7.0292887029281851E-4</v>
      </c>
      <c r="F29" s="166">
        <f t="shared" ref="F29:AE29" si="281">F28/F10</f>
        <v>-0.11781242646785624</v>
      </c>
      <c r="G29" s="166">
        <f t="shared" si="281"/>
        <v>0.11204149279081026</v>
      </c>
      <c r="H29" s="166">
        <f t="shared" si="281"/>
        <v>0.20267523347879879</v>
      </c>
      <c r="I29" s="166">
        <f t="shared" si="281"/>
        <v>0.22927149292111604</v>
      </c>
      <c r="J29" s="166">
        <f t="shared" si="281"/>
        <v>0.24845010332644477</v>
      </c>
      <c r="K29" s="166">
        <f t="shared" si="281"/>
        <v>0.18193559456123368</v>
      </c>
      <c r="L29" s="166">
        <f t="shared" si="281"/>
        <v>6.4707206511329532E-3</v>
      </c>
      <c r="M29" s="166">
        <f t="shared" si="281"/>
        <v>0.21290447027053108</v>
      </c>
      <c r="N29" s="166">
        <f t="shared" si="281"/>
        <v>0.17066356935176552</v>
      </c>
      <c r="O29" s="166">
        <f t="shared" si="281"/>
        <v>0.15042582327052781</v>
      </c>
      <c r="P29" s="166">
        <f t="shared" si="281"/>
        <v>0.20497246545650644</v>
      </c>
      <c r="Q29" s="166">
        <f t="shared" si="281"/>
        <v>0.24085407911604312</v>
      </c>
      <c r="R29" s="166">
        <f t="shared" si="281"/>
        <v>0.21326644246386306</v>
      </c>
      <c r="S29" s="166">
        <f t="shared" si="281"/>
        <v>-4.8220239656196597E-3</v>
      </c>
      <c r="T29" s="166">
        <f t="shared" si="281"/>
        <v>0.15591919824616354</v>
      </c>
      <c r="U29" s="166">
        <f t="shared" si="281"/>
        <v>0.39128175626774542</v>
      </c>
      <c r="V29" s="166">
        <f t="shared" si="281"/>
        <v>0.46843799704884737</v>
      </c>
      <c r="W29" s="166">
        <f t="shared" si="281"/>
        <v>0.42752788443956852</v>
      </c>
      <c r="X29" s="166">
        <f t="shared" si="281"/>
        <v>0.44522993753220569</v>
      </c>
      <c r="Y29" s="166">
        <f t="shared" si="281"/>
        <v>0.44259639994964967</v>
      </c>
      <c r="Z29" s="166">
        <f t="shared" ref="Z29:AA29" si="282">Z28/Z10</f>
        <v>0.43636280236078395</v>
      </c>
      <c r="AA29" s="166">
        <f t="shared" si="282"/>
        <v>0.53214448859277896</v>
      </c>
      <c r="AB29" s="167">
        <f t="shared" si="281"/>
        <v>0.54039588309749431</v>
      </c>
      <c r="AC29" s="167">
        <f t="shared" si="281"/>
        <v>0.54208146687770531</v>
      </c>
      <c r="AD29" s="167">
        <f t="shared" si="281"/>
        <v>0.54234144966302178</v>
      </c>
      <c r="AE29" s="167">
        <f t="shared" si="281"/>
        <v>0.54236936742703024</v>
      </c>
      <c r="AI29" s="166">
        <f t="shared" ref="AI29:BN29" si="283">AI28/AI10</f>
        <v>0.18383069568849481</v>
      </c>
      <c r="AJ29" s="166">
        <f t="shared" si="283"/>
        <v>0.15524830085385002</v>
      </c>
      <c r="AK29" s="166">
        <f t="shared" si="283"/>
        <v>0.11688431402673244</v>
      </c>
      <c r="AL29" s="166">
        <f t="shared" si="283"/>
        <v>0.20784215857543409</v>
      </c>
      <c r="AM29" s="166">
        <f t="shared" si="283"/>
        <v>0.22438712304068389</v>
      </c>
      <c r="AN29" s="166">
        <f t="shared" si="283"/>
        <v>0.17927381637380294</v>
      </c>
      <c r="AO29" s="166">
        <f t="shared" si="283"/>
        <v>0.17535475548258458</v>
      </c>
      <c r="AP29" s="166">
        <f t="shared" si="283"/>
        <v>0.19150363005510687</v>
      </c>
      <c r="AQ29" s="166">
        <f t="shared" si="283"/>
        <v>0.22984981845410485</v>
      </c>
      <c r="AR29" s="166">
        <f t="shared" si="283"/>
        <v>0.18353942370848425</v>
      </c>
      <c r="AS29" s="166">
        <f t="shared" si="283"/>
        <v>0.20223136915077991</v>
      </c>
      <c r="AT29" s="166">
        <f t="shared" si="283"/>
        <v>0.21394295212052977</v>
      </c>
      <c r="AU29" s="166">
        <f t="shared" si="283"/>
        <v>0.27970109093815354</v>
      </c>
      <c r="AV29" s="166">
        <f t="shared" si="283"/>
        <v>0.25048216007714558</v>
      </c>
      <c r="AW29" s="166">
        <f t="shared" si="283"/>
        <v>0.2815145306518575</v>
      </c>
      <c r="AX29" s="166">
        <f t="shared" si="283"/>
        <v>0.15787893673926101</v>
      </c>
      <c r="AY29" s="166">
        <f t="shared" si="283"/>
        <v>0.29195411683063227</v>
      </c>
      <c r="AZ29" s="166">
        <f t="shared" si="283"/>
        <v>0.23523800171153597</v>
      </c>
      <c r="BA29" s="166">
        <f t="shared" si="283"/>
        <v>0.24003603491659156</v>
      </c>
      <c r="BB29" s="166">
        <f t="shared" si="283"/>
        <v>0.18232109030560073</v>
      </c>
      <c r="BC29" s="166">
        <f t="shared" si="283"/>
        <v>0.21466669077365361</v>
      </c>
      <c r="BD29" s="166">
        <f t="shared" si="283"/>
        <v>0.23888069549018098</v>
      </c>
      <c r="BE29" s="166">
        <f t="shared" si="283"/>
        <v>8.1313638319231274E-2</v>
      </c>
      <c r="BF29" s="166">
        <f t="shared" si="283"/>
        <v>-0.36914492298019497</v>
      </c>
      <c r="BG29" s="166">
        <f t="shared" si="283"/>
        <v>0.10808790551651959</v>
      </c>
      <c r="BH29" s="166">
        <f t="shared" si="283"/>
        <v>0.12239000745712152</v>
      </c>
      <c r="BI29" s="166">
        <f t="shared" si="283"/>
        <v>0.23216448940837506</v>
      </c>
      <c r="BJ29" s="166">
        <f t="shared" si="283"/>
        <v>1.6095473564092808</v>
      </c>
      <c r="BK29" s="166">
        <f t="shared" si="283"/>
        <v>0.17246549667745778</v>
      </c>
      <c r="BL29" s="166">
        <f t="shared" si="283"/>
        <v>0.45252450527094518</v>
      </c>
      <c r="BM29" s="166">
        <f t="shared" si="283"/>
        <v>0.51344781620010982</v>
      </c>
      <c r="BN29" s="166">
        <f t="shared" si="283"/>
        <v>0.45465080346106301</v>
      </c>
      <c r="BO29" s="166">
        <f t="shared" ref="BO29:CT29" si="284">BO28/BO10</f>
        <v>0.48360049321824916</v>
      </c>
      <c r="BP29" s="166">
        <f t="shared" si="284"/>
        <v>0.46033663212031489</v>
      </c>
      <c r="BQ29" s="166">
        <f t="shared" si="284"/>
        <v>0.46237563305915741</v>
      </c>
      <c r="BR29" s="166">
        <f t="shared" si="284"/>
        <v>0.46873233065701692</v>
      </c>
      <c r="BS29" s="166">
        <f t="shared" si="284"/>
        <v>0.43621982613886495</v>
      </c>
      <c r="BT29" s="166">
        <f t="shared" si="284"/>
        <v>0.42322431819027412</v>
      </c>
      <c r="BU29" s="166">
        <f t="shared" si="284"/>
        <v>0.41028076841883049</v>
      </c>
      <c r="BV29" s="166">
        <f t="shared" si="284"/>
        <v>0.44119803504655758</v>
      </c>
      <c r="BW29" s="166">
        <f t="shared" si="284"/>
        <v>0.4390948664064846</v>
      </c>
      <c r="BX29" s="166">
        <f t="shared" si="284"/>
        <v>0.42814953540301093</v>
      </c>
      <c r="BY29" s="166">
        <f t="shared" si="284"/>
        <v>0.44693153600567576</v>
      </c>
      <c r="BZ29" s="166">
        <f t="shared" si="284"/>
        <v>0.4662835112269304</v>
      </c>
      <c r="CA29" s="166">
        <f t="shared" si="284"/>
        <v>0.4369724352912332</v>
      </c>
      <c r="CB29" s="166">
        <f t="shared" si="284"/>
        <v>0.43762638588661884</v>
      </c>
      <c r="CC29" s="166">
        <f t="shared" si="284"/>
        <v>0.46042630814444468</v>
      </c>
      <c r="CD29" s="166">
        <f t="shared" si="284"/>
        <v>0.43564601441430295</v>
      </c>
      <c r="CE29" s="166">
        <f t="shared" si="284"/>
        <v>0.41687789799072639</v>
      </c>
      <c r="CF29" s="166">
        <f t="shared" si="284"/>
        <v>0.39944687045123722</v>
      </c>
      <c r="CG29" s="166">
        <f t="shared" si="284"/>
        <v>0.44724584547885926</v>
      </c>
      <c r="CH29" s="166">
        <f t="shared" si="284"/>
        <v>0.48619716482304476</v>
      </c>
      <c r="CI29" s="166">
        <f t="shared" ref="CI29:CJ29" si="285">CI28/CI10</f>
        <v>0.50905892700087951</v>
      </c>
      <c r="CJ29" s="166">
        <f t="shared" si="285"/>
        <v>0.4819837136965715</v>
      </c>
      <c r="CK29" s="166">
        <f t="shared" ref="CK29:CL29" si="286">CK28/CK10</f>
        <v>0.59053379090075098</v>
      </c>
      <c r="CL29" s="166">
        <f t="shared" si="286"/>
        <v>0.54476551397441975</v>
      </c>
      <c r="CM29" s="167">
        <f t="shared" si="284"/>
        <v>0.53158548639315539</v>
      </c>
      <c r="CN29" s="167">
        <f t="shared" si="284"/>
        <v>0.53721712624122431</v>
      </c>
      <c r="CO29" s="167">
        <f t="shared" si="284"/>
        <v>0.55102547937738755</v>
      </c>
      <c r="CP29" s="167">
        <f t="shared" si="284"/>
        <v>0.54114840149654675</v>
      </c>
      <c r="CQ29" s="167">
        <f t="shared" si="284"/>
        <v>0.5402441233770785</v>
      </c>
      <c r="CR29" s="167">
        <f t="shared" si="284"/>
        <v>0.54240878262305925</v>
      </c>
      <c r="CS29" s="167">
        <f t="shared" si="284"/>
        <v>0.54370669671851812</v>
      </c>
      <c r="CT29" s="167">
        <f t="shared" si="284"/>
        <v>0.54187700105380066</v>
      </c>
      <c r="CU29" s="167">
        <f t="shared" ref="CU29:DB29" si="287">CU28/CU10</f>
        <v>0.54205915094311408</v>
      </c>
      <c r="CV29" s="167">
        <f t="shared" si="287"/>
        <v>0.54251290783462303</v>
      </c>
      <c r="CW29" s="167">
        <f t="shared" si="287"/>
        <v>0.54253893913751394</v>
      </c>
      <c r="CX29" s="167">
        <f t="shared" si="287"/>
        <v>0.54224699974226298</v>
      </c>
      <c r="CY29" s="167">
        <f t="shared" si="287"/>
        <v>0.54233949941437842</v>
      </c>
      <c r="CZ29" s="167">
        <f t="shared" si="287"/>
        <v>0.54240958653219462</v>
      </c>
      <c r="DA29" s="167">
        <f t="shared" si="287"/>
        <v>0.54238375620658752</v>
      </c>
      <c r="DB29" s="167">
        <f t="shared" si="287"/>
        <v>0.54234496047385583</v>
      </c>
      <c r="DE29" s="169"/>
      <c r="DF29" s="168">
        <v>0.53214448859277907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1.2125875094216707</v>
      </c>
      <c r="D30" s="39">
        <f t="shared" si="288"/>
        <v>3.6891191709844611</v>
      </c>
      <c r="E30" s="39">
        <f t="shared" si="288"/>
        <v>-1.0066298342541431</v>
      </c>
      <c r="F30" s="39">
        <f t="shared" ref="F30:Y30" si="289">+IF(E28&lt;0,1-F28/E28,F28/E28-1)</f>
        <v>-225.5000000000218</v>
      </c>
      <c r="G30" s="39">
        <f t="shared" si="289"/>
        <v>2.2898139388205632</v>
      </c>
      <c r="H30" s="39">
        <f t="shared" si="289"/>
        <v>1.3240423797881027</v>
      </c>
      <c r="I30" s="39">
        <f t="shared" si="289"/>
        <v>0.37259783980922867</v>
      </c>
      <c r="J30" s="39">
        <f t="shared" si="289"/>
        <v>0.23785800056206963</v>
      </c>
      <c r="K30" s="39">
        <f t="shared" si="289"/>
        <v>-0.21209056572619767</v>
      </c>
      <c r="L30" s="39">
        <f t="shared" si="289"/>
        <v>-0.96159790438768744</v>
      </c>
      <c r="M30" s="39">
        <f t="shared" si="289"/>
        <v>35.139154160981533</v>
      </c>
      <c r="N30" s="39">
        <f t="shared" si="289"/>
        <v>-0.15134012835032085</v>
      </c>
      <c r="O30" s="39">
        <f t="shared" si="289"/>
        <v>-8.6250611627597062E-2</v>
      </c>
      <c r="P30" s="39">
        <f t="shared" si="289"/>
        <v>0.44321390322266474</v>
      </c>
      <c r="Q30" s="39">
        <f t="shared" si="289"/>
        <v>0.20729259777714204</v>
      </c>
      <c r="R30" s="39">
        <f t="shared" si="289"/>
        <v>-0.19473625391148919</v>
      </c>
      <c r="S30" s="39">
        <f t="shared" si="289"/>
        <v>-1.0156304212060232</v>
      </c>
      <c r="T30" s="39">
        <f t="shared" si="289"/>
        <v>23.102108768035549</v>
      </c>
      <c r="U30" s="39">
        <f t="shared" si="289"/>
        <v>1.1176057045294754</v>
      </c>
      <c r="V30" s="39">
        <f t="shared" si="289"/>
        <v>0.15933127815982973</v>
      </c>
      <c r="W30" s="39">
        <f t="shared" si="289"/>
        <v>-4.3486264803943797E-2</v>
      </c>
      <c r="X30" s="39">
        <f t="shared" si="289"/>
        <v>5.3183072086906424E-2</v>
      </c>
      <c r="Y30" s="39">
        <f t="shared" si="289"/>
        <v>7.0903553299492605E-2</v>
      </c>
      <c r="Z30" s="39">
        <f t="shared" ref="Z30:AE30" si="290">+IF(Y28&lt;0,1-Z28/Y28,Z28/Y28-1)</f>
        <v>8.2211520230555779E-2</v>
      </c>
      <c r="AA30" s="39">
        <f t="shared" si="290"/>
        <v>8.1695224079330275E-2</v>
      </c>
      <c r="AB30" s="40">
        <f t="shared" si="290"/>
        <v>-8.6708477966802699E-2</v>
      </c>
      <c r="AC30" s="40">
        <f t="shared" si="290"/>
        <v>-9.4732922596592273E-2</v>
      </c>
      <c r="AD30" s="40">
        <f t="shared" si="290"/>
        <v>-9.6439248686463364E-2</v>
      </c>
      <c r="AE30" s="40">
        <f t="shared" si="290"/>
        <v>-9.6701964124285222E-2</v>
      </c>
      <c r="AI30" s="39"/>
      <c r="AJ30" s="39"/>
      <c r="AK30" s="39"/>
      <c r="AL30" s="39"/>
      <c r="AM30" s="39">
        <f>+IF(AI28&lt;0,1-AM28/AI28,AM28/AI28-1)</f>
        <v>0.29866195405200724</v>
      </c>
      <c r="AN30" s="39">
        <f t="shared" ref="AN30" si="291">+IF(AJ28&lt;0,1-AN28/AJ28,AN28/AJ28-1)</f>
        <v>0.21729112402324136</v>
      </c>
      <c r="AO30" s="39">
        <f t="shared" ref="AO30" si="292">+IF(AK28&lt;0,1-AO28/AK28,AO28/AK28-1)</f>
        <v>0.57229232386960627</v>
      </c>
      <c r="AP30" s="39">
        <f t="shared" ref="AP30" si="293">+IF(AL28&lt;0,1-AP28/AL28,AP28/AL28-1)</f>
        <v>-7.2185336911992692E-2</v>
      </c>
      <c r="AQ30" s="39">
        <f t="shared" ref="AQ30" si="294">+IF(AM28&lt;0,1-AQ28/AM28,AQ28/AM28-1)</f>
        <v>5.4237947122861563E-2</v>
      </c>
      <c r="AR30" s="39">
        <f t="shared" ref="AR30" si="295">+IF(AN28&lt;0,1-AR28/AN28,AR28/AN28-1)</f>
        <v>5.7855320549748734E-2</v>
      </c>
      <c r="AS30" s="39">
        <f t="shared" ref="AS30" si="296">+IF(AO28&lt;0,1-AS28/AO28,AS28/AO28-1)</f>
        <v>0.24862063200133888</v>
      </c>
      <c r="AT30" s="39">
        <f t="shared" ref="AT30" si="297">+IF(AP28&lt;0,1-AT28/AP28,AT28/AP28-1)</f>
        <v>0.21505785627283802</v>
      </c>
      <c r="AU30" s="39">
        <f t="shared" ref="AU30" si="298">+IF(AQ28&lt;0,1-AU28/AQ28,AU28/AQ28-1)</f>
        <v>0.29067551785604584</v>
      </c>
      <c r="AV30" s="39">
        <f t="shared" ref="AV30" si="299">+IF(AR28&lt;0,1-AV28/AR28,AV28/AR28-1)</f>
        <v>0.45495565582698139</v>
      </c>
      <c r="AW30" s="39">
        <f t="shared" ref="AW30" si="300">+IF(AS28&lt;0,1-AW28/AS28,AW28/AS28-1)</f>
        <v>0.3982994108194966</v>
      </c>
      <c r="AX30" s="39">
        <f t="shared" ref="AX30" si="301">+IF(AT28&lt;0,1-AX28/AT28,AX28/AT28-1)</f>
        <v>-0.27510807593509157</v>
      </c>
      <c r="AY30" s="39">
        <f t="shared" ref="AY30" si="302">+IF(AU28&lt;0,1-AY28/AU28,AY28/AU28-1)</f>
        <v>2.1811601104866796E-2</v>
      </c>
      <c r="AZ30" s="39">
        <f t="shared" ref="AZ30" si="303">+IF(AV28&lt;0,1-AZ28/AV28,AZ28/AV28-1)</f>
        <v>-0.10341139985028358</v>
      </c>
      <c r="BA30" s="39">
        <f t="shared" ref="BA30" si="304">+IF(AW28&lt;0,1-BA28/AW28,BA28/AW28-1)</f>
        <v>-0.26004309312904028</v>
      </c>
      <c r="BB30" s="39">
        <f t="shared" ref="BB30" si="305">+IF(AX28&lt;0,1-BB28/AX28,BB28/AX28-1)</f>
        <v>-5.9982713915298635E-2</v>
      </c>
      <c r="BC30" s="39">
        <f t="shared" ref="BC30" si="306">+IF(AY28&lt;0,1-BC28/AY28,BC28/AY28-1)</f>
        <v>-0.44663497390007412</v>
      </c>
      <c r="BD30" s="39">
        <f t="shared" ref="BD30" si="307">+IF(AZ28&lt;0,1-BD28/AZ28,BD28/AZ28-1)</f>
        <v>-0.26586354961831993</v>
      </c>
      <c r="BE30" s="39">
        <f t="shared" ref="BE30" si="308">+IF(BA28&lt;0,1-BE28/BA28,BE28/BA28-1)</f>
        <v>-0.77986281868771845</v>
      </c>
      <c r="BF30" s="39">
        <f t="shared" ref="BF30" si="309">+IF(BB28&lt;0,1-BF28/BB28,BF28/BB28-1)</f>
        <v>-2.2956050018389118</v>
      </c>
      <c r="BG30" s="39">
        <f t="shared" ref="BG30" si="310">+IF(BC28&lt;0,1-BG28/BC28,BG28/BC28-1)</f>
        <v>-0.69552766781773812</v>
      </c>
      <c r="BH30" s="39">
        <f t="shared" ref="BH30" si="311">+IF(BD28&lt;0,1-BH28/BD28,BH28/BD28-1)</f>
        <v>-0.68001624695369656</v>
      </c>
      <c r="BI30" s="39">
        <f t="shared" ref="BI30" si="312">+IF(BE28&lt;0,1-BI28/BE28,BI28/BE28-1)</f>
        <v>1.0843621399176966</v>
      </c>
      <c r="BJ30" s="39">
        <f t="shared" ref="BJ30" si="313">+IF(BF28&lt;0,1-BJ28/BF28,BJ28/BF28-1)</f>
        <v>4.6035767511177337</v>
      </c>
      <c r="BK30" s="39">
        <f t="shared" ref="BK30" si="314">+IF(BG28&lt;0,1-BK28/BG28,BK28/BG28-1)</f>
        <v>0.40000000000000058</v>
      </c>
      <c r="BL30" s="39">
        <f t="shared" ref="BL30" si="315">+IF(BH28&lt;0,1-BL28/BH28,BL28/BH28-1)</f>
        <v>2.1058644325971079</v>
      </c>
      <c r="BM30" s="39">
        <f t="shared" ref="BM30" si="316">+IF(BI28&lt;0,1-BM28/BI28,BM28/BI28-1)</f>
        <v>0.84684811733182919</v>
      </c>
      <c r="BN30" s="39">
        <f t="shared" ref="BN30" si="317">+IF(BJ28&lt;0,1-BN28/BJ28,BN28/BJ28-1)</f>
        <v>-0.76820670369057464</v>
      </c>
      <c r="BO30" s="39">
        <f t="shared" ref="BO30" si="318">+IF(BK28&lt;0,1-BO28/BK28,BO28/BK28-1)</f>
        <v>1.3248369887374047</v>
      </c>
      <c r="BP30" s="39">
        <f t="shared" ref="BP30" si="319">+IF(BL28&lt;0,1-BP28/BL28,BP28/BL28-1)</f>
        <v>-3.4248814778486181E-2</v>
      </c>
      <c r="BQ30" s="39">
        <f t="shared" ref="BQ30" si="320">+IF(BM28&lt;0,1-BQ28/BM28,BQ28/BM28-1)</f>
        <v>-1.7028100183261952E-2</v>
      </c>
      <c r="BR30" s="39">
        <f t="shared" ref="BR30" si="321">+IF(BN28&lt;0,1-BR28/BN28,BR28/BN28-1)</f>
        <v>5.6499575191164331E-2</v>
      </c>
      <c r="BS30" s="39">
        <f t="shared" ref="BS30" si="322">+IF(BO28&lt;0,1-BS28/BO28,BS28/BO28-1)</f>
        <v>-6.2893081761011826E-3</v>
      </c>
      <c r="BT30" s="39">
        <f t="shared" ref="BT30" si="323">+IF(BP28&lt;0,1-BT28/BP28,BT28/BP28-1)</f>
        <v>-3.7240795598815546E-2</v>
      </c>
      <c r="BU30" s="39">
        <f t="shared" ref="BU30" si="324">+IF(BQ28&lt;0,1-BU28/BQ28,BU28/BQ28-1)</f>
        <v>-9.4150547657888661E-2</v>
      </c>
      <c r="BV30" s="39">
        <f t="shared" ref="BV30" si="325">+IF(BR28&lt;0,1-BV28/BR28,BV28/BR28-1)</f>
        <v>-3.2167269802975906E-2</v>
      </c>
      <c r="BW30" s="39">
        <f t="shared" ref="BW30" si="326">+IF(BS28&lt;0,1-BW28/BS28,BW28/BS28-1)</f>
        <v>7.6975709887161514E-4</v>
      </c>
      <c r="BX30" s="39">
        <f t="shared" ref="BX30" si="327">+IF(BT28&lt;0,1-BX28/BT28,BX28/BT28-1)</f>
        <v>4.5098901098901578E-2</v>
      </c>
      <c r="BY30" s="39">
        <f t="shared" ref="BY30" si="328">+IF(BU28&lt;0,1-BY28/BU28,BY28/BU28-1)</f>
        <v>8.0439070405625257E-2</v>
      </c>
      <c r="BZ30" s="39">
        <f t="shared" ref="BZ30" si="329">+IF(BV28&lt;0,1-BZ28/BV28,BZ28/BV28-1)</f>
        <v>8.533444121312872E-2</v>
      </c>
      <c r="CA30" s="39">
        <f t="shared" ref="CA30" si="330">+IF(BW28&lt;0,1-CA28/BW28,CA28/BW28-1)</f>
        <v>6.6233655243141287E-2</v>
      </c>
      <c r="CB30" s="39">
        <f t="shared" ref="CB30" si="331">+IF(BX28&lt;0,1-CB28/BX28,CB28/BX28-1)</f>
        <v>5.5854643337819532E-2</v>
      </c>
      <c r="CC30" s="39">
        <f t="shared" ref="CC30" si="332">+IF(BY28&lt;0,1-CC28/BY28,CC28/BY28-1)</f>
        <v>8.1831891419953839E-2</v>
      </c>
      <c r="CD30" s="39">
        <f t="shared" ref="CD30" si="333">+IF(BZ28&lt;0,1-CD28/BZ28,CD28/BZ28-1)</f>
        <v>7.8242229367631255E-2</v>
      </c>
      <c r="CE30" s="39">
        <f t="shared" ref="CE30" si="334">+IF(CA28&lt;0,1-CE28/CA28,CE28/CA28-1)</f>
        <v>8.095543443411346E-2</v>
      </c>
      <c r="CF30" s="39">
        <f t="shared" ref="CF30" si="335">+IF(CB28&lt;0,1-CF28/CB28,CF28/CB28-1)</f>
        <v>9.3132568514977532E-2</v>
      </c>
      <c r="CG30" s="39">
        <f t="shared" ref="CG30" si="336">+IF(CC28&lt;0,1-CG28/CC28,CG28/CC28-1)</f>
        <v>9.1929567131328271E-2</v>
      </c>
      <c r="CH30" s="39">
        <f t="shared" ref="CH30:CL30" si="337">+IF(CD28&lt;0,1-CH28/CD28,CH28/CD28-1)</f>
        <v>6.418631070718539E-2</v>
      </c>
      <c r="CI30" s="39">
        <f t="shared" si="337"/>
        <v>7.296455583568151E-2</v>
      </c>
      <c r="CJ30" s="39">
        <f t="shared" si="337"/>
        <v>5.1016689745646548E-3</v>
      </c>
      <c r="CK30" s="39">
        <f t="shared" si="337"/>
        <v>0.16777531411677771</v>
      </c>
      <c r="CL30" s="39">
        <f t="shared" si="337"/>
        <v>7.4192687483320308E-2</v>
      </c>
      <c r="CM30" s="40">
        <f t="shared" ref="CM30" si="338">+CM28/CI28-1</f>
        <v>-7.1977849920575099E-2</v>
      </c>
      <c r="CN30" s="40">
        <f t="shared" ref="CN30" si="339">+CN28/CJ28-1</f>
        <v>-6.6692960703397253E-3</v>
      </c>
      <c r="CO30" s="40">
        <f t="shared" ref="CO30" si="340">+CO28/CK28-1</f>
        <v>-0.15484053226105265</v>
      </c>
      <c r="CP30" s="40">
        <f t="shared" ref="CP30" si="341">+CP28/CL28-1</f>
        <v>-9.4959250744999557E-2</v>
      </c>
      <c r="CQ30" s="40">
        <f t="shared" ref="CQ30" si="342">+CQ28/CM28-1</f>
        <v>-8.6167304847649118E-2</v>
      </c>
      <c r="CR30" s="40">
        <f t="shared" ref="CR30" si="343">+CR28/CN28-1</f>
        <v>-8.9475896649997444E-2</v>
      </c>
      <c r="CS30" s="40">
        <f t="shared" ref="CS30" si="344">+CS28/CO28-1</f>
        <v>-0.10755246578818922</v>
      </c>
      <c r="CT30" s="40">
        <f t="shared" ref="CT30" si="345">+CT28/CP28-1</f>
        <v>-9.4646088785219407E-2</v>
      </c>
      <c r="CU30" s="40">
        <f t="shared" ref="CU30" si="346">+CU28/CQ28-1</f>
        <v>-9.4570073676252475E-2</v>
      </c>
      <c r="CV30" s="40">
        <f t="shared" ref="CV30" si="347">+CV28/CR28-1</f>
        <v>-9.6625489886750682E-2</v>
      </c>
      <c r="CW30" s="40">
        <f t="shared" ref="CW30" si="348">+CW28/CS28-1</f>
        <v>-9.8391470868067654E-2</v>
      </c>
      <c r="CX30" s="40">
        <f t="shared" ref="CX30" si="349">+CX28/CT28-1</f>
        <v>-9.6061942130123201E-2</v>
      </c>
      <c r="CY30" s="40">
        <f t="shared" ref="CY30" si="350">+CY28/CU28-1</f>
        <v>-9.6415484662913609E-2</v>
      </c>
      <c r="CZ30" s="40">
        <f t="shared" ref="CZ30" si="351">+CZ28/CV28-1</f>
        <v>-9.687479188813175E-2</v>
      </c>
      <c r="DA30" s="40">
        <f t="shared" ref="DA30" si="352">+DA28/CW28-1</f>
        <v>-9.6937108156560092E-2</v>
      </c>
      <c r="DB30" s="40">
        <f t="shared" ref="DB30" si="353">+DB28/CX28-1</f>
        <v>-9.6572518334387403E-2</v>
      </c>
      <c r="DE30" s="122"/>
      <c r="DF30" s="38">
        <v>8.1695224079330497E-2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-0.15997643692670205</v>
      </c>
      <c r="AK31" s="39">
        <f t="shared" ref="AK31:AM31" si="354">+IF(AJ28&lt;0,1-AK28/AJ28,AK28/AJ28-1)</f>
        <v>-0.23782809056301135</v>
      </c>
      <c r="AL31" s="39">
        <f t="shared" si="354"/>
        <v>0.86093585699263464</v>
      </c>
      <c r="AM31" s="39">
        <f t="shared" si="354"/>
        <v>8.9984461082073919E-2</v>
      </c>
      <c r="AN31" s="39">
        <f t="shared" ref="AN31" si="355">+IF(AM28&lt;0,1-AN28/AM28,AN28/AM28-1)</f>
        <v>-0.21261016070502903</v>
      </c>
      <c r="AO31" s="39">
        <f t="shared" ref="AO31" si="356">+IF(AN28&lt;0,1-AO28/AN28,AO28/AN28-1)</f>
        <v>-1.5554275368282355E-2</v>
      </c>
      <c r="AP31" s="39">
        <f t="shared" ref="AP31" si="357">+IF(AO28&lt;0,1-AP28/AO28,AP28/AO28-1)</f>
        <v>9.8144123056346233E-2</v>
      </c>
      <c r="AQ31" s="39">
        <f t="shared" ref="AQ31" si="358">+IF(AP28&lt;0,1-AQ28/AP28,AQ28/AP28-1)</f>
        <v>0.23850487210718585</v>
      </c>
      <c r="AR31" s="39">
        <f t="shared" ref="AR31" si="359">+IF(AQ28&lt;0,1-AR28/AQ28,AR28/AQ28-1)</f>
        <v>-0.20990841477656952</v>
      </c>
      <c r="AS31" s="39">
        <f t="shared" ref="AS31" si="360">+IF(AR28&lt;0,1-AS28/AR28,AS28/AR28-1)</f>
        <v>0.16197292671542085</v>
      </c>
      <c r="AT31" s="39">
        <f t="shared" ref="AT31" si="361">+IF(AS28&lt;0,1-AT28/AS28,AT28/AS28-1)</f>
        <v>6.8626138189608943E-2</v>
      </c>
      <c r="AU31" s="39">
        <f t="shared" ref="AU31" si="362">+IF(AT28&lt;0,1-AU28/AT28,AU28/AT28-1)</f>
        <v>0.31558173046801574</v>
      </c>
      <c r="AV31" s="39">
        <f t="shared" ref="AV31" si="363">+IF(AU28&lt;0,1-AV28/AU28,AV28/AU28-1)</f>
        <v>-0.10934374702352623</v>
      </c>
      <c r="AW31" s="39">
        <f t="shared" ref="AW31" si="364">+IF(AV28&lt;0,1-AW28/AV28,AW28/AV28-1)</f>
        <v>0.11672548390546478</v>
      </c>
      <c r="AX31" s="39">
        <f t="shared" ref="AX31" si="365">+IF(AW28&lt;0,1-AX28/AW28,AX28/AW28-1)</f>
        <v>-0.44601388556380162</v>
      </c>
      <c r="AY31" s="39">
        <f t="shared" ref="AY31" si="366">+IF(AX28&lt;0,1-AY28/AX28,AY28/AX28-1)</f>
        <v>0.8544511668107162</v>
      </c>
      <c r="AZ31" s="39">
        <f t="shared" ref="AZ31" si="367">+IF(AY28&lt;0,1-AZ28/AY28,AZ28/AY28-1)</f>
        <v>-0.21849366144668159</v>
      </c>
      <c r="BA31" s="39">
        <f t="shared" ref="BA31" si="368">+IF(AZ28&lt;0,1-BA28/AZ28,BA28/AZ28-1)</f>
        <v>-7.8363549618320594E-2</v>
      </c>
      <c r="BB31" s="39">
        <f t="shared" ref="BB31" si="369">+IF(BA28&lt;0,1-BB28/BA28,BB28/BA28-1)</f>
        <v>-0.29623398472887263</v>
      </c>
      <c r="BC31" s="39">
        <f t="shared" ref="BC31" si="370">+IF(BB28&lt;0,1-BC28/BB28,BC28/BB28-1)</f>
        <v>9.1669731518941644E-2</v>
      </c>
      <c r="BD31" s="39">
        <f t="shared" ref="BD31" si="371">+IF(BC28&lt;0,1-BD28/BC28,BD28/BC28-1)</f>
        <v>3.6806198938768686E-2</v>
      </c>
      <c r="BE31" s="39">
        <f t="shared" ref="BE31" si="372">+IF(BD28&lt;0,1-BE28/BD28,BE28/BD28-1)</f>
        <v>-0.72363931762794509</v>
      </c>
      <c r="BF31" s="39">
        <f t="shared" ref="BF31" si="373">+IF(BE28&lt;0,1-BF28/BE28,BF28/BE28-1)</f>
        <v>-5.1419753086419782</v>
      </c>
      <c r="BG31" s="39">
        <f t="shared" ref="BG31" si="374">+IF(BF28&lt;0,1-BG28/BF28,BG28/BF28-1)</f>
        <v>1.2565467319565677</v>
      </c>
      <c r="BH31" s="39">
        <f t="shared" ref="BH31" si="375">+IF(BG28&lt;0,1-BH28/BG28,BH28/BG28-1)</f>
        <v>8.9626556016597858E-2</v>
      </c>
      <c r="BI31" s="39">
        <f t="shared" ref="BI31" si="376">+IF(BH28&lt;0,1-BI28/BH28,BI28/BH28-1)</f>
        <v>0.8002030972328007</v>
      </c>
      <c r="BJ31" s="39">
        <f t="shared" ref="BJ31" si="377">+IF(BI28&lt;0,1-BJ28/BI28,BJ28/BI28-1)</f>
        <v>6.1609081934846985</v>
      </c>
      <c r="BK31" s="39">
        <f t="shared" ref="BK31" si="378">+IF(BJ28&lt;0,1-BK28/BJ28,BK28/BJ28-1)</f>
        <v>-0.90033085194375517</v>
      </c>
      <c r="BL31" s="39">
        <f t="shared" ref="BL31" si="379">+IF(BK28&lt;0,1-BL28/BK28,BL28/BK28-1)</f>
        <v>1.4173088322465928</v>
      </c>
      <c r="BM31" s="39">
        <f t="shared" ref="BM31" si="380">+IF(BL28&lt;0,1-BM28/BL28,BM28/BL28-1)</f>
        <v>7.0459375510871114E-2</v>
      </c>
      <c r="BN31" s="39">
        <f t="shared" ref="BN31" si="381">+IF(BM28&lt;0,1-BN28/BM28,BN28/BM28-1)</f>
        <v>-0.10125229077580955</v>
      </c>
      <c r="BO31" s="39">
        <f t="shared" ref="BO31" si="382">+IF(BN28&lt;0,1-BO28/BN28,BO28/BN28-1)</f>
        <v>-3.3984706881873272E-4</v>
      </c>
      <c r="BP31" s="39">
        <f t="shared" ref="BP31" si="383">+IF(BO28&lt;0,1-BP28/BO28,BP28/BO28-1)</f>
        <v>4.1645419003910611E-3</v>
      </c>
      <c r="BQ31" s="39">
        <f t="shared" ref="BQ31" si="384">+IF(BP28&lt;0,1-BQ28/BP28,BQ28/BP28-1)</f>
        <v>8.954718578078702E-2</v>
      </c>
      <c r="BR31" s="39">
        <f t="shared" ref="BR31" si="385">+IF(BQ28&lt;0,1-BR28/BQ28,BR28/BQ28-1)</f>
        <v>-3.402470286646464E-2</v>
      </c>
      <c r="BS31" s="39">
        <f t="shared" ref="BS31" si="386">+IF(BR28&lt;0,1-BS28/BR28,BS28/BR28-1)</f>
        <v>-5.975070365902746E-2</v>
      </c>
      <c r="BT31" s="39">
        <f t="shared" ref="BT31" si="387">+IF(BS28&lt;0,1-BT28/BS28,BT28/BS28-1)</f>
        <v>-2.7112555593568177E-2</v>
      </c>
      <c r="BU31" s="39">
        <f t="shared" ref="BU31" si="388">+IF(BT28&lt;0,1-BU28/BT28,BU28/BT28-1)</f>
        <v>2.5142857142857578E-2</v>
      </c>
      <c r="BV31" s="39">
        <f t="shared" ref="BV31" si="389">+IF(BU28&lt;0,1-BV28/BU28,BV28/BU28-1)</f>
        <v>3.2072721035931284E-2</v>
      </c>
      <c r="BW31" s="39">
        <f t="shared" ref="BW31" si="390">+IF(BV28&lt;0,1-BW28/BV28,BW28/BV28-1)</f>
        <v>-2.7752388865807665E-2</v>
      </c>
      <c r="BX31" s="39">
        <f t="shared" ref="BX31" si="391">+IF(BW28&lt;0,1-BX28/BW28,BX28/BW28-1)</f>
        <v>1.5981540039312847E-2</v>
      </c>
      <c r="BY31" s="39">
        <f t="shared" ref="BY31" si="392">+IF(BX28&lt;0,1-BY28/BX28,BY28/BX28-1)</f>
        <v>5.9808209959622882E-2</v>
      </c>
      <c r="BZ31" s="39">
        <f t="shared" ref="BZ31" si="393">+IF(BY28&lt;0,1-BZ28/BY28,BZ28/BY28-1)</f>
        <v>3.67489483292327E-2</v>
      </c>
      <c r="CA31" s="39">
        <f t="shared" ref="CA31" si="394">+IF(BZ28&lt;0,1-CA28/BZ28,CA28/BZ28-1)</f>
        <v>-4.4862961261675216E-2</v>
      </c>
      <c r="CB31" s="39">
        <f t="shared" ref="CB31" si="395">+IF(CA28&lt;0,1-CB28/CA28,CB28/CA28-1)</f>
        <v>6.0916960564285638E-3</v>
      </c>
      <c r="CC31" s="39">
        <f t="shared" ref="CC31" si="396">+IF(CB28&lt;0,1-CC28/CB28,CC28/CB28-1)</f>
        <v>8.5882727852134577E-2</v>
      </c>
      <c r="CD31" s="39">
        <f t="shared" ref="CD31" si="397">+IF(CC28&lt;0,1-CD28/CC28,CD28/CC28-1)</f>
        <v>3.3308877476155851E-2</v>
      </c>
      <c r="CE31" s="39">
        <f t="shared" ref="CE31" si="398">+IF(CD28&lt;0,1-CE28/CD28,CE28/CD28-1)</f>
        <v>-4.2459528543027703E-2</v>
      </c>
      <c r="CF31" s="39">
        <f t="shared" ref="CF31" si="399">+IF(CE28&lt;0,1-CF28/CE28,CF28/CE28-1)</f>
        <v>1.7425478273765282E-2</v>
      </c>
      <c r="CG31" s="39">
        <f t="shared" ref="CG31" si="400">+IF(CF28&lt;0,1-CG28/CF28,CG28/CF28-1)</f>
        <v>8.468770497777145E-2</v>
      </c>
      <c r="CH31" s="39">
        <f t="shared" ref="CH31:CI31" si="401">+IF(CG28&lt;0,1-CH28/CG28,CH28/CG28-1)</f>
        <v>7.0550292279782933E-3</v>
      </c>
      <c r="CI31" s="39">
        <f t="shared" si="401"/>
        <v>-3.4560982119028583E-2</v>
      </c>
      <c r="CJ31" s="39">
        <f>+IF(CI28&gt;1,CJ28/CI28-1,1-CJ28/CI28)</f>
        <v>-4.6924671734623336E-2</v>
      </c>
      <c r="CK31" s="39">
        <f>+IF(CJ28&gt;1,CK28/CJ28-1,1-CK28/CJ28)</f>
        <v>0.26024218693350742</v>
      </c>
      <c r="CL31" s="39">
        <f>+IF(CK28&gt;1,CL28/CK28-1,1-CL28/CK28)</f>
        <v>-7.3647871116225394E-2</v>
      </c>
      <c r="CM31" s="40">
        <f t="shared" ref="CM31" si="402">+CM28/CL28-1</f>
        <v>-0.1659328874752003</v>
      </c>
      <c r="CN31" s="40">
        <f t="shared" ref="CN31" si="403">+CN28/CM28-1</f>
        <v>2.0146972400188368E-2</v>
      </c>
      <c r="CO31" s="40">
        <f t="shared" ref="CO31" si="404">+CO28/CN28-1</f>
        <v>7.225681408747886E-2</v>
      </c>
      <c r="CP31" s="40">
        <f t="shared" ref="CP31" si="405">+CP28/CO28-1</f>
        <v>-8.0139230506772741E-3</v>
      </c>
      <c r="CQ31" s="40">
        <f t="shared" ref="CQ31" si="406">+CQ28/CP28-1</f>
        <v>-0.15783040928942393</v>
      </c>
      <c r="CR31" s="40">
        <f t="shared" ref="CR31" si="407">+CR28/CQ28-1</f>
        <v>1.6453462715124045E-2</v>
      </c>
      <c r="CS31" s="40">
        <f t="shared" ref="CS31" si="408">+CS28/CR28-1</f>
        <v>5.096937714601113E-2</v>
      </c>
      <c r="CT31" s="40">
        <f t="shared" ref="CT31" si="409">+CT28/CS28-1</f>
        <v>6.3319581356180432E-3</v>
      </c>
      <c r="CU31" s="40">
        <f t="shared" ref="CU31" si="410">+CU28/CT28-1</f>
        <v>-0.15775969924729172</v>
      </c>
      <c r="CV31" s="40">
        <f t="shared" ref="CV31" si="411">+CV28/CU28-1</f>
        <v>1.4146012007188569E-2</v>
      </c>
      <c r="CW31" s="40">
        <f t="shared" ref="CW31" si="412">+CW28/CV28-1</f>
        <v>4.8914867182304311E-2</v>
      </c>
      <c r="CX31" s="40">
        <f t="shared" ref="CX31" si="413">+CX28/CW28-1</f>
        <v>8.9320657661946523E-3</v>
      </c>
      <c r="CY31" s="40">
        <f t="shared" ref="CY31" si="414">+CY28/CX28-1</f>
        <v>-0.15808911094376121</v>
      </c>
      <c r="CZ31" s="40">
        <f t="shared" ref="CZ31" si="415">+CZ28/CY28-1</f>
        <v>1.3630504511392916E-2</v>
      </c>
      <c r="DA31" s="40">
        <f t="shared" ref="DA31" si="416">+DA28/CZ28-1</f>
        <v>4.8842491325850945E-2</v>
      </c>
      <c r="DB31" s="40">
        <f t="shared" ref="DB31" si="417">+DB28/DA28-1</f>
        <v>9.339397709257069E-3</v>
      </c>
      <c r="DE31" s="122"/>
    </row>
    <row r="32" spans="1:110" s="23" customFormat="1" x14ac:dyDescent="0.2">
      <c r="A32" s="23" t="s">
        <v>15</v>
      </c>
      <c r="B32" s="23">
        <f>'Annual Raw'!C27</f>
        <v>72.714600000000004</v>
      </c>
      <c r="C32" s="23">
        <f>'Annual Raw'!D27</f>
        <v>113.71</v>
      </c>
      <c r="D32" s="23">
        <f>'Annual Raw'!E27</f>
        <v>217.3</v>
      </c>
      <c r="E32" s="23">
        <f>'Annual Raw'!F27</f>
        <v>202.53</v>
      </c>
      <c r="F32" s="23">
        <f>'Annual Raw'!G27</f>
        <v>317.01</v>
      </c>
      <c r="G32" s="23">
        <f>'Annual Raw'!H27</f>
        <v>471.9</v>
      </c>
      <c r="H32" s="23">
        <f>'Annual Raw'!I27</f>
        <v>446.23</v>
      </c>
      <c r="I32" s="23">
        <f>'Annual Raw'!J27</f>
        <v>439.35</v>
      </c>
      <c r="J32" s="23">
        <f>'Annual Raw'!K27</f>
        <v>463.13</v>
      </c>
      <c r="K32" s="23">
        <f>'Annual Raw'!L27</f>
        <v>563.98</v>
      </c>
      <c r="L32" s="23">
        <f>'Annual Raw'!M27</f>
        <v>757.64</v>
      </c>
      <c r="M32" s="23">
        <f>'Annual Raw'!N27</f>
        <v>543.4</v>
      </c>
      <c r="N32" s="23">
        <f>'Annual Raw'!O27</f>
        <v>595.04999999999995</v>
      </c>
      <c r="O32" s="23">
        <f>'Annual Raw'!P27</f>
        <v>609.33000000000004</v>
      </c>
      <c r="P32" s="23">
        <f>'Annual Raw'!Q27</f>
        <v>610.92999999999995</v>
      </c>
      <c r="Q32" s="23">
        <f>'Annual Raw'!R27</f>
        <v>459.66</v>
      </c>
      <c r="R32" s="23">
        <f>'Annual Raw'!S27</f>
        <v>795.82</v>
      </c>
      <c r="S32" s="23">
        <f>'Annual Raw'!T27</f>
        <v>532.91</v>
      </c>
      <c r="T32" s="23">
        <f>'Annual Raw'!U27</f>
        <v>177.58</v>
      </c>
      <c r="U32" s="23">
        <f>'Annual Raw'!V27</f>
        <v>194.98</v>
      </c>
      <c r="V32" s="23">
        <f>'Annual Raw'!W27</f>
        <v>168.73</v>
      </c>
      <c r="W32" s="23">
        <f>'Annual Raw'!X27</f>
        <v>160.21</v>
      </c>
      <c r="X32" s="23">
        <f>'Annual Raw'!Y27</f>
        <v>147.16</v>
      </c>
      <c r="Y32" s="23">
        <f>'Annual Raw'!Z27</f>
        <v>150.44</v>
      </c>
      <c r="Z32" s="23">
        <f>'Annual Raw'!AA27</f>
        <v>167.93</v>
      </c>
      <c r="AA32" s="23">
        <f>'Annual Raw'!AB27</f>
        <v>141.83000000000001</v>
      </c>
      <c r="AB32" s="76">
        <f>+SUM(CM32:CP32)</f>
        <v>125.72797603954611</v>
      </c>
      <c r="AC32" s="76">
        <f>+SUM(CQ32:CT32)</f>
        <v>103.16449441146551</v>
      </c>
      <c r="AD32" s="76">
        <f>+SUM(CU32:CX32)</f>
        <v>84.650316042832884</v>
      </c>
      <c r="AE32" s="76">
        <f>+SUM(CY32:DB32)</f>
        <v>69.458742051035628</v>
      </c>
      <c r="AI32" s="23">
        <f>'QTR Raw'!C28</f>
        <v>146.31</v>
      </c>
      <c r="AJ32" s="23">
        <f>'QTR Raw'!D28</f>
        <v>148.03</v>
      </c>
      <c r="AK32" s="23">
        <f>'QTR Raw'!E28</f>
        <v>149.19999999999999</v>
      </c>
      <c r="AL32" s="23">
        <f>'QTR Raw'!F28</f>
        <v>151.51</v>
      </c>
      <c r="AM32" s="23">
        <f>'QTR Raw'!G28</f>
        <v>151.33000000000001</v>
      </c>
      <c r="AN32" s="23">
        <f>'QTR Raw'!H28</f>
        <v>155.36000000000001</v>
      </c>
      <c r="AO32" s="23">
        <f>'QTR Raw'!I28</f>
        <v>154.07</v>
      </c>
      <c r="AP32" s="23">
        <f>'QTR Raw'!J28</f>
        <v>148.58000000000001</v>
      </c>
      <c r="AQ32" s="23">
        <f>'QTR Raw'!K28</f>
        <v>148.32</v>
      </c>
      <c r="AR32" s="23">
        <f>'QTR Raw'!L28</f>
        <v>151.02000000000001</v>
      </c>
      <c r="AS32" s="23">
        <f>'QTR Raw'!M28</f>
        <v>152.68</v>
      </c>
      <c r="AT32" s="23">
        <f>'QTR Raw'!N28</f>
        <v>158.91</v>
      </c>
      <c r="AU32" s="23">
        <f>'QTR Raw'!O28</f>
        <v>155.81</v>
      </c>
      <c r="AV32" s="23">
        <f>'QTR Raw'!P28</f>
        <v>160.1</v>
      </c>
      <c r="AW32" s="23">
        <f>'QTR Raw'!Q28</f>
        <v>160.30000000000001</v>
      </c>
      <c r="AX32" s="23">
        <f>'QTR Raw'!R28</f>
        <v>-16.559999999999999</v>
      </c>
      <c r="AY32" s="23">
        <f>'QTR Raw'!S28</f>
        <v>154.75</v>
      </c>
      <c r="AZ32" s="23">
        <f>'QTR Raw'!T28</f>
        <v>269.54000000000002</v>
      </c>
      <c r="BA32" s="23">
        <f>'QTR Raw'!U28</f>
        <v>233.79</v>
      </c>
      <c r="BB32" s="23">
        <f>'QTR Raw'!V28</f>
        <v>137.75</v>
      </c>
      <c r="BC32" s="23">
        <f>'QTR Raw'!W28</f>
        <v>217.55</v>
      </c>
      <c r="BD32" s="23">
        <f>'QTR Raw'!X28</f>
        <v>215.36</v>
      </c>
      <c r="BE32" s="23">
        <f>'QTR Raw'!Y28</f>
        <v>58.31</v>
      </c>
      <c r="BF32" s="23">
        <f>'QTR Raw'!Z28</f>
        <v>41.69</v>
      </c>
      <c r="BG32" s="23">
        <f>'QTR Raw'!AA28</f>
        <v>38.659999999999997</v>
      </c>
      <c r="BH32" s="23">
        <f>'QTR Raw'!AB28</f>
        <v>42.93</v>
      </c>
      <c r="BI32" s="23">
        <f>'QTR Raw'!AC28</f>
        <v>40.71</v>
      </c>
      <c r="BJ32" s="23">
        <f>'QTR Raw'!AD28</f>
        <v>55.28</v>
      </c>
      <c r="BK32" s="23">
        <f>'QTR Raw'!AE28</f>
        <v>47.65</v>
      </c>
      <c r="BL32" s="23">
        <f>'QTR Raw'!AF28</f>
        <v>54.6</v>
      </c>
      <c r="BM32" s="23">
        <f>'QTR Raw'!AG28</f>
        <v>52.25</v>
      </c>
      <c r="BN32" s="23">
        <f>'QTR Raw'!AH28</f>
        <v>40.479999999999997</v>
      </c>
      <c r="BO32" s="23">
        <f>'QTR Raw'!AI28</f>
        <v>42.46</v>
      </c>
      <c r="BP32" s="23">
        <f>'QTR Raw'!AJ28</f>
        <v>43.28</v>
      </c>
      <c r="BQ32" s="23">
        <f>'QTR Raw'!AK28</f>
        <v>42.19</v>
      </c>
      <c r="BR32" s="23">
        <f>'QTR Raw'!AL28</f>
        <v>40.799999999999997</v>
      </c>
      <c r="BS32" s="23">
        <f>'QTR Raw'!AM28</f>
        <v>39.68</v>
      </c>
      <c r="BT32" s="23">
        <f>'QTR Raw'!AN28</f>
        <v>42.03</v>
      </c>
      <c r="BU32" s="23">
        <f>'QTR Raw'!AO28</f>
        <v>39.409999999999997</v>
      </c>
      <c r="BV32" s="23">
        <f>'QTR Raw'!AP28</f>
        <v>39.090000000000003</v>
      </c>
      <c r="BW32" s="23">
        <f>'QTR Raw'!AQ28</f>
        <v>39.85</v>
      </c>
      <c r="BX32" s="23">
        <f>'QTR Raw'!AR28</f>
        <v>37.729999999999997</v>
      </c>
      <c r="BY32" s="23">
        <f>'QTR Raw'!AS28</f>
        <v>37.71</v>
      </c>
      <c r="BZ32" s="23">
        <f>'QTR Raw'!AT28</f>
        <v>31.87</v>
      </c>
      <c r="CA32" s="23">
        <f>'QTR Raw'!AU28</f>
        <v>36.47</v>
      </c>
      <c r="CB32" s="23">
        <f>'QTR Raw'!AV28</f>
        <v>36.31</v>
      </c>
      <c r="CC32" s="23">
        <f>'QTR Raw'!AW28</f>
        <v>38.28</v>
      </c>
      <c r="CD32" s="23">
        <f>'QTR Raw'!AX28</f>
        <v>39.380000000000003</v>
      </c>
      <c r="CE32" s="23">
        <f>'QTR Raw'!AY28</f>
        <v>40.880000000000003</v>
      </c>
      <c r="CF32" s="23">
        <f>'QTR Raw'!AZ28</f>
        <v>41.81</v>
      </c>
      <c r="CG32" s="23">
        <f>'QTR Raw'!BA28</f>
        <v>43.18</v>
      </c>
      <c r="CH32" s="23">
        <f>'QTR Raw'!BB28</f>
        <v>42.06</v>
      </c>
      <c r="CI32" s="23">
        <f>'QTR Raw'!BC28</f>
        <v>36.950000000000003</v>
      </c>
      <c r="CJ32" s="23">
        <f>'QTR Raw'!BD28</f>
        <v>37.49</v>
      </c>
      <c r="CK32" s="23">
        <f>'QTR Raw'!BE28</f>
        <v>35.67</v>
      </c>
      <c r="CL32" s="23">
        <f>'QTR Raw'!BF28</f>
        <v>31.72</v>
      </c>
      <c r="CM32" s="24">
        <f t="shared" ref="CM32:DB32" si="418">CM33*CL134</f>
        <v>33.800379642868009</v>
      </c>
      <c r="CN32" s="24">
        <f t="shared" si="418"/>
        <v>32.169637023892292</v>
      </c>
      <c r="CO32" s="24">
        <f t="shared" si="418"/>
        <v>30.617571671782859</v>
      </c>
      <c r="CP32" s="24">
        <f t="shared" si="418"/>
        <v>29.140387701002954</v>
      </c>
      <c r="CQ32" s="24">
        <f t="shared" si="418"/>
        <v>27.734472363376611</v>
      </c>
      <c r="CR32" s="24">
        <f t="shared" si="418"/>
        <v>26.396387212392064</v>
      </c>
      <c r="CS32" s="24">
        <f t="shared" si="418"/>
        <v>25.122859693794609</v>
      </c>
      <c r="CT32" s="24">
        <f t="shared" si="418"/>
        <v>23.910775141902239</v>
      </c>
      <c r="CU32" s="24">
        <f t="shared" si="418"/>
        <v>22.757169162069026</v>
      </c>
      <c r="CV32" s="24">
        <f t="shared" si="418"/>
        <v>21.659220380666607</v>
      </c>
      <c r="CW32" s="24">
        <f t="shared" si="418"/>
        <v>20.614243544851881</v>
      </c>
      <c r="CX32" s="24">
        <f t="shared" si="418"/>
        <v>19.619682955245363</v>
      </c>
      <c r="CY32" s="24">
        <f t="shared" si="418"/>
        <v>18.673106215458322</v>
      </c>
      <c r="CZ32" s="24">
        <f t="shared" si="418"/>
        <v>17.772198283182092</v>
      </c>
      <c r="DA32" s="24">
        <f t="shared" si="418"/>
        <v>16.914755808290021</v>
      </c>
      <c r="DB32" s="24">
        <f t="shared" si="418"/>
        <v>16.098681744105193</v>
      </c>
      <c r="DE32" s="123"/>
      <c r="DF32" s="23">
        <v>141.82999999999998</v>
      </c>
    </row>
    <row r="33" spans="1:110" s="46" customFormat="1" x14ac:dyDescent="0.2">
      <c r="A33" s="46" t="s">
        <v>483</v>
      </c>
      <c r="B33" s="46">
        <f t="shared" ref="B33:D33" si="419">+B32/B134</f>
        <v>5.0323451847219612E-2</v>
      </c>
      <c r="C33" s="46">
        <f t="shared" si="419"/>
        <v>6.1030721999184183E-2</v>
      </c>
      <c r="D33" s="46">
        <f t="shared" si="419"/>
        <v>0.13051521376145689</v>
      </c>
      <c r="E33" s="46">
        <f t="shared" ref="E33:AE33" si="420">+E32/E134</f>
        <v>0.11250729105907842</v>
      </c>
      <c r="F33" s="46">
        <f t="shared" si="420"/>
        <v>0.14076758096100814</v>
      </c>
      <c r="G33" s="46">
        <f t="shared" si="420"/>
        <v>0.20866589137346284</v>
      </c>
      <c r="H33" s="46">
        <f t="shared" si="420"/>
        <v>0.2004023946071937</v>
      </c>
      <c r="I33" s="46">
        <f t="shared" si="420"/>
        <v>0.15355820951861676</v>
      </c>
      <c r="J33" s="46">
        <f t="shared" si="420"/>
        <v>0.14492377209232463</v>
      </c>
      <c r="K33" s="46">
        <f t="shared" si="420"/>
        <v>0.1427363838833772</v>
      </c>
      <c r="L33" s="46">
        <f t="shared" si="420"/>
        <v>0.15774866068547086</v>
      </c>
      <c r="M33" s="46">
        <f t="shared" si="420"/>
        <v>0.10897969415893707</v>
      </c>
      <c r="N33" s="46">
        <f t="shared" si="420"/>
        <v>0.12423456019441598</v>
      </c>
      <c r="O33" s="46">
        <f t="shared" si="420"/>
        <v>0.13487048157436329</v>
      </c>
      <c r="P33" s="46">
        <f t="shared" si="420"/>
        <v>0.14587178525976982</v>
      </c>
      <c r="Q33" s="46">
        <f t="shared" si="420"/>
        <v>8.5699583490254722E-2</v>
      </c>
      <c r="R33" s="46">
        <f t="shared" si="420"/>
        <v>8.008968853562734E-2</v>
      </c>
      <c r="S33" s="46">
        <f t="shared" si="420"/>
        <v>0.62922555583106055</v>
      </c>
      <c r="T33" s="46">
        <f t="shared" si="420"/>
        <v>0.24730179508961533</v>
      </c>
      <c r="U33" s="46">
        <f t="shared" si="420"/>
        <v>0.21815699964196197</v>
      </c>
      <c r="V33" s="46">
        <f t="shared" si="420"/>
        <v>0.20325976967185469</v>
      </c>
      <c r="W33" s="46">
        <f t="shared" si="420"/>
        <v>0.20563470671287387</v>
      </c>
      <c r="X33" s="46">
        <f t="shared" si="420"/>
        <v>0.19873327121230541</v>
      </c>
      <c r="Y33" s="46">
        <f t="shared" si="420"/>
        <v>0.19087979293018997</v>
      </c>
      <c r="Z33" s="46">
        <f t="shared" si="420"/>
        <v>0.210388503990278</v>
      </c>
      <c r="AA33" s="46">
        <f t="shared" ref="AA33" si="421">+AA32/AA134</f>
        <v>0.15106457763055584</v>
      </c>
      <c r="AB33" s="110">
        <f t="shared" si="420"/>
        <v>0.21871363550804065</v>
      </c>
      <c r="AC33" s="110">
        <f t="shared" si="420"/>
        <v>0.2187136355080406</v>
      </c>
      <c r="AD33" s="110">
        <f t="shared" si="420"/>
        <v>0.21871363550804074</v>
      </c>
      <c r="AE33" s="110">
        <f t="shared" si="420"/>
        <v>0.21871363550804068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3.0148966609817404E-2</v>
      </c>
      <c r="AL33" s="46">
        <f t="shared" si="422"/>
        <v>3.0615750208132942E-2</v>
      </c>
      <c r="AM33" s="46">
        <f t="shared" si="422"/>
        <v>3.1419406409284853E-2</v>
      </c>
      <c r="AN33" s="46">
        <f t="shared" si="422"/>
        <v>3.225612224771357E-2</v>
      </c>
      <c r="AO33" s="46">
        <f t="shared" si="422"/>
        <v>3.1398642727587682E-2</v>
      </c>
      <c r="AP33" s="46">
        <f t="shared" si="422"/>
        <v>3.0279810063380142E-2</v>
      </c>
      <c r="AQ33" s="46">
        <f t="shared" si="422"/>
        <v>3.2558374364231445E-2</v>
      </c>
      <c r="AR33" s="46">
        <f t="shared" si="422"/>
        <v>3.315106321794925E-2</v>
      </c>
      <c r="AS33" s="46">
        <f t="shared" si="422"/>
        <v>3.4845320826629243E-2</v>
      </c>
      <c r="AT33" s="46">
        <f t="shared" si="422"/>
        <v>3.6267159631645618E-2</v>
      </c>
      <c r="AU33" s="46">
        <f t="shared" si="422"/>
        <v>3.679511067343956E-2</v>
      </c>
      <c r="AV33" s="46">
        <f t="shared" si="422"/>
        <v>3.78082101201314E-2</v>
      </c>
      <c r="AW33" s="46">
        <f t="shared" si="422"/>
        <v>1.9773303942695657E-2</v>
      </c>
      <c r="AX33" s="46">
        <f t="shared" si="422"/>
        <v>-2.0427068826640053E-3</v>
      </c>
      <c r="AY33" s="46">
        <f t="shared" si="422"/>
        <v>2.7825827402551163E-2</v>
      </c>
      <c r="AZ33" s="46">
        <f t="shared" si="422"/>
        <v>4.8466387838989607E-2</v>
      </c>
      <c r="BA33" s="46">
        <f t="shared" si="422"/>
        <v>3.0256048556693692E-2</v>
      </c>
      <c r="BB33" s="46">
        <f t="shared" si="422"/>
        <v>1.7826984424845187E-2</v>
      </c>
      <c r="BC33" s="46">
        <f t="shared" si="422"/>
        <v>2.9162393849824733E-2</v>
      </c>
      <c r="BD33" s="46">
        <f t="shared" si="422"/>
        <v>2.8868826198567017E-2</v>
      </c>
      <c r="BE33" s="46">
        <f t="shared" si="422"/>
        <v>3.1382025434994375E-2</v>
      </c>
      <c r="BF33" s="46">
        <f t="shared" si="422"/>
        <v>2.2437260167808531E-2</v>
      </c>
      <c r="BG33" s="46">
        <f t="shared" si="422"/>
        <v>4.5647219959146564E-2</v>
      </c>
      <c r="BH33" s="46">
        <f t="shared" si="422"/>
        <v>5.0688958945839684E-2</v>
      </c>
      <c r="BI33" s="46">
        <f t="shared" si="422"/>
        <v>5.0883047733323333E-2</v>
      </c>
      <c r="BJ33" s="46">
        <f t="shared" si="422"/>
        <v>6.9093954279000586E-2</v>
      </c>
      <c r="BK33" s="46">
        <f t="shared" si="422"/>
        <v>6.6358433021850224E-2</v>
      </c>
      <c r="BL33" s="46">
        <f t="shared" si="422"/>
        <v>7.6037155152004682E-2</v>
      </c>
      <c r="BM33" s="46">
        <f t="shared" si="422"/>
        <v>5.7636092879598477E-2</v>
      </c>
      <c r="BN33" s="46">
        <f t="shared" si="422"/>
        <v>4.465280458882577E-2</v>
      </c>
      <c r="BO33" s="46">
        <f t="shared" ref="BO33:CL33" si="423">+BO32/BN134</f>
        <v>6.2411806208842895E-2</v>
      </c>
      <c r="BP33" s="46">
        <f t="shared" si="423"/>
        <v>6.3617121354656636E-2</v>
      </c>
      <c r="BQ33" s="46">
        <f t="shared" si="423"/>
        <v>6.3676290807009067E-2</v>
      </c>
      <c r="BR33" s="46">
        <f t="shared" si="423"/>
        <v>6.157839926347404E-2</v>
      </c>
      <c r="BS33" s="46">
        <f t="shared" si="423"/>
        <v>5.8446627682608887E-2</v>
      </c>
      <c r="BT33" s="46">
        <f t="shared" si="423"/>
        <v>6.1908058505545656E-2</v>
      </c>
      <c r="BU33" s="46">
        <f t="shared" si="423"/>
        <v>5.9906363055969351E-2</v>
      </c>
      <c r="BV33" s="46">
        <f t="shared" si="423"/>
        <v>5.9419937372693285E-2</v>
      </c>
      <c r="BW33" s="46">
        <f t="shared" si="423"/>
        <v>5.8812243572714661E-2</v>
      </c>
      <c r="BX33" s="46">
        <f t="shared" si="423"/>
        <v>5.5683461731456059E-2</v>
      </c>
      <c r="BY33" s="46">
        <f t="shared" si="423"/>
        <v>5.6142806098141977E-2</v>
      </c>
      <c r="BZ33" s="46">
        <f t="shared" si="423"/>
        <v>4.7448189614101959E-2</v>
      </c>
      <c r="CA33" s="46">
        <f t="shared" si="423"/>
        <v>5.356224940886193E-2</v>
      </c>
      <c r="CB33" s="46">
        <f t="shared" si="423"/>
        <v>5.3327262847155936E-2</v>
      </c>
      <c r="CC33" s="46">
        <f t="shared" si="423"/>
        <v>5.6858522094318603E-2</v>
      </c>
      <c r="CD33" s="46">
        <f t="shared" si="423"/>
        <v>5.8492387671741558E-2</v>
      </c>
      <c r="CE33" s="46">
        <f t="shared" si="423"/>
        <v>6.1720566476432044E-2</v>
      </c>
      <c r="CF33" s="46">
        <f t="shared" si="423"/>
        <v>6.3124679167799014E-2</v>
      </c>
      <c r="CG33" s="46">
        <f t="shared" si="423"/>
        <v>6.2764364725206037E-2</v>
      </c>
      <c r="CH33" s="46">
        <f t="shared" si="423"/>
        <v>6.1136386761050626E-2</v>
      </c>
      <c r="CI33" s="46">
        <f t="shared" si="423"/>
        <v>4.6292236184367133E-2</v>
      </c>
      <c r="CJ33" s="46">
        <f t="shared" si="423"/>
        <v>4.9248594398612774E-2</v>
      </c>
      <c r="CK33" s="46">
        <f t="shared" si="423"/>
        <v>5.1462207666671478E-2</v>
      </c>
      <c r="CL33" s="46">
        <f t="shared" si="423"/>
        <v>4.8246281142579013E-2</v>
      </c>
      <c r="CM33" s="47">
        <f t="shared" ref="CM33" si="424">CL33</f>
        <v>4.8246281142579013E-2</v>
      </c>
      <c r="CN33" s="47">
        <f t="shared" ref="CN33" si="425">CM33</f>
        <v>4.8246281142579013E-2</v>
      </c>
      <c r="CO33" s="47">
        <f t="shared" ref="CO33" si="426">CN33</f>
        <v>4.8246281142579013E-2</v>
      </c>
      <c r="CP33" s="47">
        <f t="shared" ref="CP33" si="427">CO33</f>
        <v>4.8246281142579013E-2</v>
      </c>
      <c r="CQ33" s="47">
        <f t="shared" ref="CQ33" si="428">CP33</f>
        <v>4.8246281142579013E-2</v>
      </c>
      <c r="CR33" s="47">
        <f t="shared" ref="CR33" si="429">CQ33</f>
        <v>4.8246281142579013E-2</v>
      </c>
      <c r="CS33" s="47">
        <f t="shared" ref="CS33" si="430">CR33</f>
        <v>4.8246281142579013E-2</v>
      </c>
      <c r="CT33" s="47">
        <f t="shared" ref="CT33" si="431">CS33</f>
        <v>4.8246281142579013E-2</v>
      </c>
      <c r="CU33" s="47">
        <f t="shared" ref="CU33" si="432">CT33</f>
        <v>4.8246281142579013E-2</v>
      </c>
      <c r="CV33" s="47">
        <f t="shared" ref="CV33" si="433">CU33</f>
        <v>4.8246281142579013E-2</v>
      </c>
      <c r="CW33" s="47">
        <f t="shared" ref="CW33" si="434">CV33</f>
        <v>4.8246281142579013E-2</v>
      </c>
      <c r="CX33" s="47">
        <f t="shared" ref="CX33" si="435">CW33</f>
        <v>4.8246281142579013E-2</v>
      </c>
      <c r="CY33" s="47">
        <f t="shared" ref="CY33" si="436">CX33</f>
        <v>4.8246281142579013E-2</v>
      </c>
      <c r="CZ33" s="47">
        <f t="shared" ref="CZ33" si="437">CY33</f>
        <v>4.8246281142579013E-2</v>
      </c>
      <c r="DA33" s="47">
        <f t="shared" ref="DA33" si="438">CZ33</f>
        <v>4.8246281142579013E-2</v>
      </c>
      <c r="DB33" s="47">
        <f t="shared" ref="DB33" si="439">DA33</f>
        <v>4.8246281142579013E-2</v>
      </c>
      <c r="DE33" s="130"/>
      <c r="DF33" s="46">
        <v>0.20244654429187245</v>
      </c>
    </row>
    <row r="34" spans="1:110" s="26" customFormat="1" x14ac:dyDescent="0.2">
      <c r="A34" s="34" t="s">
        <v>16</v>
      </c>
      <c r="B34" s="26">
        <f>B28-B32</f>
        <v>-136.26490000000001</v>
      </c>
      <c r="C34" s="26">
        <f t="shared" ref="C34:T34" si="440">C28-C32</f>
        <v>-100.2</v>
      </c>
      <c r="D34" s="26">
        <f>D28-D32</f>
        <v>-153.94999999999999</v>
      </c>
      <c r="E34" s="26">
        <f t="shared" si="440"/>
        <v>-202.94999999999996</v>
      </c>
      <c r="F34" s="26">
        <f t="shared" si="440"/>
        <v>-412.13999999999987</v>
      </c>
      <c r="G34" s="26">
        <f t="shared" si="440"/>
        <v>-349.19999999999993</v>
      </c>
      <c r="H34" s="26">
        <f t="shared" si="440"/>
        <v>-161.06999999999971</v>
      </c>
      <c r="I34" s="26">
        <f t="shared" si="440"/>
        <v>-47.939999999999941</v>
      </c>
      <c r="J34" s="26">
        <f t="shared" si="440"/>
        <v>21.379999999999768</v>
      </c>
      <c r="K34" s="26">
        <f t="shared" si="440"/>
        <v>-182.23000000000025</v>
      </c>
      <c r="L34" s="26">
        <f t="shared" si="440"/>
        <v>-742.97999999999968</v>
      </c>
      <c r="M34" s="26">
        <f t="shared" si="440"/>
        <v>-13.599999999999568</v>
      </c>
      <c r="N34" s="26">
        <f t="shared" si="440"/>
        <v>-145.42999999999961</v>
      </c>
      <c r="O34" s="26">
        <f t="shared" si="440"/>
        <v>-198.4899999999999</v>
      </c>
      <c r="P34" s="26">
        <f t="shared" si="440"/>
        <v>-18.000000000000114</v>
      </c>
      <c r="Q34" s="26">
        <f t="shared" si="440"/>
        <v>256.18000000000058</v>
      </c>
      <c r="R34" s="26">
        <f t="shared" si="440"/>
        <v>-219.38</v>
      </c>
      <c r="S34" s="26">
        <f t="shared" si="440"/>
        <v>-541.91999999999996</v>
      </c>
      <c r="T34" s="26">
        <f t="shared" si="440"/>
        <v>21.560000000000088</v>
      </c>
      <c r="U34" s="26">
        <f t="shared" ref="U34:Z34" si="441">U28-U32</f>
        <v>226.71999999999994</v>
      </c>
      <c r="V34" s="26">
        <f t="shared" si="441"/>
        <v>320.16000000000008</v>
      </c>
      <c r="W34" s="26">
        <f t="shared" si="441"/>
        <v>307.41999999999996</v>
      </c>
      <c r="X34" s="26">
        <f t="shared" si="441"/>
        <v>345.34000000000003</v>
      </c>
      <c r="Y34" s="26">
        <f t="shared" si="441"/>
        <v>376.98000000000008</v>
      </c>
      <c r="Z34" s="26">
        <f t="shared" si="441"/>
        <v>402.84999999999985</v>
      </c>
      <c r="AA34" s="26">
        <f t="shared" ref="AA34" si="442">AA28-AA32</f>
        <v>475.57999999999993</v>
      </c>
      <c r="AB34" s="27">
        <f t="shared" ref="AA34:AD34" si="443">AB28-AB32</f>
        <v>438.14734257897021</v>
      </c>
      <c r="AC34" s="27">
        <f t="shared" si="443"/>
        <v>407.29326729423406</v>
      </c>
      <c r="AD34" s="27">
        <f t="shared" si="443"/>
        <v>376.57928263779525</v>
      </c>
      <c r="AE34" s="27">
        <f t="shared" ref="AE34" si="444">AE28-AE32</f>
        <v>347.16904852491996</v>
      </c>
      <c r="AI34" s="26">
        <f t="shared" ref="AI34" si="445">AI28-AI32</f>
        <v>-27.480000000000075</v>
      </c>
      <c r="AJ34" s="26">
        <f t="shared" ref="AJ34" si="446">AJ28-AJ32</f>
        <v>-48.210000000000065</v>
      </c>
      <c r="AK34" s="26">
        <f t="shared" ref="AK34:AM34" si="447">AK28-AK32</f>
        <v>-73.119999999999834</v>
      </c>
      <c r="AL34" s="26">
        <f t="shared" si="447"/>
        <v>-9.9300000000000637</v>
      </c>
      <c r="AM34" s="26">
        <f t="shared" si="447"/>
        <v>2.9899999999999238</v>
      </c>
      <c r="AN34" s="26">
        <f t="shared" ref="AN34:AO34" si="448">AN28-AN32</f>
        <v>-33.850000000000136</v>
      </c>
      <c r="AO34" s="26">
        <f t="shared" si="448"/>
        <v>-34.450000000000102</v>
      </c>
      <c r="AP34" s="26">
        <f t="shared" ref="AP34:CD34" si="449">AP28-AP32</f>
        <v>-17.22</v>
      </c>
      <c r="AQ34" s="26">
        <f t="shared" si="449"/>
        <v>14.369999999999948</v>
      </c>
      <c r="AR34" s="26">
        <f t="shared" si="449"/>
        <v>-22.48000000000016</v>
      </c>
      <c r="AS34" s="26">
        <f t="shared" si="449"/>
        <v>-3.3199999999999932</v>
      </c>
      <c r="AT34" s="26">
        <f t="shared" si="449"/>
        <v>0.70000000000001705</v>
      </c>
      <c r="AU34" s="26">
        <f t="shared" si="449"/>
        <v>54.170000000000016</v>
      </c>
      <c r="AV34" s="26">
        <f t="shared" si="449"/>
        <v>26.919999999999987</v>
      </c>
      <c r="AW34" s="26">
        <f t="shared" si="449"/>
        <v>48.550000000000011</v>
      </c>
      <c r="AX34" s="26">
        <f t="shared" si="449"/>
        <v>132.26000000000005</v>
      </c>
      <c r="AY34" s="26">
        <f t="shared" si="449"/>
        <v>59.809999999999945</v>
      </c>
      <c r="AZ34" s="26">
        <f t="shared" si="449"/>
        <v>-101.86000000000007</v>
      </c>
      <c r="BA34" s="26">
        <f t="shared" si="449"/>
        <v>-79.250000000000028</v>
      </c>
      <c r="BB34" s="26">
        <f t="shared" si="449"/>
        <v>-28.990000000000009</v>
      </c>
      <c r="BC34" s="26">
        <f t="shared" si="449"/>
        <v>-98.819999999999936</v>
      </c>
      <c r="BD34" s="26">
        <f t="shared" si="449"/>
        <v>-92.259999999999934</v>
      </c>
      <c r="BE34" s="26">
        <f t="shared" si="449"/>
        <v>-24.29000000000002</v>
      </c>
      <c r="BF34" s="26">
        <f t="shared" si="449"/>
        <v>-182.60000000000002</v>
      </c>
      <c r="BG34" s="26">
        <f t="shared" si="449"/>
        <v>-2.5100000000000193</v>
      </c>
      <c r="BH34" s="26">
        <f t="shared" si="449"/>
        <v>-3.5400000000000134</v>
      </c>
      <c r="BI34" s="26">
        <f t="shared" si="449"/>
        <v>30.199999999999996</v>
      </c>
      <c r="BJ34" s="26">
        <f t="shared" si="449"/>
        <v>452.5</v>
      </c>
      <c r="BK34" s="26">
        <f t="shared" si="449"/>
        <v>2.9599999999999866</v>
      </c>
      <c r="BL34" s="26">
        <f t="shared" si="449"/>
        <v>67.740000000000038</v>
      </c>
      <c r="BM34" s="26">
        <f t="shared" si="449"/>
        <v>78.710000000000008</v>
      </c>
      <c r="BN34" s="26">
        <f t="shared" si="449"/>
        <v>77.22</v>
      </c>
      <c r="BO34" s="26">
        <f t="shared" si="449"/>
        <v>75.200000000000017</v>
      </c>
      <c r="BP34" s="26">
        <f t="shared" si="449"/>
        <v>74.870000000000033</v>
      </c>
      <c r="BQ34" s="26">
        <f t="shared" si="449"/>
        <v>86.54000000000002</v>
      </c>
      <c r="BR34" s="26">
        <f t="shared" si="449"/>
        <v>83.550000000000026</v>
      </c>
      <c r="BS34" s="26">
        <f t="shared" si="449"/>
        <v>77.239999999999952</v>
      </c>
      <c r="BT34" s="26">
        <f t="shared" si="449"/>
        <v>71.71999999999997</v>
      </c>
      <c r="BU34" s="26">
        <f t="shared" si="449"/>
        <v>77.200000000000017</v>
      </c>
      <c r="BV34" s="26">
        <f t="shared" si="449"/>
        <v>81.259999999999962</v>
      </c>
      <c r="BW34" s="26">
        <f t="shared" si="449"/>
        <v>77.160000000000025</v>
      </c>
      <c r="BX34" s="26">
        <f t="shared" si="449"/>
        <v>81.150000000000034</v>
      </c>
      <c r="BY34" s="26">
        <f t="shared" si="449"/>
        <v>88.279999999999973</v>
      </c>
      <c r="BZ34" s="26">
        <f t="shared" si="449"/>
        <v>98.75</v>
      </c>
      <c r="CA34" s="26">
        <f t="shared" si="449"/>
        <v>88.289999999999992</v>
      </c>
      <c r="CB34" s="26">
        <f t="shared" si="449"/>
        <v>89.210000000000008</v>
      </c>
      <c r="CC34" s="26">
        <f t="shared" si="449"/>
        <v>98.019999999999953</v>
      </c>
      <c r="CD34" s="26">
        <f t="shared" si="449"/>
        <v>101.46000000000001</v>
      </c>
      <c r="CE34" s="26">
        <f t="shared" ref="CE34:CF34" si="450">CE28-CE32</f>
        <v>93.97999999999999</v>
      </c>
      <c r="CF34" s="26">
        <f t="shared" si="450"/>
        <v>95.399999999999977</v>
      </c>
      <c r="CG34" s="26">
        <f t="shared" ref="CG34:CH34" si="451">CG28-CG32</f>
        <v>105.64999999999998</v>
      </c>
      <c r="CH34" s="26">
        <f t="shared" si="451"/>
        <v>107.82</v>
      </c>
      <c r="CI34" s="26">
        <f t="shared" ref="CI34:CJ34" si="452">CI28-CI32</f>
        <v>107.74999999999999</v>
      </c>
      <c r="CJ34" s="26">
        <f t="shared" si="452"/>
        <v>100.41999999999999</v>
      </c>
      <c r="CK34" s="26">
        <f t="shared" ref="CK34:CL34" si="453">CK28-CK32</f>
        <v>138.13</v>
      </c>
      <c r="CL34" s="26">
        <f t="shared" si="453"/>
        <v>129.28000000000003</v>
      </c>
      <c r="CM34" s="27">
        <f t="shared" ref="CM34:DB34" si="454">CM28-CM32</f>
        <v>100.48442547362477</v>
      </c>
      <c r="CN34" s="27">
        <f t="shared" si="454"/>
        <v>104.82060035504715</v>
      </c>
      <c r="CO34" s="27">
        <f t="shared" si="454"/>
        <v>116.2711438212462</v>
      </c>
      <c r="CP34" s="27">
        <f t="shared" si="454"/>
        <v>116.57117292905214</v>
      </c>
      <c r="CQ34" s="27">
        <f t="shared" si="454"/>
        <v>94.979373014236174</v>
      </c>
      <c r="CR34" s="27">
        <f t="shared" si="454"/>
        <v>98.336525844770762</v>
      </c>
      <c r="CS34" s="27">
        <f t="shared" si="454"/>
        <v>105.96761225149938</v>
      </c>
      <c r="CT34" s="27">
        <f t="shared" si="454"/>
        <v>108.00975618372777</v>
      </c>
      <c r="CU34" s="27">
        <f t="shared" si="454"/>
        <v>88.35161881708666</v>
      </c>
      <c r="CV34" s="27">
        <f t="shared" si="454"/>
        <v>91.021313847346377</v>
      </c>
      <c r="CW34" s="27">
        <f t="shared" si="454"/>
        <v>97.578044048955462</v>
      </c>
      <c r="CX34" s="27">
        <f t="shared" si="454"/>
        <v>99.628305924406874</v>
      </c>
      <c r="CY34" s="27">
        <f t="shared" si="454"/>
        <v>81.723074120378172</v>
      </c>
      <c r="CZ34" s="27">
        <f t="shared" si="454"/>
        <v>83.992432641648634</v>
      </c>
      <c r="DA34" s="27">
        <f t="shared" si="454"/>
        <v>89.820313219765168</v>
      </c>
      <c r="DB34" s="27">
        <f t="shared" si="454"/>
        <v>91.633228543128013</v>
      </c>
      <c r="DE34" s="121"/>
      <c r="DF34" s="26">
        <v>475.5800000000001</v>
      </c>
    </row>
    <row r="35" spans="1:110" s="23" customFormat="1" x14ac:dyDescent="0.2">
      <c r="A35" s="23" t="s">
        <v>17</v>
      </c>
      <c r="B35" s="23">
        <f>'Annual Raw'!C23</f>
        <v>55.7883</v>
      </c>
      <c r="C35" s="23">
        <f>'Annual Raw'!D23</f>
        <v>24</v>
      </c>
      <c r="D35" s="23">
        <f>'Annual Raw'!E23</f>
        <v>46.87</v>
      </c>
      <c r="E35" s="23">
        <f>'Annual Raw'!F23</f>
        <v>53.14</v>
      </c>
      <c r="F35" s="23">
        <f>'Annual Raw'!G23</f>
        <v>36.28</v>
      </c>
      <c r="G35" s="23">
        <f>'Annual Raw'!H23</f>
        <v>2.46</v>
      </c>
      <c r="H35" s="23">
        <f>'Annual Raw'!I23</f>
        <v>19.84</v>
      </c>
      <c r="I35" s="23">
        <f>'Annual Raw'!J23</f>
        <v>95.42</v>
      </c>
      <c r="J35" s="23">
        <f>'Annual Raw'!K23</f>
        <v>115.57</v>
      </c>
      <c r="K35" s="23">
        <f>'Annual Raw'!L23</f>
        <v>214.82</v>
      </c>
      <c r="L35" s="23">
        <f>'Annual Raw'!M23</f>
        <v>1182.57</v>
      </c>
      <c r="M35" s="23">
        <f>'Annual Raw'!N23</f>
        <v>19.03</v>
      </c>
      <c r="N35" s="23">
        <f>'Annual Raw'!O23</f>
        <v>51.01</v>
      </c>
      <c r="O35" s="23">
        <f>'Annual Raw'!P23</f>
        <v>203.46</v>
      </c>
      <c r="P35" s="23">
        <f>'Annual Raw'!Q23</f>
        <v>53.53</v>
      </c>
      <c r="Q35" s="23">
        <f>'Annual Raw'!R23</f>
        <v>69.11</v>
      </c>
      <c r="R35" s="23">
        <f>'Annual Raw'!S23</f>
        <v>104.1</v>
      </c>
      <c r="S35" s="23">
        <f>'Annual Raw'!T23</f>
        <v>210.57</v>
      </c>
      <c r="T35" s="23">
        <f>'Annual Raw'!U23</f>
        <v>533.47</v>
      </c>
      <c r="U35" s="23">
        <f>'Annual Raw'!V23</f>
        <v>34.520000000000003</v>
      </c>
      <c r="V35" s="23">
        <f>'Annual Raw'!W23</f>
        <v>24.1</v>
      </c>
      <c r="W35" s="23">
        <f>'Annual Raw'!X23</f>
        <v>16.920000000000002</v>
      </c>
      <c r="X35" s="23">
        <f>'Annual Raw'!Y23</f>
        <v>16.760000000000002</v>
      </c>
      <c r="Y35" s="23">
        <f>'Annual Raw'!Z23</f>
        <v>16.16</v>
      </c>
      <c r="Z35" s="23">
        <f>'Annual Raw'!AA23</f>
        <v>15.87</v>
      </c>
      <c r="AA35" s="23">
        <f>'Annual Raw'!AB23</f>
        <v>15.15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3.65</v>
      </c>
      <c r="AJ35" s="23">
        <f>'QTR Raw'!D23</f>
        <v>11.07</v>
      </c>
      <c r="AK35" s="23">
        <f>'QTR Raw'!E23</f>
        <v>15.93</v>
      </c>
      <c r="AL35" s="23">
        <f>'QTR Raw'!F23</f>
        <v>20.36</v>
      </c>
      <c r="AM35" s="23">
        <f>'QTR Raw'!G23</f>
        <v>7.95</v>
      </c>
      <c r="AN35" s="23">
        <f>'QTR Raw'!H23</f>
        <v>14.81</v>
      </c>
      <c r="AO35" s="23">
        <f>'QTR Raw'!I23</f>
        <v>28.47</v>
      </c>
      <c r="AP35" s="23">
        <f>'QTR Raw'!J23</f>
        <v>36.26</v>
      </c>
      <c r="AQ35" s="23">
        <f>'QTR Raw'!K23</f>
        <v>17.23</v>
      </c>
      <c r="AR35" s="23">
        <f>'QTR Raw'!L23</f>
        <v>11.66</v>
      </c>
      <c r="AS35" s="23">
        <f>'QTR Raw'!M23</f>
        <v>6.93</v>
      </c>
      <c r="AT35" s="23">
        <f>'QTR Raw'!N23</f>
        <v>10.45</v>
      </c>
      <c r="AU35" s="23">
        <f>'QTR Raw'!O23</f>
        <v>10.1</v>
      </c>
      <c r="AV35" s="23">
        <f>'QTR Raw'!P23</f>
        <v>-31.92</v>
      </c>
      <c r="AW35" s="23">
        <f>'QTR Raw'!Q23</f>
        <v>50.65</v>
      </c>
      <c r="AX35" s="23">
        <f>'QTR Raw'!R23</f>
        <v>8.1</v>
      </c>
      <c r="AY35" s="23">
        <f>'QTR Raw'!S23</f>
        <v>11.22</v>
      </c>
      <c r="AZ35" s="23">
        <f>'QTR Raw'!T23</f>
        <v>22.05</v>
      </c>
      <c r="BA35" s="23">
        <f>'QTR Raw'!U23</f>
        <v>15.52</v>
      </c>
      <c r="BB35" s="23">
        <f>'QTR Raw'!V23</f>
        <v>-13.91</v>
      </c>
      <c r="BC35" s="23">
        <f>'QTR Raw'!W23</f>
        <v>5.56</v>
      </c>
      <c r="BD35" s="23">
        <f>'QTR Raw'!X23</f>
        <v>-4.3</v>
      </c>
      <c r="BE35" s="23">
        <f>'QTR Raw'!Y23</f>
        <v>21.82</v>
      </c>
      <c r="BF35" s="23">
        <f>'QTR Raw'!Z23</f>
        <v>43.54</v>
      </c>
      <c r="BG35" s="23">
        <f>'QTR Raw'!AA23</f>
        <v>7.02</v>
      </c>
      <c r="BH35" s="23">
        <f>'QTR Raw'!AB23</f>
        <v>28.76</v>
      </c>
      <c r="BI35" s="23">
        <f>'QTR Raw'!AC23</f>
        <v>24</v>
      </c>
      <c r="BJ35" s="23">
        <f>'QTR Raw'!AD23</f>
        <v>18.600000000000001</v>
      </c>
      <c r="BK35" s="23">
        <f>'QTR Raw'!AE23</f>
        <v>17.46</v>
      </c>
      <c r="BL35" s="23">
        <f>'QTR Raw'!AF23</f>
        <v>4.49</v>
      </c>
      <c r="BM35" s="23">
        <f>'QTR Raw'!AG23</f>
        <v>9.83</v>
      </c>
      <c r="BN35" s="23">
        <f>'QTR Raw'!AH23</f>
        <v>3.08</v>
      </c>
      <c r="BO35" s="23">
        <f>'QTR Raw'!AI23</f>
        <v>6.01</v>
      </c>
      <c r="BP35" s="23">
        <f>'QTR Raw'!AJ23</f>
        <v>9</v>
      </c>
      <c r="BQ35" s="23">
        <f>'QTR Raw'!AK23</f>
        <v>2.99</v>
      </c>
      <c r="BR35" s="23">
        <f>'QTR Raw'!AL23</f>
        <v>6.1</v>
      </c>
      <c r="BS35" s="23">
        <f>'QTR Raw'!AM23</f>
        <v>2.62</v>
      </c>
      <c r="BT35" s="23">
        <f>'QTR Raw'!AN23</f>
        <v>3.33</v>
      </c>
      <c r="BU35" s="23">
        <f>'QTR Raw'!AO23</f>
        <v>5.09</v>
      </c>
      <c r="BV35" s="23">
        <f>'QTR Raw'!AP23</f>
        <v>5.88</v>
      </c>
      <c r="BW35" s="23">
        <f>'QTR Raw'!AQ23</f>
        <v>3.62</v>
      </c>
      <c r="BX35" s="23">
        <f>'QTR Raw'!AR23</f>
        <v>4.57</v>
      </c>
      <c r="BY35" s="23">
        <f>'QTR Raw'!AS23</f>
        <v>5.61</v>
      </c>
      <c r="BZ35" s="23">
        <f>'QTR Raw'!AT23</f>
        <v>2.96</v>
      </c>
      <c r="CA35" s="23">
        <f>'QTR Raw'!AU23</f>
        <v>4.08</v>
      </c>
      <c r="CB35" s="23">
        <f>'QTR Raw'!AV23</f>
        <v>3.78</v>
      </c>
      <c r="CC35" s="23">
        <f>'QTR Raw'!AW23</f>
        <v>5.0199999999999996</v>
      </c>
      <c r="CD35" s="23">
        <f>'QTR Raw'!AX23</f>
        <v>3.28</v>
      </c>
      <c r="CE35" s="23">
        <f>'QTR Raw'!AY23</f>
        <v>5.52</v>
      </c>
      <c r="CF35" s="23">
        <f>'QTR Raw'!AZ23</f>
        <v>2.78</v>
      </c>
      <c r="CG35" s="23">
        <f>'QTR Raw'!BA23</f>
        <v>2.4900000000000002</v>
      </c>
      <c r="CH35" s="23">
        <f>'QTR Raw'!BB23</f>
        <v>5.08</v>
      </c>
      <c r="CI35" s="23">
        <f>'QTR Raw'!BC23</f>
        <v>3.96</v>
      </c>
      <c r="CJ35" s="23">
        <f>'QTR Raw'!BD23</f>
        <v>3.75</v>
      </c>
      <c r="CK35" s="23">
        <f>'QTR Raw'!BE23</f>
        <v>3.31</v>
      </c>
      <c r="CL35" s="23">
        <f>'QTR Raw'!BF23</f>
        <v>4.13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15.149999999999999</v>
      </c>
    </row>
    <row r="36" spans="1:110" s="23" customFormat="1" x14ac:dyDescent="0.2">
      <c r="A36" s="23" t="s">
        <v>18</v>
      </c>
      <c r="B36" s="23">
        <f>'Annual Raw'!C25</f>
        <v>128.4306</v>
      </c>
      <c r="C36" s="23">
        <f>'Annual Raw'!D25</f>
        <v>72.290000000000006</v>
      </c>
      <c r="D36" s="23">
        <f>'Annual Raw'!E25</f>
        <v>97.92</v>
      </c>
      <c r="E36" s="23">
        <f>'Annual Raw'!F25</f>
        <v>119.87</v>
      </c>
      <c r="F36" s="23">
        <f>'Annual Raw'!G25</f>
        <v>152</v>
      </c>
      <c r="G36" s="23">
        <f>'Annual Raw'!H25</f>
        <v>146.22</v>
      </c>
      <c r="H36" s="23">
        <f>'Annual Raw'!I25</f>
        <v>174.16</v>
      </c>
      <c r="I36" s="23">
        <f>'Annual Raw'!J25</f>
        <v>172.29</v>
      </c>
      <c r="J36" s="23">
        <f>'Annual Raw'!K25</f>
        <v>305.68</v>
      </c>
      <c r="K36" s="23">
        <f>'Annual Raw'!L25</f>
        <v>350.58</v>
      </c>
      <c r="L36" s="23">
        <f>'Annual Raw'!M25</f>
        <v>359.35</v>
      </c>
      <c r="M36" s="23">
        <f>'Annual Raw'!N25</f>
        <v>522.98</v>
      </c>
      <c r="N36" s="23">
        <f>'Annual Raw'!O25</f>
        <v>564.35</v>
      </c>
      <c r="O36" s="23">
        <f>'Annual Raw'!P25</f>
        <v>565.04999999999995</v>
      </c>
      <c r="P36" s="23">
        <f>'Annual Raw'!Q25</f>
        <v>650.78</v>
      </c>
      <c r="Q36" s="23">
        <f>'Annual Raw'!R25</f>
        <v>683.63</v>
      </c>
      <c r="R36" s="23">
        <f>'Annual Raw'!S25</f>
        <v>1282.3699999999999</v>
      </c>
      <c r="S36" s="23">
        <f>'Annual Raw'!T25</f>
        <v>1568.97</v>
      </c>
      <c r="T36" s="23">
        <f>'Annual Raw'!U25</f>
        <v>1553.74</v>
      </c>
      <c r="U36" s="23">
        <f>'Annual Raw'!V25</f>
        <v>1545.07</v>
      </c>
      <c r="V36" s="23">
        <f>'Annual Raw'!W25</f>
        <v>1561.14</v>
      </c>
      <c r="W36" s="23">
        <f>'Annual Raw'!X25</f>
        <v>1539.34</v>
      </c>
      <c r="X36" s="23">
        <f>'Annual Raw'!Y25</f>
        <v>1501.55</v>
      </c>
      <c r="Y36" s="23">
        <f>'Annual Raw'!Z25</f>
        <v>1621.58</v>
      </c>
      <c r="Z36" s="23">
        <f>'Annual Raw'!AA25</f>
        <v>1694.04</v>
      </c>
      <c r="AA36" s="23">
        <f>'Annual Raw'!AB25</f>
        <v>1360.98</v>
      </c>
      <c r="AB36" s="76">
        <f t="shared" si="455"/>
        <v>855.40242155980309</v>
      </c>
      <c r="AC36" s="76">
        <f t="shared" si="456"/>
        <v>868.7040678331482</v>
      </c>
      <c r="AD36" s="76">
        <f t="shared" si="457"/>
        <v>884.73940411428748</v>
      </c>
      <c r="AE36" s="76">
        <f t="shared" si="458"/>
        <v>903.41355709011111</v>
      </c>
      <c r="AI36" s="23">
        <f>'QTR Raw'!C25</f>
        <v>138.83000000000001</v>
      </c>
      <c r="AJ36" s="23">
        <f>'QTR Raw'!D25</f>
        <v>146.57</v>
      </c>
      <c r="AK36" s="23">
        <f>'QTR Raw'!E25</f>
        <v>139.97</v>
      </c>
      <c r="AL36" s="23">
        <f>'QTR Raw'!F25</f>
        <v>125.66</v>
      </c>
      <c r="AM36" s="23">
        <f>'QTR Raw'!G25</f>
        <v>137.83000000000001</v>
      </c>
      <c r="AN36" s="23">
        <f>'QTR Raw'!H25</f>
        <v>146.19</v>
      </c>
      <c r="AO36" s="23">
        <f>'QTR Raw'!I25</f>
        <v>150.38</v>
      </c>
      <c r="AP36" s="23">
        <f>'QTR Raw'!J25</f>
        <v>130.65</v>
      </c>
      <c r="AQ36" s="23">
        <f>'QTR Raw'!K25</f>
        <v>154.51</v>
      </c>
      <c r="AR36" s="23">
        <f>'QTR Raw'!L25</f>
        <v>148.56</v>
      </c>
      <c r="AS36" s="23">
        <f>'QTR Raw'!M25</f>
        <v>172.68</v>
      </c>
      <c r="AT36" s="23">
        <f>'QTR Raw'!N25</f>
        <v>175.03</v>
      </c>
      <c r="AU36" s="23">
        <f>'QTR Raw'!O25</f>
        <v>147.80000000000001</v>
      </c>
      <c r="AV36" s="23">
        <f>'QTR Raw'!P25</f>
        <v>170.7</v>
      </c>
      <c r="AW36" s="23">
        <f>'QTR Raw'!Q25</f>
        <v>176.34</v>
      </c>
      <c r="AX36" s="23">
        <f>'QTR Raw'!R25</f>
        <v>162.34</v>
      </c>
      <c r="AY36" s="23">
        <f>'QTR Raw'!S25</f>
        <v>179.1</v>
      </c>
      <c r="AZ36" s="23">
        <f>'QTR Raw'!T25</f>
        <v>388.32</v>
      </c>
      <c r="BA36" s="23">
        <f>'QTR Raw'!U25</f>
        <v>351.01</v>
      </c>
      <c r="BB36" s="23">
        <f>'QTR Raw'!V25</f>
        <v>363.85</v>
      </c>
      <c r="BC36" s="23">
        <f>'QTR Raw'!W25</f>
        <v>388.17</v>
      </c>
      <c r="BD36" s="23">
        <f>'QTR Raw'!X25</f>
        <v>393.12</v>
      </c>
      <c r="BE36" s="23">
        <f>'QTR Raw'!Y25</f>
        <v>382.62</v>
      </c>
      <c r="BF36" s="23">
        <f>'QTR Raw'!Z25</f>
        <v>405.06</v>
      </c>
      <c r="BG36" s="23">
        <f>'QTR Raw'!AA25</f>
        <v>368.64</v>
      </c>
      <c r="BH36" s="23">
        <f>'QTR Raw'!AB25</f>
        <v>385.15</v>
      </c>
      <c r="BI36" s="23">
        <f>'QTR Raw'!AC25</f>
        <v>398.08</v>
      </c>
      <c r="BJ36" s="23">
        <f>'QTR Raw'!AD25</f>
        <v>401.87</v>
      </c>
      <c r="BK36" s="23">
        <f>'QTR Raw'!AE25</f>
        <v>431.48</v>
      </c>
      <c r="BL36" s="23">
        <f>'QTR Raw'!AF25</f>
        <v>382.46</v>
      </c>
      <c r="BM36" s="23">
        <f>'QTR Raw'!AG25</f>
        <v>359.53</v>
      </c>
      <c r="BN36" s="23">
        <f>'QTR Raw'!AH25</f>
        <v>371.85</v>
      </c>
      <c r="BO36" s="23">
        <f>'QTR Raw'!AI25</f>
        <v>383.7</v>
      </c>
      <c r="BP36" s="23">
        <f>'QTR Raw'!AJ25</f>
        <v>412.02</v>
      </c>
      <c r="BQ36" s="23">
        <f>'QTR Raw'!AK25</f>
        <v>387.48</v>
      </c>
      <c r="BR36" s="23">
        <f>'QTR Raw'!AL25</f>
        <v>377.94</v>
      </c>
      <c r="BS36" s="23">
        <f>'QTR Raw'!AM25</f>
        <v>398.31</v>
      </c>
      <c r="BT36" s="23">
        <f>'QTR Raw'!AN25</f>
        <v>388.68</v>
      </c>
      <c r="BU36" s="23">
        <f>'QTR Raw'!AO25</f>
        <v>384.59</v>
      </c>
      <c r="BV36" s="23">
        <f>'QTR Raw'!AP25</f>
        <v>367.76</v>
      </c>
      <c r="BW36" s="23">
        <f>'QTR Raw'!AQ25</f>
        <v>375.88</v>
      </c>
      <c r="BX36" s="23">
        <f>'QTR Raw'!AR25</f>
        <v>373.21</v>
      </c>
      <c r="BY36" s="23">
        <f>'QTR Raw'!AS25</f>
        <v>373.68</v>
      </c>
      <c r="BZ36" s="23">
        <f>'QTR Raw'!AT25</f>
        <v>378.78</v>
      </c>
      <c r="CA36" s="23">
        <f>'QTR Raw'!AU25</f>
        <v>393.55</v>
      </c>
      <c r="CB36" s="23">
        <f>'QTR Raw'!AV25</f>
        <v>403.22</v>
      </c>
      <c r="CC36" s="23">
        <f>'QTR Raw'!AW25</f>
        <v>410.73</v>
      </c>
      <c r="CD36" s="23">
        <f>'QTR Raw'!AX25</f>
        <v>414.08</v>
      </c>
      <c r="CE36" s="23">
        <f>'QTR Raw'!AY25</f>
        <v>422.9</v>
      </c>
      <c r="CF36" s="23">
        <f>'QTR Raw'!AZ25</f>
        <v>428.57</v>
      </c>
      <c r="CG36" s="23">
        <f>'QTR Raw'!BA25</f>
        <v>423.25</v>
      </c>
      <c r="CH36" s="23">
        <f>'QTR Raw'!BB25</f>
        <v>419.32</v>
      </c>
      <c r="CI36" s="23">
        <f>'QTR Raw'!BC25</f>
        <v>432.89</v>
      </c>
      <c r="CJ36" s="23">
        <f>'QTR Raw'!BD25</f>
        <v>424.99</v>
      </c>
      <c r="CK36" s="23">
        <f>'QTR Raw'!BE25</f>
        <v>287.82</v>
      </c>
      <c r="CL36" s="23">
        <f>'QTR Raw'!BF25</f>
        <v>215.28</v>
      </c>
      <c r="CM36" s="24">
        <f t="shared" ref="CM36:DB36" si="459">CM37*CL168</f>
        <v>212.5914500099986</v>
      </c>
      <c r="CN36" s="24">
        <f t="shared" si="459"/>
        <v>213.52928564161107</v>
      </c>
      <c r="CO36" s="24">
        <f t="shared" si="459"/>
        <v>214.31096844619657</v>
      </c>
      <c r="CP36" s="24">
        <f t="shared" si="459"/>
        <v>214.9707174619968</v>
      </c>
      <c r="CQ36" s="24">
        <f t="shared" si="459"/>
        <v>215.67644016706586</v>
      </c>
      <c r="CR36" s="24">
        <f t="shared" si="459"/>
        <v>216.762882150747</v>
      </c>
      <c r="CS36" s="24">
        <f t="shared" si="459"/>
        <v>217.70293981519814</v>
      </c>
      <c r="CT36" s="24">
        <f t="shared" si="459"/>
        <v>218.56180570013726</v>
      </c>
      <c r="CU36" s="24">
        <f t="shared" si="459"/>
        <v>219.44774816326552</v>
      </c>
      <c r="CV36" s="24">
        <f t="shared" si="459"/>
        <v>220.68159923413813</v>
      </c>
      <c r="CW36" s="24">
        <f t="shared" si="459"/>
        <v>221.78655867968163</v>
      </c>
      <c r="CX36" s="24">
        <f t="shared" si="459"/>
        <v>222.82349803720211</v>
      </c>
      <c r="CY36" s="24">
        <f t="shared" si="459"/>
        <v>223.88485319148975</v>
      </c>
      <c r="CZ36" s="24">
        <f t="shared" si="459"/>
        <v>225.26366975358167</v>
      </c>
      <c r="DA36" s="24">
        <f t="shared" si="459"/>
        <v>226.5290697003764</v>
      </c>
      <c r="DB36" s="24">
        <f t="shared" si="459"/>
        <v>227.73596444466332</v>
      </c>
      <c r="DE36" s="123"/>
      <c r="DF36" s="23">
        <v>1360.98</v>
      </c>
    </row>
    <row r="37" spans="1:110" s="46" customFormat="1" x14ac:dyDescent="0.2">
      <c r="A37" s="46" t="s">
        <v>482</v>
      </c>
      <c r="B37" s="46">
        <f t="shared" ref="B37:D37" si="460">+B36/B128</f>
        <v>0.36514347515568918</v>
      </c>
      <c r="C37" s="46">
        <f t="shared" si="460"/>
        <v>0.20563804972407126</v>
      </c>
      <c r="D37" s="46">
        <f t="shared" si="460"/>
        <v>0.1377079612415093</v>
      </c>
      <c r="E37" s="46">
        <f t="shared" ref="E37:AE37" si="461">+E36/E128</f>
        <v>8.1077607781069497E-2</v>
      </c>
      <c r="F37" s="46">
        <f t="shared" si="461"/>
        <v>8.0729111342440138E-2</v>
      </c>
      <c r="G37" s="46">
        <f t="shared" si="461"/>
        <v>6.9237872007955115E-2</v>
      </c>
      <c r="H37" s="46">
        <f t="shared" si="461"/>
        <v>8.5840886799055632E-2</v>
      </c>
      <c r="I37" s="46">
        <f t="shared" si="461"/>
        <v>6.558756238413016E-2</v>
      </c>
      <c r="J37" s="46">
        <f t="shared" si="461"/>
        <v>9.1403556509752446E-2</v>
      </c>
      <c r="K37" s="46">
        <f t="shared" si="461"/>
        <v>8.8980598787804954E-2</v>
      </c>
      <c r="L37" s="46">
        <f t="shared" si="461"/>
        <v>7.7236383957357171E-2</v>
      </c>
      <c r="M37" s="46">
        <f t="shared" si="461"/>
        <v>9.5994155696360536E-2</v>
      </c>
      <c r="N37" s="46">
        <f t="shared" si="461"/>
        <v>9.0338495228155333E-2</v>
      </c>
      <c r="O37" s="46">
        <f t="shared" si="461"/>
        <v>8.6664775036618361E-2</v>
      </c>
      <c r="P37" s="46">
        <f t="shared" si="461"/>
        <v>8.7822428065175193E-2</v>
      </c>
      <c r="Q37" s="46">
        <f t="shared" si="461"/>
        <v>5.8662508870641797E-2</v>
      </c>
      <c r="R37" s="46">
        <f t="shared" si="461"/>
        <v>7.9063375488300502E-2</v>
      </c>
      <c r="S37" s="46">
        <f t="shared" si="461"/>
        <v>0.10071697219349585</v>
      </c>
      <c r="T37" s="46">
        <f t="shared" si="461"/>
        <v>9.3908750629336235E-2</v>
      </c>
      <c r="U37" s="46">
        <f t="shared" si="461"/>
        <v>9.251157240394052E-2</v>
      </c>
      <c r="V37" s="46">
        <f t="shared" si="461"/>
        <v>8.0350111841854685E-2</v>
      </c>
      <c r="W37" s="46">
        <f t="shared" si="461"/>
        <v>7.8123858090605666E-2</v>
      </c>
      <c r="X37" s="46">
        <f t="shared" si="461"/>
        <v>7.573965392443438E-2</v>
      </c>
      <c r="Y37" s="46">
        <f t="shared" si="461"/>
        <v>8.1264201114339588E-2</v>
      </c>
      <c r="Z37" s="46">
        <f t="shared" si="461"/>
        <v>8.3277292086976012E-2</v>
      </c>
      <c r="AA37" s="46">
        <f t="shared" ref="AA37" si="462">+AA36/AA128</f>
        <v>6.5865429288236382E-2</v>
      </c>
      <c r="AB37" s="110">
        <f t="shared" si="461"/>
        <v>4.139770438230788E-2</v>
      </c>
      <c r="AC37" s="110">
        <f t="shared" si="461"/>
        <v>4.2041445393956947E-2</v>
      </c>
      <c r="AD37" s="110">
        <f t="shared" si="461"/>
        <v>4.2817484944823583E-2</v>
      </c>
      <c r="AE37" s="110">
        <f t="shared" si="461"/>
        <v>4.3721231584999645E-2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2.2692886793522899E-2</v>
      </c>
      <c r="AL37" s="46">
        <f t="shared" si="463"/>
        <v>1.8580716335123305E-2</v>
      </c>
      <c r="AM37" s="46">
        <f t="shared" si="463"/>
        <v>2.2269851339997607E-2</v>
      </c>
      <c r="AN37" s="46">
        <f t="shared" si="463"/>
        <v>2.2061514825115695E-2</v>
      </c>
      <c r="AO37" s="46">
        <f t="shared" si="463"/>
        <v>1.9945224663952984E-2</v>
      </c>
      <c r="AP37" s="46">
        <f t="shared" si="463"/>
        <v>1.5063977756947296E-2</v>
      </c>
      <c r="AQ37" s="46">
        <f t="shared" si="463"/>
        <v>2.2451292568406282E-2</v>
      </c>
      <c r="AR37" s="46">
        <f t="shared" si="463"/>
        <v>2.1998500820775608E-2</v>
      </c>
      <c r="AS37" s="46">
        <f t="shared" si="463"/>
        <v>2.7196384972828225E-2</v>
      </c>
      <c r="AT37" s="46">
        <f t="shared" si="463"/>
        <v>2.6398169353522623E-2</v>
      </c>
      <c r="AU37" s="46">
        <f t="shared" si="463"/>
        <v>2.0485797555093704E-2</v>
      </c>
      <c r="AV37" s="46">
        <f t="shared" si="463"/>
        <v>2.9787562245433351E-2</v>
      </c>
      <c r="AW37" s="46">
        <f t="shared" si="463"/>
        <v>1.2766368050053829E-2</v>
      </c>
      <c r="AX37" s="46">
        <f t="shared" si="463"/>
        <v>1.5539338689323038E-2</v>
      </c>
      <c r="AY37" s="46">
        <f t="shared" si="463"/>
        <v>1.678734529353355E-2</v>
      </c>
      <c r="AZ37" s="46">
        <f t="shared" si="463"/>
        <v>3.6237170798190159E-2</v>
      </c>
      <c r="BA37" s="46">
        <f t="shared" si="463"/>
        <v>3.5973544984891734E-2</v>
      </c>
      <c r="BB37" s="46">
        <f t="shared" si="463"/>
        <v>3.8588399893383196E-2</v>
      </c>
      <c r="BC37" s="46">
        <f t="shared" si="463"/>
        <v>2.6847695586244742E-2</v>
      </c>
      <c r="BD37" s="46">
        <f t="shared" si="463"/>
        <v>2.6936705872232489E-2</v>
      </c>
      <c r="BE37" s="46">
        <f t="shared" si="463"/>
        <v>2.5896731757805266E-2</v>
      </c>
      <c r="BF37" s="46">
        <f t="shared" si="463"/>
        <v>2.4965767472938848E-2</v>
      </c>
      <c r="BG37" s="46">
        <f t="shared" si="463"/>
        <v>2.8358571798270036E-2</v>
      </c>
      <c r="BH37" s="46">
        <f t="shared" si="463"/>
        <v>2.6902892204840247E-2</v>
      </c>
      <c r="BI37" s="46">
        <f t="shared" si="463"/>
        <v>2.9270552297012219E-2</v>
      </c>
      <c r="BJ37" s="46">
        <f t="shared" si="463"/>
        <v>2.9027898509651651E-2</v>
      </c>
      <c r="BK37" s="46">
        <f t="shared" si="463"/>
        <v>3.4909908960367365E-2</v>
      </c>
      <c r="BL37" s="46">
        <f t="shared" si="463"/>
        <v>3.1245315093326623E-2</v>
      </c>
      <c r="BM37" s="46">
        <f t="shared" si="463"/>
        <v>2.9286144981910761E-2</v>
      </c>
      <c r="BN37" s="46">
        <f t="shared" si="463"/>
        <v>3.0162917232664042E-2</v>
      </c>
      <c r="BO37" s="46">
        <f t="shared" ref="BO37:CL37" si="464">(BO36-BO35)/BN168</f>
        <v>3.6344128444339666E-2</v>
      </c>
      <c r="BP37" s="46">
        <f t="shared" si="464"/>
        <v>3.5132278609832548E-2</v>
      </c>
      <c r="BQ37" s="46">
        <f t="shared" si="464"/>
        <v>2.6486758687297256E-2</v>
      </c>
      <c r="BR37" s="46">
        <f t="shared" si="464"/>
        <v>2.5136321390212501E-2</v>
      </c>
      <c r="BS37" s="46">
        <f t="shared" si="464"/>
        <v>2.0485408243035456E-2</v>
      </c>
      <c r="BT37" s="46">
        <f t="shared" si="464"/>
        <v>1.9628381589550502E-2</v>
      </c>
      <c r="BU37" s="46">
        <f t="shared" si="464"/>
        <v>1.9497664133597277E-2</v>
      </c>
      <c r="BV37" s="46">
        <f t="shared" si="464"/>
        <v>1.8317039413624399E-2</v>
      </c>
      <c r="BW37" s="46">
        <f t="shared" si="464"/>
        <v>1.9006122640700243E-2</v>
      </c>
      <c r="BX37" s="46">
        <f t="shared" si="464"/>
        <v>1.8539717476032121E-2</v>
      </c>
      <c r="BY37" s="46">
        <f t="shared" si="464"/>
        <v>1.9119585848794918E-2</v>
      </c>
      <c r="BZ37" s="46">
        <f t="shared" si="464"/>
        <v>1.924538074236784E-2</v>
      </c>
      <c r="CA37" s="46">
        <f t="shared" si="464"/>
        <v>1.9725513156082102E-2</v>
      </c>
      <c r="CB37" s="46">
        <f t="shared" si="464"/>
        <v>1.9928405629887621E-2</v>
      </c>
      <c r="CC37" s="46">
        <f t="shared" si="464"/>
        <v>2.0489069146505102E-2</v>
      </c>
      <c r="CD37" s="46">
        <f t="shared" si="464"/>
        <v>2.0432648350888739E-2</v>
      </c>
      <c r="CE37" s="46">
        <f t="shared" si="464"/>
        <v>2.0986967745698575E-2</v>
      </c>
      <c r="CF37" s="46">
        <f t="shared" si="464"/>
        <v>2.1067336785634046E-2</v>
      </c>
      <c r="CG37" s="46">
        <f t="shared" si="464"/>
        <v>2.1376225325208106E-2</v>
      </c>
      <c r="CH37" s="46">
        <f t="shared" si="464"/>
        <v>2.0709715015449E-2</v>
      </c>
      <c r="CI37" s="46">
        <f t="shared" si="464"/>
        <v>2.1190382442607427E-2</v>
      </c>
      <c r="CJ37" s="46">
        <f t="shared" si="464"/>
        <v>2.0505935771571622E-2</v>
      </c>
      <c r="CK37" s="46">
        <f t="shared" si="464"/>
        <v>1.39655727597947E-2</v>
      </c>
      <c r="CL37" s="46">
        <f t="shared" si="464"/>
        <v>1.0307824079676894E-2</v>
      </c>
      <c r="CM37" s="47">
        <f t="shared" ref="CM37" si="465">+CL37</f>
        <v>1.0307824079676894E-2</v>
      </c>
      <c r="CN37" s="47">
        <f t="shared" ref="CN37" si="466">+CM37</f>
        <v>1.0307824079676894E-2</v>
      </c>
      <c r="CO37" s="47">
        <f t="shared" ref="CO37" si="467">+CN37</f>
        <v>1.0307824079676894E-2</v>
      </c>
      <c r="CP37" s="47">
        <f t="shared" ref="CP37" si="468">+CO37</f>
        <v>1.0307824079676894E-2</v>
      </c>
      <c r="CQ37" s="47">
        <f t="shared" ref="CQ37" si="469">+CP37</f>
        <v>1.0307824079676894E-2</v>
      </c>
      <c r="CR37" s="47">
        <f t="shared" ref="CR37" si="470">+CQ37</f>
        <v>1.0307824079676894E-2</v>
      </c>
      <c r="CS37" s="47">
        <f t="shared" ref="CS37" si="471">+CR37</f>
        <v>1.0307824079676894E-2</v>
      </c>
      <c r="CT37" s="47">
        <f t="shared" ref="CT37" si="472">+CS37</f>
        <v>1.0307824079676894E-2</v>
      </c>
      <c r="CU37" s="47">
        <f t="shared" ref="CU37" si="473">+CT37</f>
        <v>1.0307824079676894E-2</v>
      </c>
      <c r="CV37" s="47">
        <f t="shared" ref="CV37" si="474">+CU37</f>
        <v>1.0307824079676894E-2</v>
      </c>
      <c r="CW37" s="47">
        <f t="shared" ref="CW37" si="475">+CV37</f>
        <v>1.0307824079676894E-2</v>
      </c>
      <c r="CX37" s="47">
        <f t="shared" ref="CX37" si="476">+CW37</f>
        <v>1.0307824079676894E-2</v>
      </c>
      <c r="CY37" s="47">
        <f t="shared" ref="CY37" si="477">+CX37</f>
        <v>1.0307824079676894E-2</v>
      </c>
      <c r="CZ37" s="47">
        <f t="shared" ref="CZ37" si="478">+CY37</f>
        <v>1.0307824079676894E-2</v>
      </c>
      <c r="DA37" s="47">
        <f t="shared" ref="DA37" si="479">+CZ37</f>
        <v>1.0307824079676894E-2</v>
      </c>
      <c r="DB37" s="47">
        <f t="shared" ref="DB37" si="480">+DA37</f>
        <v>1.0307824079676894E-2</v>
      </c>
      <c r="DE37" s="130"/>
      <c r="DF37" s="46">
        <v>6.5865429288236382E-2</v>
      </c>
    </row>
    <row r="38" spans="1:110" s="26" customFormat="1" x14ac:dyDescent="0.2">
      <c r="A38" s="26" t="s">
        <v>20</v>
      </c>
      <c r="B38" s="26">
        <f>B34+B35-B36</f>
        <v>-208.90720000000002</v>
      </c>
      <c r="C38" s="26">
        <f t="shared" ref="C38:T38" si="481">C34+C35-C36</f>
        <v>-148.49</v>
      </c>
      <c r="D38" s="26">
        <f>D34+D35-D36</f>
        <v>-205</v>
      </c>
      <c r="E38" s="26">
        <f t="shared" si="481"/>
        <v>-269.67999999999995</v>
      </c>
      <c r="F38" s="26">
        <f t="shared" si="481"/>
        <v>-527.8599999999999</v>
      </c>
      <c r="G38" s="26">
        <f t="shared" si="481"/>
        <v>-492.95999999999992</v>
      </c>
      <c r="H38" s="26">
        <f t="shared" si="481"/>
        <v>-315.3899999999997</v>
      </c>
      <c r="I38" s="26">
        <f t="shared" si="481"/>
        <v>-124.80999999999993</v>
      </c>
      <c r="J38" s="26">
        <f t="shared" si="481"/>
        <v>-168.73000000000025</v>
      </c>
      <c r="K38" s="26">
        <f t="shared" si="481"/>
        <v>-317.99000000000024</v>
      </c>
      <c r="L38" s="26">
        <f t="shared" si="481"/>
        <v>80.240000000000236</v>
      </c>
      <c r="M38" s="26">
        <f t="shared" si="481"/>
        <v>-517.54999999999961</v>
      </c>
      <c r="N38" s="26">
        <f t="shared" si="481"/>
        <v>-658.76999999999964</v>
      </c>
      <c r="O38" s="26">
        <f t="shared" si="481"/>
        <v>-560.07999999999981</v>
      </c>
      <c r="P38" s="26">
        <f t="shared" si="481"/>
        <v>-615.25000000000011</v>
      </c>
      <c r="Q38" s="26">
        <f t="shared" si="481"/>
        <v>-358.33999999999941</v>
      </c>
      <c r="R38" s="26">
        <f t="shared" si="481"/>
        <v>-1397.6499999999999</v>
      </c>
      <c r="S38" s="26">
        <f t="shared" si="481"/>
        <v>-1900.32</v>
      </c>
      <c r="T38" s="26">
        <f t="shared" si="481"/>
        <v>-998.70999999999992</v>
      </c>
      <c r="U38" s="26">
        <f t="shared" ref="U38:Z38" si="482">U34+U35-U36</f>
        <v>-1283.83</v>
      </c>
      <c r="V38" s="26">
        <f t="shared" si="482"/>
        <v>-1216.8800000000001</v>
      </c>
      <c r="W38" s="26">
        <f t="shared" si="482"/>
        <v>-1215</v>
      </c>
      <c r="X38" s="26">
        <f t="shared" si="482"/>
        <v>-1139.4499999999998</v>
      </c>
      <c r="Y38" s="26">
        <f t="shared" si="482"/>
        <v>-1228.4399999999998</v>
      </c>
      <c r="Z38" s="26">
        <f t="shared" si="482"/>
        <v>-1275.3200000000002</v>
      </c>
      <c r="AA38" s="26">
        <f t="shared" ref="AA38" si="483">AA34+AA35-AA36</f>
        <v>-870.25000000000011</v>
      </c>
      <c r="AB38" s="27">
        <f t="shared" ref="AB38:AD38" si="484">AB34+AB35-AB36</f>
        <v>-417.25507898083288</v>
      </c>
      <c r="AC38" s="27">
        <f t="shared" si="484"/>
        <v>-461.41080053891415</v>
      </c>
      <c r="AD38" s="27">
        <f t="shared" si="484"/>
        <v>-508.16012147649224</v>
      </c>
      <c r="AE38" s="27">
        <f t="shared" ref="AE38" si="485">AE34+AE35-AE36</f>
        <v>-556.24450856519115</v>
      </c>
      <c r="AI38" s="26">
        <f>AI34+AI35-AI36</f>
        <v>-162.66000000000008</v>
      </c>
      <c r="AJ38" s="26">
        <f t="shared" ref="AJ38" si="486">AJ34+AJ35-AJ36</f>
        <v>-183.71000000000006</v>
      </c>
      <c r="AK38" s="26">
        <f t="shared" ref="AK38:AM38" si="487">AK34+AK35-AK36</f>
        <v>-197.15999999999983</v>
      </c>
      <c r="AL38" s="26">
        <f t="shared" si="487"/>
        <v>-115.23000000000006</v>
      </c>
      <c r="AM38" s="26">
        <f t="shared" si="487"/>
        <v>-126.89000000000009</v>
      </c>
      <c r="AN38" s="26">
        <f t="shared" ref="AN38:AO38" si="488">AN34+AN35-AN36</f>
        <v>-165.23000000000013</v>
      </c>
      <c r="AO38" s="26">
        <f t="shared" si="488"/>
        <v>-156.3600000000001</v>
      </c>
      <c r="AP38" s="26">
        <f t="shared" ref="AP38:CD38" si="489">AP34+AP35-AP36</f>
        <v>-111.61000000000001</v>
      </c>
      <c r="AQ38" s="26">
        <f t="shared" si="489"/>
        <v>-122.91000000000004</v>
      </c>
      <c r="AR38" s="26">
        <f t="shared" si="489"/>
        <v>-159.38000000000017</v>
      </c>
      <c r="AS38" s="26">
        <f t="shared" si="489"/>
        <v>-169.07</v>
      </c>
      <c r="AT38" s="26">
        <f t="shared" si="489"/>
        <v>-163.88</v>
      </c>
      <c r="AU38" s="26">
        <f t="shared" si="489"/>
        <v>-83.53</v>
      </c>
      <c r="AV38" s="26">
        <f t="shared" si="489"/>
        <v>-175.7</v>
      </c>
      <c r="AW38" s="26">
        <f t="shared" si="489"/>
        <v>-77.139999999999986</v>
      </c>
      <c r="AX38" s="26">
        <f t="shared" si="489"/>
        <v>-21.979999999999961</v>
      </c>
      <c r="AY38" s="26">
        <f t="shared" si="489"/>
        <v>-108.07000000000005</v>
      </c>
      <c r="AZ38" s="26">
        <f t="shared" si="489"/>
        <v>-468.13000000000005</v>
      </c>
      <c r="BA38" s="26">
        <f t="shared" si="489"/>
        <v>-414.74</v>
      </c>
      <c r="BB38" s="26">
        <f t="shared" si="489"/>
        <v>-406.75</v>
      </c>
      <c r="BC38" s="26">
        <f t="shared" si="489"/>
        <v>-481.42999999999995</v>
      </c>
      <c r="BD38" s="26">
        <f t="shared" si="489"/>
        <v>-489.67999999999995</v>
      </c>
      <c r="BE38" s="26">
        <f t="shared" si="489"/>
        <v>-385.09000000000003</v>
      </c>
      <c r="BF38" s="26">
        <f t="shared" si="489"/>
        <v>-544.12</v>
      </c>
      <c r="BG38" s="26">
        <f t="shared" si="489"/>
        <v>-364.13</v>
      </c>
      <c r="BH38" s="26">
        <f t="shared" si="489"/>
        <v>-359.93</v>
      </c>
      <c r="BI38" s="26">
        <f t="shared" si="489"/>
        <v>-343.88</v>
      </c>
      <c r="BJ38" s="26">
        <f t="shared" si="489"/>
        <v>69.230000000000018</v>
      </c>
      <c r="BK38" s="26">
        <f t="shared" si="489"/>
        <v>-411.06000000000006</v>
      </c>
      <c r="BL38" s="26">
        <f t="shared" si="489"/>
        <v>-310.22999999999996</v>
      </c>
      <c r="BM38" s="26">
        <f t="shared" si="489"/>
        <v>-270.98999999999995</v>
      </c>
      <c r="BN38" s="26">
        <f t="shared" si="489"/>
        <v>-291.55</v>
      </c>
      <c r="BO38" s="26">
        <f t="shared" si="489"/>
        <v>-302.48999999999995</v>
      </c>
      <c r="BP38" s="26">
        <f t="shared" si="489"/>
        <v>-328.15</v>
      </c>
      <c r="BQ38" s="26">
        <f t="shared" si="489"/>
        <v>-297.95</v>
      </c>
      <c r="BR38" s="26">
        <f t="shared" si="489"/>
        <v>-288.28999999999996</v>
      </c>
      <c r="BS38" s="26">
        <f t="shared" si="489"/>
        <v>-318.45000000000005</v>
      </c>
      <c r="BT38" s="26">
        <f t="shared" si="489"/>
        <v>-313.63000000000005</v>
      </c>
      <c r="BU38" s="26">
        <f t="shared" si="489"/>
        <v>-302.29999999999995</v>
      </c>
      <c r="BV38" s="26">
        <f t="shared" si="489"/>
        <v>-280.62</v>
      </c>
      <c r="BW38" s="26">
        <f t="shared" si="489"/>
        <v>-295.09999999999997</v>
      </c>
      <c r="BX38" s="26">
        <f t="shared" si="489"/>
        <v>-287.48999999999995</v>
      </c>
      <c r="BY38" s="26">
        <f t="shared" si="489"/>
        <v>-279.79000000000002</v>
      </c>
      <c r="BZ38" s="26">
        <f t="shared" si="489"/>
        <v>-277.07</v>
      </c>
      <c r="CA38" s="26">
        <f t="shared" si="489"/>
        <v>-301.18</v>
      </c>
      <c r="CB38" s="26">
        <f t="shared" si="489"/>
        <v>-310.23</v>
      </c>
      <c r="CC38" s="26">
        <f t="shared" si="489"/>
        <v>-307.69000000000005</v>
      </c>
      <c r="CD38" s="26">
        <f t="shared" si="489"/>
        <v>-309.33999999999997</v>
      </c>
      <c r="CE38" s="26">
        <f t="shared" ref="CE38:CF38" si="490">CE34+CE35-CE36</f>
        <v>-323.39999999999998</v>
      </c>
      <c r="CF38" s="26">
        <f t="shared" si="490"/>
        <v>-330.39</v>
      </c>
      <c r="CG38" s="26">
        <f t="shared" ref="CG38:CH38" si="491">CG34+CG35-CG36</f>
        <v>-315.11</v>
      </c>
      <c r="CH38" s="26">
        <f t="shared" si="491"/>
        <v>-306.42</v>
      </c>
      <c r="CI38" s="26">
        <f t="shared" ref="CI38:CJ38" si="492">CI34+CI35-CI36</f>
        <v>-321.18</v>
      </c>
      <c r="CJ38" s="26">
        <f t="shared" si="492"/>
        <v>-320.82000000000005</v>
      </c>
      <c r="CK38" s="26">
        <f t="shared" ref="CK38:CL38" si="493">CK34+CK35-CK36</f>
        <v>-146.38</v>
      </c>
      <c r="CL38" s="26">
        <f t="shared" si="493"/>
        <v>-81.869999999999976</v>
      </c>
      <c r="CM38" s="27">
        <f t="shared" ref="CM38:DB38" si="494">CM34+CM35-CM36</f>
        <v>-112.10702453637383</v>
      </c>
      <c r="CN38" s="27">
        <f t="shared" si="494"/>
        <v>-108.70868528656392</v>
      </c>
      <c r="CO38" s="27">
        <f t="shared" si="494"/>
        <v>-98.03982462495037</v>
      </c>
      <c r="CP38" s="27">
        <f t="shared" si="494"/>
        <v>-98.39954453294466</v>
      </c>
      <c r="CQ38" s="27">
        <f t="shared" si="494"/>
        <v>-120.69706715282969</v>
      </c>
      <c r="CR38" s="27">
        <f t="shared" si="494"/>
        <v>-118.42635630597624</v>
      </c>
      <c r="CS38" s="27">
        <f t="shared" si="494"/>
        <v>-111.73532756369876</v>
      </c>
      <c r="CT38" s="27">
        <f t="shared" si="494"/>
        <v>-110.55204951640948</v>
      </c>
      <c r="CU38" s="27">
        <f t="shared" si="494"/>
        <v>-131.09612934617886</v>
      </c>
      <c r="CV38" s="27">
        <f t="shared" si="494"/>
        <v>-129.66028538679177</v>
      </c>
      <c r="CW38" s="27">
        <f t="shared" si="494"/>
        <v>-124.20851463072617</v>
      </c>
      <c r="CX38" s="27">
        <f t="shared" si="494"/>
        <v>-123.19519211279524</v>
      </c>
      <c r="CY38" s="27">
        <f t="shared" si="494"/>
        <v>-142.1617790711116</v>
      </c>
      <c r="CZ38" s="27">
        <f t="shared" si="494"/>
        <v>-141.27123711193303</v>
      </c>
      <c r="DA38" s="27">
        <f t="shared" si="494"/>
        <v>-136.70875648061121</v>
      </c>
      <c r="DB38" s="27">
        <f t="shared" si="494"/>
        <v>-136.10273590153531</v>
      </c>
      <c r="DE38" s="121"/>
      <c r="DF38" s="26">
        <v>-870.25</v>
      </c>
    </row>
    <row r="39" spans="1:110" s="23" customFormat="1" x14ac:dyDescent="0.2">
      <c r="A39" s="23" t="s">
        <v>21</v>
      </c>
      <c r="B39" s="23">
        <f>'Annual Raw'!C30</f>
        <v>-0.1152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0.85</v>
      </c>
      <c r="H39" s="23">
        <f>'Annual Raw'!I30</f>
        <v>0.7</v>
      </c>
      <c r="I39" s="23">
        <f>'Annual Raw'!J30</f>
        <v>0.93</v>
      </c>
      <c r="J39" s="23">
        <f>'Annual Raw'!K30</f>
        <v>1.21</v>
      </c>
      <c r="K39" s="23">
        <f>'Annual Raw'!L30</f>
        <v>0.01</v>
      </c>
      <c r="L39" s="23">
        <f>'Annual Raw'!M30</f>
        <v>0.01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0</v>
      </c>
      <c r="Z39" s="23">
        <f>'Annual Raw'!AA30</f>
        <v>0</v>
      </c>
      <c r="AA39" s="23">
        <f>'Annual Raw'!AB30</f>
        <v>0</v>
      </c>
      <c r="AB39" s="24">
        <f>+SUM(CM39:CP39)</f>
        <v>0</v>
      </c>
      <c r="AC39" s="24">
        <f>+SUM(CQ39:CT39)</f>
        <v>0</v>
      </c>
      <c r="AD39" s="24">
        <f>+SUM(CU39:CX39)</f>
        <v>0</v>
      </c>
      <c r="AE39" s="24">
        <f>+SUM(CY39:DB39)</f>
        <v>0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0</v>
      </c>
      <c r="CB39" s="23">
        <f>'QTR Raw'!AV29</f>
        <v>0</v>
      </c>
      <c r="CC39" s="23">
        <f>'QTR Raw'!AW29</f>
        <v>0</v>
      </c>
      <c r="CD39" s="23">
        <f>'QTR Raw'!AX29</f>
        <v>0</v>
      </c>
      <c r="CE39" s="23">
        <f>'QTR Raw'!AY29</f>
        <v>0</v>
      </c>
      <c r="CF39" s="23">
        <f>'QTR Raw'!AZ29</f>
        <v>0</v>
      </c>
      <c r="CG39" s="23">
        <f>'QTR Raw'!BA29</f>
        <v>0</v>
      </c>
      <c r="CH39" s="23">
        <f>'QTR Raw'!BB29</f>
        <v>0</v>
      </c>
      <c r="CI39" s="23">
        <f>'QTR Raw'!BC29</f>
        <v>0</v>
      </c>
      <c r="CJ39" s="23">
        <f>'QTR Raw'!BD29</f>
        <v>0</v>
      </c>
      <c r="CK39" s="23">
        <f>'QTR Raw'!BE29</f>
        <v>0</v>
      </c>
      <c r="CL39" s="23">
        <f>'QTR Raw'!BF29</f>
        <v>0</v>
      </c>
      <c r="CM39" s="24">
        <f t="shared" ref="CM39:DB39" si="495">+CM38*CM40</f>
        <v>0</v>
      </c>
      <c r="CN39" s="24">
        <f t="shared" si="495"/>
        <v>0</v>
      </c>
      <c r="CO39" s="24">
        <f t="shared" si="495"/>
        <v>0</v>
      </c>
      <c r="CP39" s="24">
        <f t="shared" si="495"/>
        <v>0</v>
      </c>
      <c r="CQ39" s="24">
        <f t="shared" si="495"/>
        <v>0</v>
      </c>
      <c r="CR39" s="24">
        <f t="shared" si="495"/>
        <v>0</v>
      </c>
      <c r="CS39" s="24">
        <f t="shared" si="495"/>
        <v>0</v>
      </c>
      <c r="CT39" s="24">
        <f t="shared" si="495"/>
        <v>0</v>
      </c>
      <c r="CU39" s="24">
        <f t="shared" si="495"/>
        <v>0</v>
      </c>
      <c r="CV39" s="24">
        <f t="shared" si="495"/>
        <v>0</v>
      </c>
      <c r="CW39" s="24">
        <f t="shared" si="495"/>
        <v>0</v>
      </c>
      <c r="CX39" s="24">
        <f t="shared" si="495"/>
        <v>0</v>
      </c>
      <c r="CY39" s="24">
        <f t="shared" si="495"/>
        <v>0</v>
      </c>
      <c r="CZ39" s="24">
        <f t="shared" si="495"/>
        <v>0</v>
      </c>
      <c r="DA39" s="24">
        <f t="shared" si="495"/>
        <v>0</v>
      </c>
      <c r="DB39" s="24">
        <f t="shared" si="495"/>
        <v>0</v>
      </c>
      <c r="DE39" s="123"/>
      <c r="DF39" s="23">
        <v>0</v>
      </c>
    </row>
    <row r="40" spans="1:110" s="90" customFormat="1" x14ac:dyDescent="0.2">
      <c r="A40" s="90" t="s">
        <v>106</v>
      </c>
      <c r="B40" s="90">
        <f t="shared" ref="B40:E40" si="496">B39/B38</f>
        <v>5.5144102261674079E-4</v>
      </c>
      <c r="C40" s="90">
        <f t="shared" si="496"/>
        <v>0</v>
      </c>
      <c r="D40" s="90">
        <f t="shared" si="496"/>
        <v>0</v>
      </c>
      <c r="E40" s="90">
        <f t="shared" si="496"/>
        <v>0</v>
      </c>
      <c r="F40" s="90">
        <f t="shared" ref="F40:T40" si="497">F39/F38</f>
        <v>0</v>
      </c>
      <c r="G40" s="90">
        <f t="shared" si="497"/>
        <v>-1.7242778318727688E-3</v>
      </c>
      <c r="H40" s="90">
        <f t="shared" si="497"/>
        <v>-2.2194743016582664E-3</v>
      </c>
      <c r="I40" s="90">
        <f t="shared" si="497"/>
        <v>-7.4513260155436309E-3</v>
      </c>
      <c r="J40" s="90">
        <f t="shared" si="497"/>
        <v>-7.1712202927754296E-3</v>
      </c>
      <c r="K40" s="90">
        <f t="shared" si="497"/>
        <v>-3.1447529796534462E-5</v>
      </c>
      <c r="L40" s="90">
        <f t="shared" si="497"/>
        <v>1.2462612163509435E-4</v>
      </c>
      <c r="M40" s="90">
        <f t="shared" si="497"/>
        <v>0</v>
      </c>
      <c r="N40" s="90">
        <f t="shared" si="497"/>
        <v>0</v>
      </c>
      <c r="O40" s="90">
        <f t="shared" si="497"/>
        <v>0</v>
      </c>
      <c r="P40" s="90">
        <f t="shared" si="497"/>
        <v>0</v>
      </c>
      <c r="Q40" s="90">
        <f t="shared" si="497"/>
        <v>0</v>
      </c>
      <c r="R40" s="90">
        <f t="shared" si="497"/>
        <v>0</v>
      </c>
      <c r="S40" s="90">
        <f t="shared" si="497"/>
        <v>0</v>
      </c>
      <c r="T40" s="90">
        <f t="shared" si="497"/>
        <v>0</v>
      </c>
      <c r="U40" s="90">
        <f t="shared" ref="U40:Z40" si="498">U39/U38</f>
        <v>0</v>
      </c>
      <c r="V40" s="90">
        <f t="shared" si="498"/>
        <v>0</v>
      </c>
      <c r="W40" s="90">
        <f t="shared" si="498"/>
        <v>0</v>
      </c>
      <c r="X40" s="90">
        <f t="shared" si="498"/>
        <v>0</v>
      </c>
      <c r="Y40" s="90">
        <f t="shared" si="498"/>
        <v>0</v>
      </c>
      <c r="Z40" s="90">
        <f t="shared" si="498"/>
        <v>0</v>
      </c>
      <c r="AA40" s="90">
        <f t="shared" ref="AA40" si="499">AA39/AA38</f>
        <v>0</v>
      </c>
      <c r="AB40" s="91">
        <f t="shared" ref="AA40:AD40" si="500">AB39/AB38</f>
        <v>0</v>
      </c>
      <c r="AC40" s="91">
        <f t="shared" si="500"/>
        <v>0</v>
      </c>
      <c r="AD40" s="91">
        <f t="shared" si="500"/>
        <v>0</v>
      </c>
      <c r="AE40" s="91">
        <f t="shared" ref="AE40" si="501">AE39/AE38</f>
        <v>0</v>
      </c>
      <c r="AI40" s="90">
        <f t="shared" ref="AI40" si="502">AI39/AI38</f>
        <v>0</v>
      </c>
      <c r="AJ40" s="90">
        <f t="shared" ref="AJ40" si="503">AJ39/AJ38</f>
        <v>0</v>
      </c>
      <c r="AK40" s="90">
        <f t="shared" ref="AK40:AM40" si="504">AK39/AK38</f>
        <v>0</v>
      </c>
      <c r="AL40" s="90">
        <f t="shared" si="504"/>
        <v>0</v>
      </c>
      <c r="AM40" s="90">
        <f t="shared" si="504"/>
        <v>0</v>
      </c>
      <c r="AN40" s="90">
        <f t="shared" ref="AN40:AO40" si="505">AN39/AN38</f>
        <v>0</v>
      </c>
      <c r="AO40" s="90">
        <f t="shared" si="505"/>
        <v>0</v>
      </c>
      <c r="AP40" s="90">
        <f t="shared" ref="AP40:CD40" si="506">AP39/AP38</f>
        <v>0</v>
      </c>
      <c r="AQ40" s="90">
        <f t="shared" si="506"/>
        <v>0</v>
      </c>
      <c r="AR40" s="90">
        <f t="shared" si="506"/>
        <v>0</v>
      </c>
      <c r="AS40" s="90">
        <f t="shared" si="506"/>
        <v>0</v>
      </c>
      <c r="AT40" s="90">
        <f t="shared" si="506"/>
        <v>0</v>
      </c>
      <c r="AU40" s="90">
        <f t="shared" si="506"/>
        <v>0</v>
      </c>
      <c r="AV40" s="90">
        <f t="shared" si="506"/>
        <v>0</v>
      </c>
      <c r="AW40" s="90">
        <f t="shared" si="506"/>
        <v>0</v>
      </c>
      <c r="AX40" s="90">
        <f t="shared" si="506"/>
        <v>0</v>
      </c>
      <c r="AY40" s="90">
        <f t="shared" si="506"/>
        <v>0</v>
      </c>
      <c r="AZ40" s="90">
        <f t="shared" si="506"/>
        <v>0</v>
      </c>
      <c r="BA40" s="90">
        <f t="shared" si="506"/>
        <v>0</v>
      </c>
      <c r="BB40" s="90">
        <f t="shared" si="506"/>
        <v>0</v>
      </c>
      <c r="BC40" s="90">
        <f t="shared" si="506"/>
        <v>0</v>
      </c>
      <c r="BD40" s="90">
        <f t="shared" si="506"/>
        <v>0</v>
      </c>
      <c r="BE40" s="90">
        <f t="shared" si="506"/>
        <v>0</v>
      </c>
      <c r="BF40" s="90">
        <f t="shared" si="506"/>
        <v>0</v>
      </c>
      <c r="BG40" s="90">
        <f t="shared" si="506"/>
        <v>0</v>
      </c>
      <c r="BH40" s="90">
        <f t="shared" si="506"/>
        <v>0</v>
      </c>
      <c r="BI40" s="90">
        <f t="shared" si="506"/>
        <v>0</v>
      </c>
      <c r="BJ40" s="90">
        <f t="shared" si="506"/>
        <v>0</v>
      </c>
      <c r="BK40" s="90">
        <f t="shared" si="506"/>
        <v>0</v>
      </c>
      <c r="BL40" s="90">
        <f t="shared" si="506"/>
        <v>0</v>
      </c>
      <c r="BM40" s="90">
        <f t="shared" si="506"/>
        <v>0</v>
      </c>
      <c r="BN40" s="90">
        <f t="shared" si="506"/>
        <v>0</v>
      </c>
      <c r="BO40" s="90">
        <f t="shared" si="506"/>
        <v>0</v>
      </c>
      <c r="BP40" s="90">
        <f t="shared" si="506"/>
        <v>0</v>
      </c>
      <c r="BQ40" s="90">
        <f t="shared" si="506"/>
        <v>0</v>
      </c>
      <c r="BR40" s="90">
        <f t="shared" si="506"/>
        <v>0</v>
      </c>
      <c r="BS40" s="90">
        <f t="shared" si="506"/>
        <v>0</v>
      </c>
      <c r="BT40" s="90">
        <f t="shared" si="506"/>
        <v>0</v>
      </c>
      <c r="BU40" s="90">
        <f t="shared" si="506"/>
        <v>0</v>
      </c>
      <c r="BV40" s="90">
        <f t="shared" si="506"/>
        <v>0</v>
      </c>
      <c r="BW40" s="90">
        <f t="shared" si="506"/>
        <v>0</v>
      </c>
      <c r="BX40" s="90">
        <f t="shared" si="506"/>
        <v>0</v>
      </c>
      <c r="BY40" s="90">
        <f t="shared" si="506"/>
        <v>0</v>
      </c>
      <c r="BZ40" s="90">
        <f t="shared" si="506"/>
        <v>0</v>
      </c>
      <c r="CA40" s="90">
        <f t="shared" si="506"/>
        <v>0</v>
      </c>
      <c r="CB40" s="90">
        <f t="shared" si="506"/>
        <v>0</v>
      </c>
      <c r="CC40" s="90">
        <f t="shared" si="506"/>
        <v>0</v>
      </c>
      <c r="CD40" s="90">
        <f t="shared" si="506"/>
        <v>0</v>
      </c>
      <c r="CE40" s="90">
        <f t="shared" ref="CE40:CF40" si="507">CE39/CE38</f>
        <v>0</v>
      </c>
      <c r="CF40" s="90">
        <f t="shared" si="507"/>
        <v>0</v>
      </c>
      <c r="CG40" s="90">
        <f t="shared" ref="CG40:CH40" si="508">CG39/CG38</f>
        <v>0</v>
      </c>
      <c r="CH40" s="90">
        <f t="shared" si="508"/>
        <v>0</v>
      </c>
      <c r="CI40" s="90">
        <f t="shared" ref="CI40:CJ40" si="509">CI39/CI38</f>
        <v>0</v>
      </c>
      <c r="CJ40" s="90">
        <f t="shared" si="509"/>
        <v>0</v>
      </c>
      <c r="CK40" s="90">
        <f t="shared" ref="CK40:CL40" si="510">CK39/CK38</f>
        <v>0</v>
      </c>
      <c r="CL40" s="90">
        <f t="shared" si="510"/>
        <v>0</v>
      </c>
      <c r="CM40" s="91">
        <f t="shared" ref="CM40:DB40" si="511">AVERAGE(CI40:CL40)</f>
        <v>0</v>
      </c>
      <c r="CN40" s="91">
        <f t="shared" si="511"/>
        <v>0</v>
      </c>
      <c r="CO40" s="91">
        <f t="shared" si="511"/>
        <v>0</v>
      </c>
      <c r="CP40" s="91">
        <f t="shared" si="511"/>
        <v>0</v>
      </c>
      <c r="CQ40" s="91">
        <f t="shared" si="511"/>
        <v>0</v>
      </c>
      <c r="CR40" s="91">
        <f t="shared" si="511"/>
        <v>0</v>
      </c>
      <c r="CS40" s="91">
        <f t="shared" si="511"/>
        <v>0</v>
      </c>
      <c r="CT40" s="91">
        <f t="shared" si="511"/>
        <v>0</v>
      </c>
      <c r="CU40" s="91">
        <f t="shared" si="511"/>
        <v>0</v>
      </c>
      <c r="CV40" s="91">
        <f t="shared" si="511"/>
        <v>0</v>
      </c>
      <c r="CW40" s="91">
        <f t="shared" si="511"/>
        <v>0</v>
      </c>
      <c r="CX40" s="91">
        <f t="shared" si="511"/>
        <v>0</v>
      </c>
      <c r="CY40" s="91">
        <f t="shared" si="511"/>
        <v>0</v>
      </c>
      <c r="CZ40" s="91">
        <f t="shared" si="511"/>
        <v>0</v>
      </c>
      <c r="DA40" s="91">
        <f t="shared" si="511"/>
        <v>0</v>
      </c>
      <c r="DB40" s="91">
        <f t="shared" si="511"/>
        <v>0</v>
      </c>
      <c r="DE40" s="127"/>
      <c r="DF40" s="90">
        <v>0</v>
      </c>
    </row>
    <row r="41" spans="1:110" s="26" customFormat="1" x14ac:dyDescent="0.2">
      <c r="A41" s="26" t="s">
        <v>22</v>
      </c>
      <c r="B41" s="26">
        <f t="shared" ref="B41:E41" si="512">B38-B39</f>
        <v>-208.79200000000003</v>
      </c>
      <c r="C41" s="26">
        <f t="shared" si="512"/>
        <v>-148.49</v>
      </c>
      <c r="D41" s="26">
        <f t="shared" si="512"/>
        <v>-205</v>
      </c>
      <c r="E41" s="26">
        <f t="shared" si="512"/>
        <v>-269.67999999999995</v>
      </c>
      <c r="F41" s="26">
        <f t="shared" ref="F41:T41" si="513">F38-F39</f>
        <v>-527.8599999999999</v>
      </c>
      <c r="G41" s="26">
        <f t="shared" si="513"/>
        <v>-493.80999999999995</v>
      </c>
      <c r="H41" s="26">
        <f t="shared" si="513"/>
        <v>-316.08999999999969</v>
      </c>
      <c r="I41" s="26">
        <f t="shared" si="513"/>
        <v>-125.73999999999994</v>
      </c>
      <c r="J41" s="26">
        <f t="shared" si="513"/>
        <v>-169.94000000000025</v>
      </c>
      <c r="K41" s="26">
        <f t="shared" si="513"/>
        <v>-318.00000000000023</v>
      </c>
      <c r="L41" s="26">
        <f t="shared" si="513"/>
        <v>80.230000000000231</v>
      </c>
      <c r="M41" s="26">
        <f t="shared" si="513"/>
        <v>-517.54999999999961</v>
      </c>
      <c r="N41" s="26">
        <f t="shared" si="513"/>
        <v>-658.76999999999964</v>
      </c>
      <c r="O41" s="26">
        <f t="shared" si="513"/>
        <v>-560.07999999999981</v>
      </c>
      <c r="P41" s="26">
        <f t="shared" si="513"/>
        <v>-615.25000000000011</v>
      </c>
      <c r="Q41" s="26">
        <f t="shared" si="513"/>
        <v>-358.33999999999941</v>
      </c>
      <c r="R41" s="26">
        <f t="shared" si="513"/>
        <v>-1397.6499999999999</v>
      </c>
      <c r="S41" s="26">
        <f t="shared" si="513"/>
        <v>-1900.32</v>
      </c>
      <c r="T41" s="26">
        <f t="shared" si="513"/>
        <v>-998.70999999999992</v>
      </c>
      <c r="U41" s="26">
        <f t="shared" ref="U41:Z41" si="514">U38-U39</f>
        <v>-1283.83</v>
      </c>
      <c r="V41" s="26">
        <f t="shared" si="514"/>
        <v>-1216.8800000000001</v>
      </c>
      <c r="W41" s="26">
        <f t="shared" si="514"/>
        <v>-1215</v>
      </c>
      <c r="X41" s="26">
        <f t="shared" si="514"/>
        <v>-1139.4499999999998</v>
      </c>
      <c r="Y41" s="26">
        <f t="shared" si="514"/>
        <v>-1228.4399999999998</v>
      </c>
      <c r="Z41" s="26">
        <f t="shared" si="514"/>
        <v>-1275.3200000000002</v>
      </c>
      <c r="AA41" s="26">
        <f t="shared" ref="AA41" si="515">AA38-AA39</f>
        <v>-870.25000000000011</v>
      </c>
      <c r="AB41" s="27">
        <f t="shared" ref="AA41:AD41" si="516">AB38-AB39</f>
        <v>-417.25507898083288</v>
      </c>
      <c r="AC41" s="27">
        <f t="shared" si="516"/>
        <v>-461.41080053891415</v>
      </c>
      <c r="AD41" s="27">
        <f t="shared" si="516"/>
        <v>-508.16012147649224</v>
      </c>
      <c r="AE41" s="27">
        <f t="shared" ref="AE41" si="517">AE38-AE39</f>
        <v>-556.24450856519115</v>
      </c>
      <c r="AI41" s="26">
        <f>AI38-AI39</f>
        <v>-162.66000000000008</v>
      </c>
      <c r="AJ41" s="26">
        <f t="shared" ref="AJ41" si="518">AJ38-AJ39</f>
        <v>-183.71000000000006</v>
      </c>
      <c r="AK41" s="26">
        <f t="shared" ref="AK41:AM41" si="519">AK38-AK39</f>
        <v>-197.15999999999983</v>
      </c>
      <c r="AL41" s="26">
        <f t="shared" si="519"/>
        <v>-115.23000000000006</v>
      </c>
      <c r="AM41" s="26">
        <f t="shared" si="519"/>
        <v>-126.89000000000009</v>
      </c>
      <c r="AN41" s="26">
        <f t="shared" ref="AN41:AO41" si="520">AN38-AN39</f>
        <v>-165.23000000000013</v>
      </c>
      <c r="AO41" s="26">
        <f t="shared" si="520"/>
        <v>-156.3600000000001</v>
      </c>
      <c r="AP41" s="26">
        <f t="shared" ref="AP41:CD41" si="521">AP38-AP39</f>
        <v>-111.61000000000001</v>
      </c>
      <c r="AQ41" s="26">
        <f t="shared" si="521"/>
        <v>-122.91000000000004</v>
      </c>
      <c r="AR41" s="26">
        <f t="shared" si="521"/>
        <v>-159.38000000000017</v>
      </c>
      <c r="AS41" s="26">
        <f t="shared" si="521"/>
        <v>-169.07</v>
      </c>
      <c r="AT41" s="26">
        <f t="shared" si="521"/>
        <v>-163.88</v>
      </c>
      <c r="AU41" s="26">
        <f t="shared" si="521"/>
        <v>-83.53</v>
      </c>
      <c r="AV41" s="26">
        <f t="shared" si="521"/>
        <v>-175.7</v>
      </c>
      <c r="AW41" s="26">
        <f t="shared" si="521"/>
        <v>-77.139999999999986</v>
      </c>
      <c r="AX41" s="26">
        <f t="shared" si="521"/>
        <v>-21.979999999999961</v>
      </c>
      <c r="AY41" s="26">
        <f t="shared" si="521"/>
        <v>-108.07000000000005</v>
      </c>
      <c r="AZ41" s="26">
        <f t="shared" si="521"/>
        <v>-468.13000000000005</v>
      </c>
      <c r="BA41" s="26">
        <f t="shared" si="521"/>
        <v>-414.74</v>
      </c>
      <c r="BB41" s="26">
        <f t="shared" si="521"/>
        <v>-406.75</v>
      </c>
      <c r="BC41" s="26">
        <f t="shared" si="521"/>
        <v>-481.42999999999995</v>
      </c>
      <c r="BD41" s="26">
        <f t="shared" si="521"/>
        <v>-489.67999999999995</v>
      </c>
      <c r="BE41" s="26">
        <f t="shared" si="521"/>
        <v>-385.09000000000003</v>
      </c>
      <c r="BF41" s="26">
        <f t="shared" si="521"/>
        <v>-544.12</v>
      </c>
      <c r="BG41" s="26">
        <f t="shared" si="521"/>
        <v>-364.13</v>
      </c>
      <c r="BH41" s="26">
        <f t="shared" si="521"/>
        <v>-359.93</v>
      </c>
      <c r="BI41" s="26">
        <f t="shared" si="521"/>
        <v>-343.88</v>
      </c>
      <c r="BJ41" s="26">
        <f t="shared" si="521"/>
        <v>69.230000000000018</v>
      </c>
      <c r="BK41" s="26">
        <f t="shared" si="521"/>
        <v>-411.06000000000006</v>
      </c>
      <c r="BL41" s="26">
        <f t="shared" si="521"/>
        <v>-310.22999999999996</v>
      </c>
      <c r="BM41" s="26">
        <f t="shared" si="521"/>
        <v>-270.98999999999995</v>
      </c>
      <c r="BN41" s="26">
        <f t="shared" si="521"/>
        <v>-291.55</v>
      </c>
      <c r="BO41" s="26">
        <f t="shared" si="521"/>
        <v>-302.48999999999995</v>
      </c>
      <c r="BP41" s="26">
        <f t="shared" si="521"/>
        <v>-328.15</v>
      </c>
      <c r="BQ41" s="26">
        <f t="shared" si="521"/>
        <v>-297.95</v>
      </c>
      <c r="BR41" s="26">
        <f t="shared" si="521"/>
        <v>-288.28999999999996</v>
      </c>
      <c r="BS41" s="26">
        <f t="shared" si="521"/>
        <v>-318.45000000000005</v>
      </c>
      <c r="BT41" s="26">
        <f t="shared" si="521"/>
        <v>-313.63000000000005</v>
      </c>
      <c r="BU41" s="26">
        <f t="shared" si="521"/>
        <v>-302.29999999999995</v>
      </c>
      <c r="BV41" s="26">
        <f t="shared" si="521"/>
        <v>-280.62</v>
      </c>
      <c r="BW41" s="26">
        <f t="shared" si="521"/>
        <v>-295.09999999999997</v>
      </c>
      <c r="BX41" s="26">
        <f t="shared" si="521"/>
        <v>-287.48999999999995</v>
      </c>
      <c r="BY41" s="26">
        <f t="shared" si="521"/>
        <v>-279.79000000000002</v>
      </c>
      <c r="BZ41" s="26">
        <f t="shared" si="521"/>
        <v>-277.07</v>
      </c>
      <c r="CA41" s="26">
        <f t="shared" si="521"/>
        <v>-301.18</v>
      </c>
      <c r="CB41" s="26">
        <f t="shared" si="521"/>
        <v>-310.23</v>
      </c>
      <c r="CC41" s="26">
        <f t="shared" si="521"/>
        <v>-307.69000000000005</v>
      </c>
      <c r="CD41" s="26">
        <f t="shared" si="521"/>
        <v>-309.33999999999997</v>
      </c>
      <c r="CE41" s="26">
        <f t="shared" ref="CE41:CF41" si="522">CE38-CE39</f>
        <v>-323.39999999999998</v>
      </c>
      <c r="CF41" s="26">
        <f t="shared" si="522"/>
        <v>-330.39</v>
      </c>
      <c r="CG41" s="26">
        <f t="shared" ref="CG41:CH41" si="523">CG38-CG39</f>
        <v>-315.11</v>
      </c>
      <c r="CH41" s="26">
        <f t="shared" si="523"/>
        <v>-306.42</v>
      </c>
      <c r="CI41" s="26">
        <f t="shared" ref="CI41:CJ41" si="524">CI38-CI39</f>
        <v>-321.18</v>
      </c>
      <c r="CJ41" s="26">
        <f t="shared" si="524"/>
        <v>-320.82000000000005</v>
      </c>
      <c r="CK41" s="26">
        <f t="shared" ref="CK41:CL41" si="525">CK38-CK39</f>
        <v>-146.38</v>
      </c>
      <c r="CL41" s="26">
        <f t="shared" si="525"/>
        <v>-81.869999999999976</v>
      </c>
      <c r="CM41" s="27">
        <f t="shared" ref="CM41:DB41" si="526">CM38-CM39</f>
        <v>-112.10702453637383</v>
      </c>
      <c r="CN41" s="27">
        <f t="shared" si="526"/>
        <v>-108.70868528656392</v>
      </c>
      <c r="CO41" s="27">
        <f t="shared" si="526"/>
        <v>-98.03982462495037</v>
      </c>
      <c r="CP41" s="27">
        <f t="shared" si="526"/>
        <v>-98.39954453294466</v>
      </c>
      <c r="CQ41" s="27">
        <f t="shared" si="526"/>
        <v>-120.69706715282969</v>
      </c>
      <c r="CR41" s="27">
        <f t="shared" si="526"/>
        <v>-118.42635630597624</v>
      </c>
      <c r="CS41" s="27">
        <f t="shared" si="526"/>
        <v>-111.73532756369876</v>
      </c>
      <c r="CT41" s="27">
        <f t="shared" si="526"/>
        <v>-110.55204951640948</v>
      </c>
      <c r="CU41" s="27">
        <f t="shared" si="526"/>
        <v>-131.09612934617886</v>
      </c>
      <c r="CV41" s="27">
        <f t="shared" si="526"/>
        <v>-129.66028538679177</v>
      </c>
      <c r="CW41" s="27">
        <f t="shared" si="526"/>
        <v>-124.20851463072617</v>
      </c>
      <c r="CX41" s="27">
        <f t="shared" si="526"/>
        <v>-123.19519211279524</v>
      </c>
      <c r="CY41" s="27">
        <f t="shared" si="526"/>
        <v>-142.1617790711116</v>
      </c>
      <c r="CZ41" s="27">
        <f t="shared" si="526"/>
        <v>-141.27123711193303</v>
      </c>
      <c r="DA41" s="27">
        <f t="shared" si="526"/>
        <v>-136.70875648061121</v>
      </c>
      <c r="DB41" s="27">
        <f t="shared" si="526"/>
        <v>-136.10273590153531</v>
      </c>
      <c r="DE41" s="121"/>
      <c r="DF41" s="26">
        <v>-870.25</v>
      </c>
    </row>
    <row r="42" spans="1:110" s="45" customFormat="1" x14ac:dyDescent="0.2">
      <c r="A42" s="45" t="s">
        <v>107</v>
      </c>
      <c r="B42" s="45">
        <f t="shared" ref="B42:E42" si="527">+B41/B10</f>
        <v>-1.4996387226151027</v>
      </c>
      <c r="C42" s="45">
        <f t="shared" si="527"/>
        <v>-0.58807920792079216</v>
      </c>
      <c r="D42" s="45">
        <f t="shared" si="527"/>
        <v>-0.57009371784532392</v>
      </c>
      <c r="E42" s="45">
        <f t="shared" si="527"/>
        <v>-0.45134728033472793</v>
      </c>
      <c r="F42" s="45">
        <f t="shared" ref="F42:AE42" si="528">+F41/F10</f>
        <v>-0.6537208812711307</v>
      </c>
      <c r="G42" s="45">
        <f t="shared" si="528"/>
        <v>-0.45091450330097788</v>
      </c>
      <c r="H42" s="45">
        <f t="shared" si="528"/>
        <v>-0.22465848839358035</v>
      </c>
      <c r="I42" s="45">
        <f t="shared" si="528"/>
        <v>-7.3653196187887654E-2</v>
      </c>
      <c r="J42" s="45">
        <f t="shared" si="528"/>
        <v>-8.7142908421489973E-2</v>
      </c>
      <c r="K42" s="45">
        <f t="shared" si="528"/>
        <v>-0.15155342258146007</v>
      </c>
      <c r="L42" s="45">
        <f t="shared" si="528"/>
        <v>3.5412409129630791E-2</v>
      </c>
      <c r="M42" s="45">
        <f t="shared" si="528"/>
        <v>-0.2079817074150872</v>
      </c>
      <c r="N42" s="45">
        <f t="shared" si="528"/>
        <v>-0.25005124234211651</v>
      </c>
      <c r="O42" s="45">
        <f t="shared" si="528"/>
        <v>-0.20506887133034069</v>
      </c>
      <c r="P42" s="45">
        <f t="shared" si="528"/>
        <v>-0.21268836013039588</v>
      </c>
      <c r="Q42" s="45">
        <f t="shared" si="528"/>
        <v>-0.12056835425575921</v>
      </c>
      <c r="R42" s="45">
        <f t="shared" si="528"/>
        <v>-0.51709083913263854</v>
      </c>
      <c r="S42" s="45">
        <f t="shared" si="528"/>
        <v>-1.0170242599718493</v>
      </c>
      <c r="T42" s="45">
        <f t="shared" si="528"/>
        <v>-0.78195270905104908</v>
      </c>
      <c r="U42" s="45">
        <f t="shared" si="528"/>
        <v>-1.1912242284781116</v>
      </c>
      <c r="V42" s="45">
        <f t="shared" si="528"/>
        <v>-1.1659735929325643</v>
      </c>
      <c r="W42" s="45">
        <f t="shared" si="528"/>
        <v>-1.1108063631376852</v>
      </c>
      <c r="X42" s="45">
        <f t="shared" si="528"/>
        <v>-1.0300857915148665</v>
      </c>
      <c r="Y42" s="45">
        <f t="shared" si="528"/>
        <v>-1.0308731590651616</v>
      </c>
      <c r="Z42" s="45">
        <f t="shared" ref="Z42:AA42" si="529">+Z41/Z10</f>
        <v>-0.9749854744503228</v>
      </c>
      <c r="AA42" s="45">
        <f t="shared" si="529"/>
        <v>-0.750066797100575</v>
      </c>
      <c r="AB42" s="48">
        <f t="shared" si="528"/>
        <v>-0.39988082371682937</v>
      </c>
      <c r="AC42" s="48">
        <f t="shared" si="528"/>
        <v>-0.48999596509917875</v>
      </c>
      <c r="AD42" s="48">
        <f t="shared" si="528"/>
        <v>-0.5975251755976978</v>
      </c>
      <c r="AE42" s="48">
        <f t="shared" si="528"/>
        <v>-0.72412352000858859</v>
      </c>
      <c r="AI42" s="45">
        <f t="shared" ref="AI42:BN42" si="530">+AI41/AI10</f>
        <v>-0.25163595860212573</v>
      </c>
      <c r="AJ42" s="45">
        <f t="shared" si="530"/>
        <v>-0.28572095121078755</v>
      </c>
      <c r="AK42" s="45">
        <f t="shared" si="530"/>
        <v>-0.30290367183899186</v>
      </c>
      <c r="AL42" s="45">
        <f t="shared" si="530"/>
        <v>-0.16915985261087224</v>
      </c>
      <c r="AM42" s="45">
        <f t="shared" si="530"/>
        <v>-0.18450286445459052</v>
      </c>
      <c r="AN42" s="45">
        <f t="shared" si="530"/>
        <v>-0.24377757122412566</v>
      </c>
      <c r="AO42" s="45">
        <f t="shared" si="530"/>
        <v>-0.2292130878386304</v>
      </c>
      <c r="AP42" s="45">
        <f t="shared" si="530"/>
        <v>-0.1627110242878386</v>
      </c>
      <c r="AQ42" s="45">
        <f t="shared" si="530"/>
        <v>-0.17364829544651819</v>
      </c>
      <c r="AR42" s="45">
        <f t="shared" si="530"/>
        <v>-0.2275751777707973</v>
      </c>
      <c r="AS42" s="45">
        <f t="shared" si="530"/>
        <v>-0.2289184358752166</v>
      </c>
      <c r="AT42" s="45">
        <f t="shared" si="530"/>
        <v>-0.21966650581738245</v>
      </c>
      <c r="AU42" s="45">
        <f t="shared" si="530"/>
        <v>-0.1112650353655775</v>
      </c>
      <c r="AV42" s="45">
        <f t="shared" si="530"/>
        <v>-0.23532090431801134</v>
      </c>
      <c r="AW42" s="45">
        <f t="shared" si="530"/>
        <v>-0.1039790801746913</v>
      </c>
      <c r="AX42" s="45">
        <f t="shared" si="530"/>
        <v>-2.9992904317449866E-2</v>
      </c>
      <c r="AY42" s="45">
        <f t="shared" si="530"/>
        <v>-0.14705201997523515</v>
      </c>
      <c r="AZ42" s="45">
        <f t="shared" si="530"/>
        <v>-0.65673882240709314</v>
      </c>
      <c r="BA42" s="45">
        <f t="shared" si="530"/>
        <v>-0.6441862632412787</v>
      </c>
      <c r="BB42" s="45">
        <f t="shared" si="530"/>
        <v>-0.68186009085880006</v>
      </c>
      <c r="BC42" s="45">
        <f t="shared" si="530"/>
        <v>-0.87043699940335195</v>
      </c>
      <c r="BD42" s="45">
        <f t="shared" si="530"/>
        <v>-0.95024450826670792</v>
      </c>
      <c r="BE42" s="45">
        <f t="shared" si="530"/>
        <v>-0.92043118695922377</v>
      </c>
      <c r="BF42" s="45">
        <f t="shared" si="530"/>
        <v>-1.42544273289322</v>
      </c>
      <c r="BG42" s="45">
        <f t="shared" si="530"/>
        <v>-1.0887427119150845</v>
      </c>
      <c r="BH42" s="45">
        <f t="shared" si="530"/>
        <v>-1.1183507332836193</v>
      </c>
      <c r="BI42" s="45">
        <f t="shared" si="530"/>
        <v>-1.1258880921978849</v>
      </c>
      <c r="BJ42" s="45">
        <f t="shared" si="530"/>
        <v>0.21944338785342973</v>
      </c>
      <c r="BK42" s="45">
        <f t="shared" si="530"/>
        <v>-1.4007837791787361</v>
      </c>
      <c r="BL42" s="45">
        <f t="shared" si="530"/>
        <v>-1.1475124838172737</v>
      </c>
      <c r="BM42" s="45">
        <f t="shared" si="530"/>
        <v>-1.0624558927311218</v>
      </c>
      <c r="BN42" s="45">
        <f t="shared" si="530"/>
        <v>-1.1261974660074165</v>
      </c>
      <c r="BO42" s="45">
        <f t="shared" ref="BO42:CT42" si="531">+BO41/BO10</f>
        <v>-1.24327990135635</v>
      </c>
      <c r="BP42" s="45">
        <f t="shared" si="531"/>
        <v>-1.2785397023299305</v>
      </c>
      <c r="BQ42" s="45">
        <f t="shared" si="531"/>
        <v>-1.0701842606228222</v>
      </c>
      <c r="BR42" s="45">
        <f t="shared" si="531"/>
        <v>-1.086697576237325</v>
      </c>
      <c r="BS42" s="45">
        <f t="shared" si="531"/>
        <v>-1.1881132709025113</v>
      </c>
      <c r="BT42" s="45">
        <f t="shared" si="531"/>
        <v>-1.1669085091342042</v>
      </c>
      <c r="BU42" s="45">
        <f t="shared" si="531"/>
        <v>-1.0636126943916682</v>
      </c>
      <c r="BV42" s="45">
        <f t="shared" si="531"/>
        <v>-1.0287411100520567</v>
      </c>
      <c r="BW42" s="45">
        <f t="shared" si="531"/>
        <v>-1.107400180126088</v>
      </c>
      <c r="BX42" s="45">
        <f t="shared" si="531"/>
        <v>-1.0354030108766115</v>
      </c>
      <c r="BY42" s="45">
        <f t="shared" si="531"/>
        <v>-0.99251507626818036</v>
      </c>
      <c r="BZ42" s="45">
        <f t="shared" si="531"/>
        <v>-0.98907650019633742</v>
      </c>
      <c r="CA42" s="45">
        <f t="shared" si="531"/>
        <v>-1.0548842422331968</v>
      </c>
      <c r="CB42" s="45">
        <f t="shared" si="531"/>
        <v>-1.0816191339516075</v>
      </c>
      <c r="CC42" s="45">
        <f t="shared" si="531"/>
        <v>-1.039387899875013</v>
      </c>
      <c r="CD42" s="45">
        <f t="shared" si="531"/>
        <v>-0.95684988709827079</v>
      </c>
      <c r="CE42" s="45">
        <f t="shared" si="531"/>
        <v>-0.9996908809891808</v>
      </c>
      <c r="CF42" s="45">
        <f t="shared" si="531"/>
        <v>-0.96183406113537118</v>
      </c>
      <c r="CG42" s="45">
        <f t="shared" si="531"/>
        <v>-0.94693031222766488</v>
      </c>
      <c r="CH42" s="45">
        <f t="shared" si="531"/>
        <v>-0.99399876731436743</v>
      </c>
      <c r="CI42" s="45">
        <f t="shared" ref="CI42:CJ42" si="532">+CI41/CI10</f>
        <v>-1.1299208443271769</v>
      </c>
      <c r="CJ42" s="45">
        <f t="shared" si="532"/>
        <v>-1.1212385978401427</v>
      </c>
      <c r="CK42" s="45">
        <f t="shared" ref="CK42:CL42" si="533">+CK41/CK10</f>
        <v>-0.49736672216370492</v>
      </c>
      <c r="CL42" s="45">
        <f t="shared" si="533"/>
        <v>-0.27701833931109149</v>
      </c>
      <c r="CM42" s="48">
        <f t="shared" si="531"/>
        <v>-0.44379158993125967</v>
      </c>
      <c r="CN42" s="48">
        <f t="shared" si="531"/>
        <v>-0.42630897372317306</v>
      </c>
      <c r="CO42" s="48">
        <f t="shared" si="531"/>
        <v>-0.36777802284343653</v>
      </c>
      <c r="CP42" s="48">
        <f t="shared" si="531"/>
        <v>-0.36543947509548497</v>
      </c>
      <c r="CQ42" s="48">
        <f t="shared" si="531"/>
        <v>-0.53136531609383209</v>
      </c>
      <c r="CR42" s="48">
        <f t="shared" si="531"/>
        <v>-0.51498433075936634</v>
      </c>
      <c r="CS42" s="48">
        <f t="shared" si="531"/>
        <v>-0.46342991183808263</v>
      </c>
      <c r="CT42" s="48">
        <f t="shared" si="531"/>
        <v>-0.45410378847272398</v>
      </c>
      <c r="CU42" s="48">
        <f t="shared" ref="CU42:DB42" si="534">+CU41/CU10</f>
        <v>-0.63957008133910853</v>
      </c>
      <c r="CV42" s="48">
        <f t="shared" si="534"/>
        <v>-0.62426379975724311</v>
      </c>
      <c r="CW42" s="48">
        <f t="shared" si="534"/>
        <v>-0.57015527096990826</v>
      </c>
      <c r="CX42" s="48">
        <f t="shared" si="534"/>
        <v>-0.56019580651589207</v>
      </c>
      <c r="CY42" s="48">
        <f t="shared" si="534"/>
        <v>-0.76795698640502208</v>
      </c>
      <c r="CZ42" s="48">
        <f t="shared" si="534"/>
        <v>-0.75298139063046654</v>
      </c>
      <c r="DA42" s="48">
        <f t="shared" si="534"/>
        <v>-0.69469771764325827</v>
      </c>
      <c r="DB42" s="48">
        <f t="shared" si="534"/>
        <v>-0.6851696282568307</v>
      </c>
      <c r="DE42" s="129"/>
      <c r="DF42" s="45">
        <v>-0.75006679710057489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0.28881374765316681</v>
      </c>
      <c r="D43" s="39">
        <f t="shared" si="535"/>
        <v>-0.38056434776752646</v>
      </c>
      <c r="E43" s="39">
        <f t="shared" si="535"/>
        <v>-0.31551219512195106</v>
      </c>
      <c r="F43" s="39">
        <f t="shared" ref="F43:AE43" si="536">+IF(E41&lt;0,1-F41/E41,F41/E41-1)</f>
        <v>-0.95735686739839809</v>
      </c>
      <c r="G43" s="39">
        <f t="shared" si="536"/>
        <v>6.4505740158375291E-2</v>
      </c>
      <c r="H43" s="39">
        <f t="shared" si="536"/>
        <v>0.35989550636884682</v>
      </c>
      <c r="I43" s="39">
        <f t="shared" si="536"/>
        <v>0.6022019045208642</v>
      </c>
      <c r="J43" s="39">
        <f t="shared" si="536"/>
        <v>-0.35151900747574638</v>
      </c>
      <c r="K43" s="39">
        <f t="shared" si="536"/>
        <v>-0.87124867600329381</v>
      </c>
      <c r="L43" s="39">
        <f t="shared" si="536"/>
        <v>1.2522955974842773</v>
      </c>
      <c r="M43" s="39">
        <f t="shared" si="536"/>
        <v>-7.4508288670073304</v>
      </c>
      <c r="N43" s="39">
        <f t="shared" si="536"/>
        <v>-0.27286252535986888</v>
      </c>
      <c r="O43" s="39">
        <f t="shared" si="536"/>
        <v>0.14980949344991401</v>
      </c>
      <c r="P43" s="39">
        <f t="shared" si="536"/>
        <v>-9.8503785173547298E-2</v>
      </c>
      <c r="Q43" s="39">
        <f t="shared" si="536"/>
        <v>0.41757009345794505</v>
      </c>
      <c r="R43" s="39">
        <f t="shared" si="536"/>
        <v>-2.9003460400736789</v>
      </c>
      <c r="S43" s="39">
        <f t="shared" si="536"/>
        <v>-0.35965370443244016</v>
      </c>
      <c r="T43" s="39">
        <f t="shared" si="536"/>
        <v>0.47445167129746568</v>
      </c>
      <c r="U43" s="39">
        <f t="shared" si="536"/>
        <v>-0.28548827988104652</v>
      </c>
      <c r="V43" s="39">
        <f t="shared" si="536"/>
        <v>5.2148648964426614E-2</v>
      </c>
      <c r="W43" s="39">
        <f t="shared" si="536"/>
        <v>1.5449345868122633E-3</v>
      </c>
      <c r="X43" s="39">
        <f t="shared" si="536"/>
        <v>6.2181069958847868E-2</v>
      </c>
      <c r="Y43" s="39">
        <f t="shared" si="536"/>
        <v>-7.8099082890868532E-2</v>
      </c>
      <c r="Z43" s="39">
        <f t="shared" ref="Z43:AA43" si="537">+IF(Y41&lt;0,1-Z41/Y41,Z41/Y41-1)</f>
        <v>-3.8162222005144963E-2</v>
      </c>
      <c r="AA43" s="39">
        <f t="shared" si="537"/>
        <v>0.31762224382899973</v>
      </c>
      <c r="AB43" s="40">
        <f t="shared" si="536"/>
        <v>0.52053423845925562</v>
      </c>
      <c r="AC43" s="40">
        <f t="shared" si="536"/>
        <v>-0.1058242877856248</v>
      </c>
      <c r="AD43" s="40">
        <f t="shared" si="536"/>
        <v>-0.1013182198660636</v>
      </c>
      <c r="AE43" s="40">
        <f t="shared" si="536"/>
        <v>-9.4624479679724871E-2</v>
      </c>
      <c r="AM43" s="39">
        <f>+IF(AI41&lt;0,1-AM41/AI41,AM41/AI41-1)</f>
        <v>0.2199065535472764</v>
      </c>
      <c r="AN43" s="39">
        <f t="shared" ref="AN43" si="538">+IF(AJ41&lt;0,1-AN41/AJ41,AN41/AJ41-1)</f>
        <v>0.10059332643840802</v>
      </c>
      <c r="AO43" s="39">
        <f t="shared" ref="AO43" si="539">+IF(AK41&lt;0,1-AO41/AK41,AO41/AK41-1)</f>
        <v>0.20693852708460014</v>
      </c>
      <c r="AP43" s="39">
        <f t="shared" ref="AP43" si="540">+IF(AL41&lt;0,1-AP41/AL41,AP41/AL41-1)</f>
        <v>3.1415430009546497E-2</v>
      </c>
      <c r="AQ43" s="39">
        <f t="shared" ref="AQ43" si="541">+IF(AM41&lt;0,1-AQ41/AM41,AQ41/AM41-1)</f>
        <v>3.1365749862085623E-2</v>
      </c>
      <c r="AR43" s="39">
        <f t="shared" ref="AR43" si="542">+IF(AN41&lt;0,1-AR41/AN41,AR41/AN41-1)</f>
        <v>3.5405192761604809E-2</v>
      </c>
      <c r="AS43" s="39">
        <f t="shared" ref="AS43" si="543">+IF(AO41&lt;0,1-AS41/AO41,AS41/AO41-1)</f>
        <v>-8.1286774111025029E-2</v>
      </c>
      <c r="AT43" s="39">
        <f t="shared" ref="AT43" si="544">+IF(AP41&lt;0,1-AT41/AP41,AT41/AP41-1)</f>
        <v>-0.46832721082340267</v>
      </c>
      <c r="AU43" s="39">
        <f t="shared" ref="AU43" si="545">+IF(AQ41&lt;0,1-AU41/AQ41,AU41/AQ41-1)</f>
        <v>0.32039703848344336</v>
      </c>
      <c r="AV43" s="39">
        <f t="shared" ref="AV43" si="546">+IF(AR41&lt;0,1-AV41/AR41,AV41/AR41-1)</f>
        <v>-0.10239678755176196</v>
      </c>
      <c r="AW43" s="39">
        <f t="shared" ref="AW43" si="547">+IF(AS41&lt;0,1-AW41/AS41,AW41/AS41-1)</f>
        <v>0.54373927958833623</v>
      </c>
      <c r="AX43" s="39">
        <f t="shared" ref="AX43" si="548">+IF(AT41&lt;0,1-AX41/AT41,AX41/AT41-1)</f>
        <v>0.86587747132047865</v>
      </c>
      <c r="AY43" s="39">
        <f t="shared" ref="AY43" si="549">+IF(AU41&lt;0,1-AY41/AU41,AY41/AU41-1)</f>
        <v>-0.29378666347420146</v>
      </c>
      <c r="AZ43" s="39">
        <f t="shared" ref="AZ43" si="550">+IF(AV41&lt;0,1-AZ41/AV41,AZ41/AV41-1)</f>
        <v>-1.6643710870802511</v>
      </c>
      <c r="BA43" s="39">
        <f t="shared" ref="BA43" si="551">+IF(AW41&lt;0,1-BA41/AW41,BA41/AW41-1)</f>
        <v>-4.3764583873476806</v>
      </c>
      <c r="BB43" s="39">
        <f t="shared" ref="BB43" si="552">+IF(AX41&lt;0,1-BB41/AX41,BB41/AX41-1)</f>
        <v>-17.505459508644254</v>
      </c>
      <c r="BC43" s="39">
        <f t="shared" ref="BC43" si="553">+IF(AY41&lt;0,1-BC41/AY41,BC41/AY41-1)</f>
        <v>-3.4547978162302186</v>
      </c>
      <c r="BD43" s="39">
        <f t="shared" ref="BD43" si="554">+IF(AZ41&lt;0,1-BD41/AZ41,BD41/AZ41-1)</f>
        <v>-4.6034221263324016E-2</v>
      </c>
      <c r="BE43" s="39">
        <f t="shared" ref="BE43" si="555">+IF(BA41&lt;0,1-BE41/BA41,BE41/BA41-1)</f>
        <v>7.1490572406809005E-2</v>
      </c>
      <c r="BF43" s="39">
        <f t="shared" ref="BF43" si="556">+IF(BB41&lt;0,1-BF41/BB41,BF41/BB41-1)</f>
        <v>-0.33772587584511382</v>
      </c>
      <c r="BG43" s="39">
        <f t="shared" ref="BG43" si="557">+IF(BC41&lt;0,1-BG41/BC41,BG41/BC41-1)</f>
        <v>0.24364912863760047</v>
      </c>
      <c r="BH43" s="39">
        <f t="shared" ref="BH43" si="558">+IF(BD41&lt;0,1-BH41/BD41,BH41/BD41-1)</f>
        <v>0.26496895932037234</v>
      </c>
      <c r="BI43" s="39">
        <f t="shared" ref="BI43" si="559">+IF(BE41&lt;0,1-BI41/BE41,BI41/BE41-1)</f>
        <v>0.10701394479212656</v>
      </c>
      <c r="BJ43" s="39">
        <f t="shared" ref="BJ43" si="560">+IF(BF41&lt;0,1-BJ41/BF41,BJ41/BF41-1)</f>
        <v>1.1272329633169154</v>
      </c>
      <c r="BK43" s="39">
        <f t="shared" ref="BK43" si="561">+IF(BG41&lt;0,1-BK41/BG41,BK41/BG41-1)</f>
        <v>-0.12888254194930404</v>
      </c>
      <c r="BL43" s="39">
        <f t="shared" ref="BL43" si="562">+IF(BH41&lt;0,1-BL41/BH41,BL41/BH41-1)</f>
        <v>0.13808240491206636</v>
      </c>
      <c r="BM43" s="39">
        <f t="shared" ref="BM43" si="563">+IF(BI41&lt;0,1-BM41/BI41,BM41/BI41-1)</f>
        <v>0.21196347563103424</v>
      </c>
      <c r="BN43" s="39">
        <f t="shared" ref="BN43" si="564">+IF(BJ41&lt;0,1-BN41/BJ41,BN41/BJ41-1)</f>
        <v>-5.2113245702730024</v>
      </c>
      <c r="BO43" s="39">
        <f t="shared" ref="BO43" si="565">+IF(BK41&lt;0,1-BO41/BK41,BO41/BK41-1)</f>
        <v>0.26412202598160872</v>
      </c>
      <c r="BP43" s="39">
        <f t="shared" ref="BP43" si="566">+IF(BL41&lt;0,1-BP41/BL41,BP41/BL41-1)</f>
        <v>-5.7763594752280545E-2</v>
      </c>
      <c r="BQ43" s="39">
        <f t="shared" ref="BQ43" si="567">+IF(BM41&lt;0,1-BQ41/BM41,BQ41/BM41-1)</f>
        <v>-9.9487065943392849E-2</v>
      </c>
      <c r="BR43" s="39">
        <f t="shared" ref="BR43" si="568">+IF(BN41&lt;0,1-BR41/BN41,BR41/BN41-1)</f>
        <v>1.11816155033444E-2</v>
      </c>
      <c r="BS43" s="39">
        <f t="shared" ref="BS43" si="569">+IF(BO41&lt;0,1-BS41/BO41,BS41/BO41-1)</f>
        <v>-5.2762074779331813E-2</v>
      </c>
      <c r="BT43" s="39">
        <f t="shared" ref="BT43" si="570">+IF(BP41&lt;0,1-BT41/BP41,BT41/BP41-1)</f>
        <v>4.4248057290872889E-2</v>
      </c>
      <c r="BU43" s="39">
        <f t="shared" ref="BU43" si="571">+IF(BQ41&lt;0,1-BU41/BQ41,BU41/BQ41-1)</f>
        <v>-1.4599765061251713E-2</v>
      </c>
      <c r="BV43" s="39">
        <f t="shared" ref="BV43" si="572">+IF(BR41&lt;0,1-BV41/BR41,BV41/BR41-1)</f>
        <v>2.6605154531894826E-2</v>
      </c>
      <c r="BW43" s="39">
        <f t="shared" ref="BW43" si="573">+IF(BS41&lt;0,1-BW41/BS41,BW41/BS41-1)</f>
        <v>7.3323912702151328E-2</v>
      </c>
      <c r="BX43" s="39">
        <f t="shared" ref="BX43" si="574">+IF(BT41&lt;0,1-BX41/BT41,BX41/BT41-1)</f>
        <v>8.3346618627044955E-2</v>
      </c>
      <c r="BY43" s="39">
        <f t="shared" ref="BY43" si="575">+IF(BU41&lt;0,1-BY41/BU41,BY41/BU41-1)</f>
        <v>7.4462454515381915E-2</v>
      </c>
      <c r="BZ43" s="39">
        <f t="shared" ref="BZ43" si="576">+IF(BV41&lt;0,1-BZ41/BV41,BZ41/BV41-1)</f>
        <v>1.2650559475447243E-2</v>
      </c>
      <c r="CA43" s="39">
        <f t="shared" ref="CA43" si="577">+IF(BW41&lt;0,1-CA41/BW41,CA41/BW41-1)</f>
        <v>-2.0603185360894782E-2</v>
      </c>
      <c r="CB43" s="39">
        <f t="shared" ref="CB43" si="578">+IF(BX41&lt;0,1-CB41/BX41,CB41/BX41-1)</f>
        <v>-7.9098403422728003E-2</v>
      </c>
      <c r="CC43" s="39">
        <f t="shared" ref="CC43" si="579">+IF(BY41&lt;0,1-CC41/BY41,CC41/BY41-1)</f>
        <v>-9.9717645376889985E-2</v>
      </c>
      <c r="CD43" s="39">
        <f t="shared" ref="CD43" si="580">+IF(BZ41&lt;0,1-CD41/BZ41,CD41/BZ41-1)</f>
        <v>-0.11646876240661208</v>
      </c>
      <c r="CE43" s="39">
        <f t="shared" ref="CE43" si="581">+IF(CA41&lt;0,1-CE41/CA41,CE41/CA41-1)</f>
        <v>-7.3776479181884458E-2</v>
      </c>
      <c r="CF43" s="39">
        <f t="shared" ref="CF43" si="582">+IF(CB41&lt;0,1-CF41/CB41,CF41/CB41-1)</f>
        <v>-6.4984044096315641E-2</v>
      </c>
      <c r="CG43" s="39">
        <f t="shared" ref="CG43" si="583">+IF(CC41&lt;0,1-CG41/CC41,CG41/CC41-1)</f>
        <v>-2.4115180863856445E-2</v>
      </c>
      <c r="CH43" s="39">
        <f t="shared" ref="CH43:CL43" si="584">+IF(CD41&lt;0,1-CH41/CD41,CH41/CD41-1)</f>
        <v>9.439451735953841E-3</v>
      </c>
      <c r="CI43" s="39">
        <f t="shared" si="584"/>
        <v>6.8645640074210812E-3</v>
      </c>
      <c r="CJ43" s="39">
        <f t="shared" si="584"/>
        <v>2.8965767729047243E-2</v>
      </c>
      <c r="CK43" s="39">
        <f t="shared" si="584"/>
        <v>0.53546380628986712</v>
      </c>
      <c r="CL43" s="39">
        <f t="shared" si="584"/>
        <v>0.73281770119443912</v>
      </c>
      <c r="CM43" s="40">
        <f t="shared" ref="CM43" si="585">+CM41/CI41-1</f>
        <v>-0.65095266038864863</v>
      </c>
      <c r="CN43" s="40">
        <f t="shared" ref="CN43" si="586">+CN41/CJ41-1</f>
        <v>-0.66115365224560851</v>
      </c>
      <c r="CO43" s="40">
        <f t="shared" ref="CO43" si="587">+CO41/CK41-1</f>
        <v>-0.33023756916962443</v>
      </c>
      <c r="CP43" s="40">
        <f t="shared" ref="CP43" si="588">+CP41/CL41-1</f>
        <v>0.20189989657926821</v>
      </c>
      <c r="CQ43" s="40">
        <f t="shared" ref="CQ43" si="589">+CQ41/CM41-1</f>
        <v>7.6623589395763192E-2</v>
      </c>
      <c r="CR43" s="40">
        <f t="shared" ref="CR43" si="590">+CR41/CN41-1</f>
        <v>8.9391854880737753E-2</v>
      </c>
      <c r="CS43" s="40">
        <f t="shared" ref="CS43" si="591">+CS41/CO41-1</f>
        <v>0.13969326231600565</v>
      </c>
      <c r="CT43" s="40">
        <f t="shared" ref="CT43" si="592">+CT41/CP41-1</f>
        <v>0.12350163856089913</v>
      </c>
      <c r="CU43" s="40">
        <f t="shared" ref="CU43" si="593">+CU41/CQ41-1</f>
        <v>8.6158366882118198E-2</v>
      </c>
      <c r="CV43" s="40">
        <f t="shared" ref="CV43" si="594">+CV41/CR41-1</f>
        <v>9.4860041558575192E-2</v>
      </c>
      <c r="CW43" s="40">
        <f t="shared" ref="CW43" si="595">+CW41/CS41-1</f>
        <v>0.11163154338914549</v>
      </c>
      <c r="CX43" s="40">
        <f t="shared" ref="CX43" si="596">+CX41/CT41-1</f>
        <v>0.11436371059325423</v>
      </c>
      <c r="CY43" s="40">
        <f t="shared" ref="CY43" si="597">+CY41/CU41-1</f>
        <v>8.4408668510053797E-2</v>
      </c>
      <c r="CZ43" s="40">
        <f t="shared" ref="CZ43" si="598">+CZ41/CV41-1</f>
        <v>8.9549021818858598E-2</v>
      </c>
      <c r="DA43" s="40">
        <f t="shared" ref="DA43" si="599">+DA41/CW41-1</f>
        <v>0.10063917024568281</v>
      </c>
      <c r="DB43" s="40">
        <f t="shared" ref="DB43" si="600">+DB41/CX41-1</f>
        <v>0.10477311303611714</v>
      </c>
      <c r="DE43" s="122"/>
      <c r="DF43" s="39">
        <v>0.31762224382899984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-0.12941104143612425</v>
      </c>
      <c r="AK44" s="39">
        <f t="shared" ref="AK44:AM44" si="601">+IF(AJ41&lt;0,1-AK41/AJ41,AK41/AJ41-1)</f>
        <v>-7.3213216482498344E-2</v>
      </c>
      <c r="AL44" s="39">
        <f t="shared" si="601"/>
        <v>0.4155508216676802</v>
      </c>
      <c r="AM44" s="39">
        <f t="shared" si="601"/>
        <v>-0.10118892649483668</v>
      </c>
      <c r="AN44" s="39">
        <f t="shared" ref="AN44" si="602">+IF(AM41&lt;0,1-AN41/AM41,AN41/AM41-1)</f>
        <v>-0.30215146977697227</v>
      </c>
      <c r="AO44" s="39">
        <f t="shared" ref="AO44" si="603">+IF(AN41&lt;0,1-AO41/AN41,AO41/AN41-1)</f>
        <v>5.3682745264177378E-2</v>
      </c>
      <c r="AP44" s="39">
        <f t="shared" ref="AP44" si="604">+IF(AO41&lt;0,1-AP41/AO41,AP41/AO41-1)</f>
        <v>0.28619851624456416</v>
      </c>
      <c r="AQ44" s="39">
        <f t="shared" ref="AQ44" si="605">+IF(AP41&lt;0,1-AQ41/AP41,AQ41/AP41-1)</f>
        <v>-0.10124540811755245</v>
      </c>
      <c r="AR44" s="39">
        <f t="shared" ref="AR44" si="606">+IF(AQ41&lt;0,1-AR41/AQ41,AR41/AQ41-1)</f>
        <v>-0.29672117809779608</v>
      </c>
      <c r="AS44" s="39">
        <f t="shared" ref="AS44" si="607">+IF(AR41&lt;0,1-AS41/AR41,AS41/AR41-1)</f>
        <v>-6.0798092608858267E-2</v>
      </c>
      <c r="AT44" s="39">
        <f t="shared" ref="AT44" si="608">+IF(AS41&lt;0,1-AT41/AS41,AT41/AS41-1)</f>
        <v>3.0697344295262274E-2</v>
      </c>
      <c r="AU44" s="39">
        <f t="shared" ref="AU44" si="609">+IF(AT41&lt;0,1-AU41/AT41,AU41/AT41-1)</f>
        <v>0.4902977788625823</v>
      </c>
      <c r="AV44" s="39">
        <f t="shared" ref="AV44" si="610">+IF(AU41&lt;0,1-AV41/AU41,AV41/AU41-1)</f>
        <v>-1.1034358912965399</v>
      </c>
      <c r="AW44" s="39">
        <f t="shared" ref="AW44" si="611">+IF(AV41&lt;0,1-AW41/AV41,AW41/AV41-1)</f>
        <v>0.56095617529880482</v>
      </c>
      <c r="AX44" s="39">
        <f t="shared" ref="AX44" si="612">+IF(AW41&lt;0,1-AX41/AW41,AX41/AW41-1)</f>
        <v>0.71506352087114378</v>
      </c>
      <c r="AY44" s="39">
        <f t="shared" ref="AY44" si="613">+IF(AX41&lt;0,1-AY41/AX41,AY41/AX41-1)</f>
        <v>-3.916742493175625</v>
      </c>
      <c r="AZ44" s="39">
        <f t="shared" ref="AZ44" si="614">+IF(AY41&lt;0,1-AZ41/AY41,AZ41/AY41-1)</f>
        <v>-3.3317294346257045</v>
      </c>
      <c r="BA44" s="39">
        <f t="shared" ref="BA44" si="615">+IF(AZ41&lt;0,1-BA41/AZ41,BA41/AZ41-1)</f>
        <v>0.11404951616004111</v>
      </c>
      <c r="BB44" s="39">
        <f t="shared" ref="BB44" si="616">+IF(BA41&lt;0,1-BB41/BA41,BB41/BA41-1)</f>
        <v>1.926508173795638E-2</v>
      </c>
      <c r="BC44" s="39">
        <f t="shared" ref="BC44" si="617">+IF(BB41&lt;0,1-BC41/BB41,BC41/BB41-1)</f>
        <v>-0.18360172095881988</v>
      </c>
      <c r="BD44" s="39">
        <f t="shared" ref="BD44" si="618">+IF(BC41&lt;0,1-BD41/BC41,BD41/BC41-1)</f>
        <v>-1.7136447666327381E-2</v>
      </c>
      <c r="BE44" s="39">
        <f t="shared" ref="BE44" si="619">+IF(BD41&lt;0,1-BE41/BD41,BE41/BD41-1)</f>
        <v>0.21358846593693825</v>
      </c>
      <c r="BF44" s="39">
        <f t="shared" ref="BF44" si="620">+IF(BE41&lt;0,1-BF41/BE41,BF41/BE41-1)</f>
        <v>-0.41296839699810417</v>
      </c>
      <c r="BG44" s="39">
        <f t="shared" ref="BG44" si="621">+IF(BF41&lt;0,1-BG41/BF41,BG41/BF41-1)</f>
        <v>0.33079100198485634</v>
      </c>
      <c r="BH44" s="39">
        <f t="shared" ref="BH44" si="622">+IF(BG41&lt;0,1-BH41/BG41,BH41/BG41-1)</f>
        <v>1.1534342130557707E-2</v>
      </c>
      <c r="BI44" s="39">
        <f t="shared" ref="BI44" si="623">+IF(BH41&lt;0,1-BI41/BH41,BI41/BH41-1)</f>
        <v>4.4592004000778007E-2</v>
      </c>
      <c r="BJ44" s="39">
        <f t="shared" ref="BJ44" si="624">+IF(BI41&lt;0,1-BJ41/BI41,BJ41/BI41-1)</f>
        <v>1.2013202279865069</v>
      </c>
      <c r="BK44" s="39">
        <f t="shared" ref="BK44" si="625">+IF(BJ41&lt;0,1-BK41/BJ41,BK41/BJ41-1)</f>
        <v>-6.9375993066589619</v>
      </c>
      <c r="BL44" s="39">
        <f t="shared" ref="BL44" si="626">+IF(BK41&lt;0,1-BL41/BK41,BL41/BK41-1)</f>
        <v>0.24529265800613065</v>
      </c>
      <c r="BM44" s="39">
        <f t="shared" ref="BM44" si="627">+IF(BL41&lt;0,1-BM41/BL41,BM41/BL41-1)</f>
        <v>0.12648680011604296</v>
      </c>
      <c r="BN44" s="39">
        <f t="shared" ref="BN44" si="628">+IF(BM41&lt;0,1-BN41/BM41,BN41/BM41-1)</f>
        <v>-7.5869958301044482E-2</v>
      </c>
      <c r="BO44" s="39">
        <f t="shared" ref="BO44" si="629">+IF(BN41&lt;0,1-BO41/BN41,BO41/BN41-1)</f>
        <v>-3.7523580860915562E-2</v>
      </c>
      <c r="BP44" s="39">
        <f t="shared" ref="BP44" si="630">+IF(BO41&lt;0,1-BP41/BO41,BP41/BO41-1)</f>
        <v>-8.4829250553737356E-2</v>
      </c>
      <c r="BQ44" s="39">
        <f t="shared" ref="BQ44" si="631">+IF(BP41&lt;0,1-BQ41/BP41,BQ41/BP41-1)</f>
        <v>9.2031083346030718E-2</v>
      </c>
      <c r="BR44" s="39">
        <f t="shared" ref="BR44" si="632">+IF(BQ41&lt;0,1-BR41/BQ41,BR41/BQ41-1)</f>
        <v>3.2421547239469772E-2</v>
      </c>
      <c r="BS44" s="39">
        <f t="shared" ref="BS44" si="633">+IF(BR41&lt;0,1-BS41/BR41,BS41/BR41-1)</f>
        <v>-0.1046168788372821</v>
      </c>
      <c r="BT44" s="39">
        <f t="shared" ref="BT44" si="634">+IF(BS41&lt;0,1-BT41/BS41,BT41/BS41-1)</f>
        <v>1.5135814099544675E-2</v>
      </c>
      <c r="BU44" s="39">
        <f t="shared" ref="BU44" si="635">+IF(BT41&lt;0,1-BU41/BT41,BU41/BT41-1)</f>
        <v>3.61253706596949E-2</v>
      </c>
      <c r="BV44" s="39">
        <f t="shared" ref="BV44" si="636">+IF(BU41&lt;0,1-BV41/BU41,BV41/BU41-1)</f>
        <v>7.1716837578564174E-2</v>
      </c>
      <c r="BW44" s="39">
        <f t="shared" ref="BW44" si="637">+IF(BV41&lt;0,1-BW41/BV41,BW41/BV41-1)</f>
        <v>-5.160002850830292E-2</v>
      </c>
      <c r="BX44" s="39">
        <f t="shared" ref="BX44" si="638">+IF(BW41&lt;0,1-BX41/BW41,BX41/BW41-1)</f>
        <v>2.5787868519146051E-2</v>
      </c>
      <c r="BY44" s="39">
        <f t="shared" ref="BY44" si="639">+IF(BX41&lt;0,1-BY41/BX41,BY41/BX41-1)</f>
        <v>2.6783540297053543E-2</v>
      </c>
      <c r="BZ44" s="39">
        <f t="shared" ref="BZ44" si="640">+IF(BY41&lt;0,1-BZ41/BY41,BZ41/BY41-1)</f>
        <v>9.721576896958517E-3</v>
      </c>
      <c r="CA44" s="39">
        <f t="shared" ref="CA44" si="641">+IF(BZ41&lt;0,1-CA41/BZ41,CA41/BZ41-1)</f>
        <v>-8.7017721153499261E-2</v>
      </c>
      <c r="CB44" s="39">
        <f t="shared" ref="CB44" si="642">+IF(CA41&lt;0,1-CB41/CA41,CB41/CA41-1)</f>
        <v>-3.0048475994421953E-2</v>
      </c>
      <c r="CC44" s="39">
        <f t="shared" ref="CC44" si="643">+IF(CB41&lt;0,1-CC41/CB41,CC41/CB41-1)</f>
        <v>8.1874738097539312E-3</v>
      </c>
      <c r="CD44" s="39">
        <f t="shared" ref="CD44" si="644">+IF(CC41&lt;0,1-CD41/CC41,CD41/CC41-1)</f>
        <v>-5.3625402190513594E-3</v>
      </c>
      <c r="CE44" s="39">
        <f t="shared" ref="CE44" si="645">+IF(CD41&lt;0,1-CE41/CD41,CE41/CD41-1)</f>
        <v>-4.5451606646408571E-2</v>
      </c>
      <c r="CF44" s="39">
        <f t="shared" ref="CF44" si="646">+IF(CE41&lt;0,1-CF41/CE41,CF41/CE41-1)</f>
        <v>-2.1614100185528784E-2</v>
      </c>
      <c r="CG44" s="39">
        <f t="shared" ref="CG44" si="647">+IF(CF41&lt;0,1-CG41/CF41,CG41/CF41-1)</f>
        <v>4.624837313478003E-2</v>
      </c>
      <c r="CH44" s="39">
        <f t="shared" ref="CH44:CL44" si="648">+IF(CG41&lt;0,1-CH41/CG41,CH41/CG41-1)</f>
        <v>2.7577671289391037E-2</v>
      </c>
      <c r="CI44" s="39">
        <f t="shared" si="648"/>
        <v>-4.8169179557470132E-2</v>
      </c>
      <c r="CJ44" s="39">
        <f t="shared" si="648"/>
        <v>1.1208668036614133E-3</v>
      </c>
      <c r="CK44" s="39">
        <f t="shared" si="648"/>
        <v>0.54373168755065149</v>
      </c>
      <c r="CL44" s="39">
        <f t="shared" si="648"/>
        <v>0.44070228173247727</v>
      </c>
      <c r="CM44" s="40">
        <f t="shared" ref="CM44" si="649">+CM41/CL41-1</f>
        <v>0.36932972439689582</v>
      </c>
      <c r="CN44" s="40">
        <f t="shared" ref="CN44" si="650">+CN41/CM41-1</f>
        <v>-3.0313348016004937E-2</v>
      </c>
      <c r="CO44" s="40">
        <f t="shared" ref="CO44" si="651">+CO41/CN41-1</f>
        <v>-9.8141750435944197E-2</v>
      </c>
      <c r="CP44" s="40">
        <f t="shared" ref="CP44" si="652">+CP41/CO41-1</f>
        <v>3.6691202719953964E-3</v>
      </c>
      <c r="CQ44" s="40">
        <f t="shared" ref="CQ44" si="653">+CQ41/CP41-1</f>
        <v>0.22660188851199115</v>
      </c>
      <c r="CR44" s="40">
        <f t="shared" ref="CR44" si="654">+CR41/CQ41-1</f>
        <v>-1.8813305910558853E-2</v>
      </c>
      <c r="CS44" s="40">
        <f t="shared" ref="CS44" si="655">+CS41/CR41-1</f>
        <v>-5.6499490071196479E-2</v>
      </c>
      <c r="CT44" s="40">
        <f t="shared" ref="CT44" si="656">+CT41/CS41-1</f>
        <v>-1.0590008308828835E-2</v>
      </c>
      <c r="CU44" s="40">
        <f t="shared" ref="CU44" si="657">+CU41/CT41-1</f>
        <v>0.18583174097301525</v>
      </c>
      <c r="CV44" s="40">
        <f t="shared" ref="CV44" si="658">+CV41/CU41-1</f>
        <v>-1.095260376143925E-2</v>
      </c>
      <c r="CW44" s="40">
        <f t="shared" ref="CW44" si="659">+CW41/CV41-1</f>
        <v>-4.2046573781650443E-2</v>
      </c>
      <c r="CX44" s="40">
        <f t="shared" ref="CX44" si="660">+CX41/CW41-1</f>
        <v>-8.158237146169478E-3</v>
      </c>
      <c r="CY44" s="40">
        <f t="shared" ref="CY44" si="661">+CY41/CX41-1</f>
        <v>0.15395557759227252</v>
      </c>
      <c r="CZ44" s="40">
        <f t="shared" ref="CZ44" si="662">+CZ41/CY41-1</f>
        <v>-6.2642854148097227E-3</v>
      </c>
      <c r="DA44" s="40">
        <f t="shared" ref="DA44" si="663">+DA41/CZ41-1</f>
        <v>-3.2295892105105861E-2</v>
      </c>
      <c r="DB44" s="40">
        <f t="shared" ref="DB44" si="664">+DB41/DA41-1</f>
        <v>-4.4329316912619099E-3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-47.25</v>
      </c>
      <c r="H47" s="75">
        <f>'Annual Raw'!I29+'Annual Raw'!I31+'Annual Raw'!I34+'Annual Raw'!I36</f>
        <v>5.48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-958.82</v>
      </c>
      <c r="S47" s="75">
        <f>'Annual Raw'!T29+'Annual Raw'!T31+'Annual Raw'!T34+'Annual Raw'!T36</f>
        <v>-7941.67</v>
      </c>
      <c r="T47" s="75">
        <f>'Annual Raw'!U29+'Annual Raw'!U31+'Annual Raw'!U34+'Annual Raw'!U36</f>
        <v>331.11</v>
      </c>
      <c r="U47" s="75">
        <f>'Annual Raw'!V29+'Annual Raw'!V31+'Annual Raw'!V34+'Annual Raw'!V36</f>
        <v>-2430.2800000000002</v>
      </c>
      <c r="V47" s="75">
        <f>'Annual Raw'!W29+'Annual Raw'!W31+'Annual Raw'!W34+'Annual Raw'!W36</f>
        <v>-779.81</v>
      </c>
      <c r="W47" s="75">
        <f>'Annual Raw'!X29+'Annual Raw'!X31+'Annual Raw'!X34+'Annual Raw'!X36</f>
        <v>0</v>
      </c>
      <c r="X47" s="75">
        <f>'Annual Raw'!Y29+'Annual Raw'!Y31+'Annual Raw'!Y34+'Annual Raw'!Y36</f>
        <v>-5.27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654.95000000000005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-958.82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-7708.63</v>
      </c>
      <c r="BE47" s="75">
        <f>'QTR Raw'!Y26+'QTR Raw'!Y31+'QTR Raw'!Y32+'QTR Raw'!Y33+'QTR Raw'!Y36+'QTR Raw'!Y37+'QTR Raw'!Y39</f>
        <v>-95.66</v>
      </c>
      <c r="BF47" s="75">
        <f>'QTR Raw'!Z26+'QTR Raw'!Z31+'QTR Raw'!Z32+'QTR Raw'!Z33+'QTR Raw'!Z36+'QTR Raw'!Z37+'QTR Raw'!Z39</f>
        <v>-137.38</v>
      </c>
      <c r="BG47" s="75">
        <f>'QTR Raw'!AA26+'QTR Raw'!AA31+'QTR Raw'!AA32+'QTR Raw'!AA33+'QTR Raw'!AA36+'QTR Raw'!AA37+'QTR Raw'!AA39</f>
        <v>-91.3</v>
      </c>
      <c r="BH47" s="75">
        <f>'QTR Raw'!AB26+'QTR Raw'!AB31+'QTR Raw'!AB32+'QTR Raw'!AB33+'QTR Raw'!AB36+'QTR Raw'!AB37+'QTR Raw'!AB39</f>
        <v>-22.37</v>
      </c>
      <c r="BI47" s="75">
        <f>'QTR Raw'!AC26+'QTR Raw'!AC31+'QTR Raw'!AC32+'QTR Raw'!AC33+'QTR Raw'!AC36+'QTR Raw'!AC37+'QTR Raw'!AC39</f>
        <v>-65.540000000000006</v>
      </c>
      <c r="BJ47" s="75">
        <f>'QTR Raw'!AD26+'QTR Raw'!AD31+'QTR Raw'!AD32+'QTR Raw'!AD33+'QTR Raw'!AD36+'QTR Raw'!AD37+'QTR Raw'!AD39</f>
        <v>510.32</v>
      </c>
      <c r="BK47" s="75">
        <f>'QTR Raw'!AE26+'QTR Raw'!AE31+'QTR Raw'!AE32+'QTR Raw'!AE33+'QTR Raw'!AE36+'QTR Raw'!AE37+'QTR Raw'!AE39</f>
        <v>182.21</v>
      </c>
      <c r="BL47" s="75">
        <f>'QTR Raw'!AF26+'QTR Raw'!AF31+'QTR Raw'!AF32+'QTR Raw'!AF33+'QTR Raw'!AF36+'QTR Raw'!AF37+'QTR Raw'!AF39</f>
        <v>-2024.22</v>
      </c>
      <c r="BM47" s="75">
        <f>'QTR Raw'!AG26+'QTR Raw'!AG31+'QTR Raw'!AG32+'QTR Raw'!AG33+'QTR Raw'!AG36+'QTR Raw'!AG37+'QTR Raw'!AG39</f>
        <v>-5.86</v>
      </c>
      <c r="BN47" s="75">
        <f>'QTR Raw'!AH26+'QTR Raw'!AH31+'QTR Raw'!AH32+'QTR Raw'!AH33+'QTR Raw'!AH36+'QTR Raw'!AH37+'QTR Raw'!AH39</f>
        <v>-582.41</v>
      </c>
      <c r="BO47" s="75">
        <f>'QTR Raw'!AI26+'QTR Raw'!AI31+'QTR Raw'!AI32+'QTR Raw'!AI33+'QTR Raw'!AI36+'QTR Raw'!AI37+'QTR Raw'!AI39</f>
        <v>-766.77</v>
      </c>
      <c r="BP47" s="75">
        <f>'QTR Raw'!AJ26+'QTR Raw'!AJ31+'QTR Raw'!AJ32+'QTR Raw'!AJ33+'QTR Raw'!AJ36+'QTR Raw'!AJ37+'QTR Raw'!AJ39</f>
        <v>-13.04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-5.27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-3.8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-4.05</v>
      </c>
      <c r="CL47" s="75">
        <f>'QTR Raw'!BF26+'QTR Raw'!BF31+'QTR Raw'!BF32+'QTR Raw'!BF33+'QTR Raw'!BF36+'QTR Raw'!BF37+'QTR Raw'!BF39</f>
        <v>662.8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654.94999999999993</v>
      </c>
    </row>
    <row r="48" spans="1:110" s="26" customFormat="1" x14ac:dyDescent="0.2">
      <c r="A48" s="35" t="s">
        <v>25</v>
      </c>
      <c r="B48" s="26">
        <f>B41+B45+B46+B47</f>
        <v>-208.79200000000003</v>
      </c>
      <c r="C48" s="26">
        <f>C41+C45+C46+C47</f>
        <v>-148.49</v>
      </c>
      <c r="D48" s="26">
        <f>D41+D45+D46+D47</f>
        <v>-205</v>
      </c>
      <c r="E48" s="26">
        <f t="shared" ref="E48:U48" si="685">E41+E45+E46+E47</f>
        <v>-269.67999999999995</v>
      </c>
      <c r="F48" s="26">
        <f t="shared" si="685"/>
        <v>-527.8599999999999</v>
      </c>
      <c r="G48" s="26">
        <f t="shared" si="685"/>
        <v>-541.05999999999995</v>
      </c>
      <c r="H48" s="26">
        <f t="shared" si="685"/>
        <v>-310.60999999999967</v>
      </c>
      <c r="I48" s="26">
        <f t="shared" si="685"/>
        <v>-125.73999999999994</v>
      </c>
      <c r="J48" s="26">
        <f t="shared" si="685"/>
        <v>-169.94000000000025</v>
      </c>
      <c r="K48" s="26">
        <f t="shared" si="685"/>
        <v>-318.00000000000023</v>
      </c>
      <c r="L48" s="26">
        <f t="shared" si="685"/>
        <v>80.230000000000231</v>
      </c>
      <c r="M48" s="26">
        <f t="shared" si="685"/>
        <v>-517.54999999999961</v>
      </c>
      <c r="N48" s="26">
        <f t="shared" si="685"/>
        <v>-658.76999999999964</v>
      </c>
      <c r="O48" s="26">
        <f t="shared" si="685"/>
        <v>-560.07999999999981</v>
      </c>
      <c r="P48" s="26">
        <f t="shared" si="685"/>
        <v>-615.25000000000011</v>
      </c>
      <c r="Q48" s="26">
        <f t="shared" si="685"/>
        <v>-358.33999999999941</v>
      </c>
      <c r="R48" s="26">
        <f t="shared" si="685"/>
        <v>-2356.4699999999998</v>
      </c>
      <c r="S48" s="26">
        <f t="shared" si="685"/>
        <v>-9841.99</v>
      </c>
      <c r="T48" s="26">
        <f t="shared" si="685"/>
        <v>-667.59999999999991</v>
      </c>
      <c r="U48" s="26">
        <f t="shared" si="685"/>
        <v>-3714.11</v>
      </c>
      <c r="V48" s="26">
        <f>V41+V45+V46+V47</f>
        <v>-1996.69</v>
      </c>
      <c r="W48" s="26">
        <f>W41+W45+W46+W47</f>
        <v>-1215</v>
      </c>
      <c r="X48" s="26">
        <f>X41+X45+X46+X47</f>
        <v>-1144.7199999999998</v>
      </c>
      <c r="Y48" s="26">
        <f>Y41+Y45+Y46+Y47</f>
        <v>-1228.4399999999998</v>
      </c>
      <c r="Z48" s="26">
        <f>Z41+Z45+Z46+Z47</f>
        <v>-1275.3200000000002</v>
      </c>
      <c r="AA48" s="26">
        <f>AA41+AA45+AA46+AA47</f>
        <v>-215.30000000000007</v>
      </c>
      <c r="AB48" s="27">
        <f t="shared" ref="AA48:AD48" si="686">AB41+AB45+AB46+AB47</f>
        <v>-417.25507898083288</v>
      </c>
      <c r="AC48" s="27">
        <f t="shared" si="686"/>
        <v>-461.41080053891415</v>
      </c>
      <c r="AD48" s="27">
        <f t="shared" si="686"/>
        <v>-508.16012147649224</v>
      </c>
      <c r="AE48" s="27">
        <f t="shared" ref="AE48" si="687">AE41+AE45+AE46+AE47</f>
        <v>-556.24450856519115</v>
      </c>
      <c r="AI48" s="26">
        <f t="shared" ref="AI48" si="688">AI41+AI45+AI46+AI47</f>
        <v>-162.66000000000008</v>
      </c>
      <c r="AJ48" s="26">
        <f t="shared" ref="AJ48" si="689">AJ41+AJ45+AJ46+AJ47</f>
        <v>-183.71000000000006</v>
      </c>
      <c r="AK48" s="26">
        <f t="shared" ref="AK48:AM48" si="690">AK41+AK45+AK46+AK47</f>
        <v>-197.15999999999983</v>
      </c>
      <c r="AL48" s="26">
        <f t="shared" si="690"/>
        <v>-115.23000000000006</v>
      </c>
      <c r="AM48" s="26">
        <f t="shared" si="690"/>
        <v>-126.89000000000009</v>
      </c>
      <c r="AN48" s="26">
        <f t="shared" ref="AN48:AO48" si="691">AN41+AN45+AN46+AN47</f>
        <v>-165.23000000000013</v>
      </c>
      <c r="AO48" s="26">
        <f t="shared" si="691"/>
        <v>-156.3600000000001</v>
      </c>
      <c r="AP48" s="26">
        <f t="shared" ref="AP48:CD48" si="692">AP41+AP45+AP46+AP47</f>
        <v>-111.61000000000001</v>
      </c>
      <c r="AQ48" s="26">
        <f t="shared" si="692"/>
        <v>-122.91000000000004</v>
      </c>
      <c r="AR48" s="26">
        <f t="shared" si="692"/>
        <v>-159.38000000000017</v>
      </c>
      <c r="AS48" s="26">
        <f t="shared" si="692"/>
        <v>-169.07</v>
      </c>
      <c r="AT48" s="26">
        <f t="shared" si="692"/>
        <v>-163.88</v>
      </c>
      <c r="AU48" s="26">
        <f t="shared" si="692"/>
        <v>-83.53</v>
      </c>
      <c r="AV48" s="26">
        <f t="shared" si="692"/>
        <v>-175.7</v>
      </c>
      <c r="AW48" s="26">
        <f t="shared" si="692"/>
        <v>-77.139999999999986</v>
      </c>
      <c r="AX48" s="26">
        <f t="shared" si="692"/>
        <v>-21.979999999999961</v>
      </c>
      <c r="AY48" s="26">
        <f t="shared" si="692"/>
        <v>-108.07000000000005</v>
      </c>
      <c r="AZ48" s="26">
        <f t="shared" si="692"/>
        <v>-468.13000000000005</v>
      </c>
      <c r="BA48" s="26">
        <f t="shared" si="692"/>
        <v>-414.74</v>
      </c>
      <c r="BB48" s="26">
        <f t="shared" si="692"/>
        <v>-1365.5700000000002</v>
      </c>
      <c r="BC48" s="26">
        <f t="shared" si="692"/>
        <v>-481.42999999999995</v>
      </c>
      <c r="BD48" s="26">
        <f t="shared" si="692"/>
        <v>-8198.31</v>
      </c>
      <c r="BE48" s="26">
        <f t="shared" si="692"/>
        <v>-480.75</v>
      </c>
      <c r="BF48" s="26">
        <f t="shared" si="692"/>
        <v>-681.5</v>
      </c>
      <c r="BG48" s="26">
        <f t="shared" si="692"/>
        <v>-455.43</v>
      </c>
      <c r="BH48" s="26">
        <f t="shared" si="692"/>
        <v>-382.3</v>
      </c>
      <c r="BI48" s="26">
        <f t="shared" si="692"/>
        <v>-409.42</v>
      </c>
      <c r="BJ48" s="26">
        <f t="shared" si="692"/>
        <v>579.54999999999995</v>
      </c>
      <c r="BK48" s="26">
        <f t="shared" si="692"/>
        <v>-228.85000000000005</v>
      </c>
      <c r="BL48" s="26">
        <f t="shared" si="692"/>
        <v>-2334.4499999999998</v>
      </c>
      <c r="BM48" s="26">
        <f t="shared" si="692"/>
        <v>-276.84999999999997</v>
      </c>
      <c r="BN48" s="26">
        <f t="shared" si="692"/>
        <v>-873.96</v>
      </c>
      <c r="BO48" s="26">
        <f t="shared" si="692"/>
        <v>-1069.26</v>
      </c>
      <c r="BP48" s="26">
        <f t="shared" si="692"/>
        <v>-341.19</v>
      </c>
      <c r="BQ48" s="26">
        <f t="shared" si="692"/>
        <v>-297.95</v>
      </c>
      <c r="BR48" s="26">
        <f t="shared" si="692"/>
        <v>-288.28999999999996</v>
      </c>
      <c r="BS48" s="26">
        <f t="shared" si="692"/>
        <v>-318.45000000000005</v>
      </c>
      <c r="BT48" s="26">
        <f t="shared" si="692"/>
        <v>-313.63000000000005</v>
      </c>
      <c r="BU48" s="26">
        <f t="shared" si="692"/>
        <v>-302.29999999999995</v>
      </c>
      <c r="BV48" s="26">
        <f t="shared" si="692"/>
        <v>-280.62</v>
      </c>
      <c r="BW48" s="26">
        <f t="shared" si="692"/>
        <v>-295.09999999999997</v>
      </c>
      <c r="BX48" s="26">
        <f t="shared" si="692"/>
        <v>-292.75999999999993</v>
      </c>
      <c r="BY48" s="26">
        <f t="shared" si="692"/>
        <v>-279.79000000000002</v>
      </c>
      <c r="BZ48" s="26">
        <f t="shared" si="692"/>
        <v>-277.07</v>
      </c>
      <c r="CA48" s="26">
        <f t="shared" si="692"/>
        <v>-301.18</v>
      </c>
      <c r="CB48" s="26">
        <f t="shared" si="692"/>
        <v>-310.23</v>
      </c>
      <c r="CC48" s="26">
        <f t="shared" si="692"/>
        <v>-307.69000000000005</v>
      </c>
      <c r="CD48" s="26">
        <f t="shared" si="692"/>
        <v>-309.33999999999997</v>
      </c>
      <c r="CE48" s="26">
        <f t="shared" ref="CE48:CF48" si="693">CE41+CE45+CE46+CE47</f>
        <v>-323.39999999999998</v>
      </c>
      <c r="CF48" s="26">
        <f t="shared" si="693"/>
        <v>-330.39</v>
      </c>
      <c r="CG48" s="26">
        <f t="shared" ref="CG48:CH48" si="694">CG41+CG45+CG46+CG47</f>
        <v>-315.11</v>
      </c>
      <c r="CH48" s="26">
        <f t="shared" si="694"/>
        <v>-306.42</v>
      </c>
      <c r="CI48" s="26">
        <f t="shared" ref="CI48:CJ48" si="695">CI41+CI45+CI46+CI47</f>
        <v>-324.98</v>
      </c>
      <c r="CJ48" s="26">
        <f t="shared" si="695"/>
        <v>-320.82000000000005</v>
      </c>
      <c r="CK48" s="26">
        <f t="shared" ref="CK48:CL48" si="696">CK41+CK45+CK46+CK47</f>
        <v>-150.43</v>
      </c>
      <c r="CL48" s="26">
        <f t="shared" si="696"/>
        <v>580.92999999999995</v>
      </c>
      <c r="CM48" s="27">
        <f t="shared" ref="CM48:DB48" si="697">CM41+CM45+CM46+CM47</f>
        <v>-112.10702453637383</v>
      </c>
      <c r="CN48" s="27">
        <f t="shared" si="697"/>
        <v>-108.70868528656392</v>
      </c>
      <c r="CO48" s="27">
        <f t="shared" si="697"/>
        <v>-98.03982462495037</v>
      </c>
      <c r="CP48" s="27">
        <f t="shared" si="697"/>
        <v>-98.39954453294466</v>
      </c>
      <c r="CQ48" s="27">
        <f t="shared" si="697"/>
        <v>-120.69706715282969</v>
      </c>
      <c r="CR48" s="27">
        <f t="shared" si="697"/>
        <v>-118.42635630597624</v>
      </c>
      <c r="CS48" s="27">
        <f t="shared" si="697"/>
        <v>-111.73532756369876</v>
      </c>
      <c r="CT48" s="27">
        <f t="shared" si="697"/>
        <v>-110.55204951640948</v>
      </c>
      <c r="CU48" s="27">
        <f t="shared" si="697"/>
        <v>-131.09612934617886</v>
      </c>
      <c r="CV48" s="27">
        <f t="shared" si="697"/>
        <v>-129.66028538679177</v>
      </c>
      <c r="CW48" s="27">
        <f t="shared" si="697"/>
        <v>-124.20851463072617</v>
      </c>
      <c r="CX48" s="27">
        <f t="shared" si="697"/>
        <v>-123.19519211279524</v>
      </c>
      <c r="CY48" s="27">
        <f t="shared" si="697"/>
        <v>-142.1617790711116</v>
      </c>
      <c r="CZ48" s="27">
        <f t="shared" si="697"/>
        <v>-141.27123711193303</v>
      </c>
      <c r="DA48" s="27">
        <f t="shared" si="697"/>
        <v>-136.70875648061121</v>
      </c>
      <c r="DB48" s="27">
        <f t="shared" si="697"/>
        <v>-136.10273590153531</v>
      </c>
      <c r="DE48" s="121"/>
      <c r="DF48" s="26">
        <v>-215.30000000000007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-208.792</v>
      </c>
      <c r="C51" s="22">
        <f>'Annual Raw'!D35</f>
        <v>-148.49</v>
      </c>
      <c r="D51" s="22">
        <f>'Annual Raw'!E35</f>
        <v>-205</v>
      </c>
      <c r="E51" s="22">
        <f>'Annual Raw'!F35</f>
        <v>-269.68</v>
      </c>
      <c r="F51" s="22">
        <f>'Annual Raw'!G35</f>
        <v>-527.86</v>
      </c>
      <c r="G51" s="22">
        <f>'Annual Raw'!H35</f>
        <v>-541.05999999999995</v>
      </c>
      <c r="H51" s="22">
        <f>'Annual Raw'!I35</f>
        <v>-310.61</v>
      </c>
      <c r="I51" s="22">
        <f>'Annual Raw'!J35</f>
        <v>-125.74</v>
      </c>
      <c r="J51" s="22">
        <f>'Annual Raw'!K35</f>
        <v>-169.94</v>
      </c>
      <c r="K51" s="22">
        <f>'Annual Raw'!L35</f>
        <v>-318</v>
      </c>
      <c r="L51" s="22">
        <f>'Annual Raw'!M35</f>
        <v>80.23</v>
      </c>
      <c r="M51" s="22">
        <f>'Annual Raw'!N35</f>
        <v>-517.54999999999995</v>
      </c>
      <c r="N51" s="22">
        <f>'Annual Raw'!O35</f>
        <v>-658.77</v>
      </c>
      <c r="O51" s="22">
        <f>'Annual Raw'!P35</f>
        <v>-560.08000000000004</v>
      </c>
      <c r="P51" s="22">
        <f>'Annual Raw'!Q35</f>
        <v>-615.25</v>
      </c>
      <c r="Q51" s="22">
        <f>'Annual Raw'!R35</f>
        <v>-358.34</v>
      </c>
      <c r="R51" s="22">
        <f>'Annual Raw'!S35</f>
        <v>-2356.4699999999998</v>
      </c>
      <c r="S51" s="22">
        <f>'Annual Raw'!T35</f>
        <v>-9841.99</v>
      </c>
      <c r="T51" s="22">
        <f>'Annual Raw'!U35</f>
        <v>-667.6</v>
      </c>
      <c r="U51" s="22">
        <f>'Annual Raw'!V35</f>
        <v>-3714.11</v>
      </c>
      <c r="V51" s="22">
        <f>'Annual Raw'!W35</f>
        <v>-1996.69</v>
      </c>
      <c r="W51" s="22">
        <f>'Annual Raw'!X35</f>
        <v>-1215</v>
      </c>
      <c r="X51" s="22">
        <f>'Annual Raw'!Y35</f>
        <v>-1144.72</v>
      </c>
      <c r="Y51" s="22">
        <f>'Annual Raw'!Z35</f>
        <v>-1228.44</v>
      </c>
      <c r="Z51" s="22">
        <f>'Annual Raw'!AA35</f>
        <v>-1275.32</v>
      </c>
      <c r="AA51" s="22">
        <f>'Annual Raw'!AB35</f>
        <v>-215.3</v>
      </c>
      <c r="AB51" s="21">
        <f t="shared" ref="AA51:AD51" si="698">+AB48</f>
        <v>-417.25507898083288</v>
      </c>
      <c r="AC51" s="21">
        <f t="shared" si="698"/>
        <v>-461.41080053891415</v>
      </c>
      <c r="AD51" s="21">
        <f t="shared" si="698"/>
        <v>-508.16012147649224</v>
      </c>
      <c r="AE51" s="21">
        <f t="shared" ref="AE51" si="699">+AE48</f>
        <v>-556.24450856519115</v>
      </c>
      <c r="AI51" s="22">
        <f>'QTR Raw'!C42</f>
        <v>-162.66</v>
      </c>
      <c r="AJ51" s="22">
        <f>'QTR Raw'!D42</f>
        <v>-183.71</v>
      </c>
      <c r="AK51" s="22">
        <f>'QTR Raw'!E42</f>
        <v>-197.16</v>
      </c>
      <c r="AL51" s="22">
        <f>'QTR Raw'!F42</f>
        <v>-115.23</v>
      </c>
      <c r="AM51" s="22">
        <f>'QTR Raw'!G42</f>
        <v>-126.89</v>
      </c>
      <c r="AN51" s="22">
        <f>'QTR Raw'!H42</f>
        <v>-165.23</v>
      </c>
      <c r="AO51" s="22">
        <f>'QTR Raw'!I42</f>
        <v>-156.36000000000001</v>
      </c>
      <c r="AP51" s="22">
        <f>'QTR Raw'!J42</f>
        <v>-111.61</v>
      </c>
      <c r="AQ51" s="22">
        <f>'QTR Raw'!K42</f>
        <v>-122.91</v>
      </c>
      <c r="AR51" s="22">
        <f>'QTR Raw'!L42</f>
        <v>-159.38</v>
      </c>
      <c r="AS51" s="22">
        <f>'QTR Raw'!M42</f>
        <v>-169.08</v>
      </c>
      <c r="AT51" s="22">
        <f>'QTR Raw'!N42</f>
        <v>-163.88</v>
      </c>
      <c r="AU51" s="22">
        <f>'QTR Raw'!O42</f>
        <v>-83.53</v>
      </c>
      <c r="AV51" s="22">
        <f>'QTR Raw'!P42</f>
        <v>-175.7</v>
      </c>
      <c r="AW51" s="22">
        <f>'QTR Raw'!Q42</f>
        <v>-77.14</v>
      </c>
      <c r="AX51" s="22">
        <f>'QTR Raw'!R42</f>
        <v>-21.98</v>
      </c>
      <c r="AY51" s="22">
        <f>'QTR Raw'!S42</f>
        <v>-108.07</v>
      </c>
      <c r="AZ51" s="22">
        <f>'QTR Raw'!T42</f>
        <v>-468.13</v>
      </c>
      <c r="BA51" s="22">
        <f>'QTR Raw'!U42</f>
        <v>-414.74</v>
      </c>
      <c r="BB51" s="22">
        <f>'QTR Raw'!V42</f>
        <v>-1365.57</v>
      </c>
      <c r="BC51" s="22">
        <f>'QTR Raw'!W42</f>
        <v>-481.43</v>
      </c>
      <c r="BD51" s="22">
        <f>'QTR Raw'!X42</f>
        <v>-8198.31</v>
      </c>
      <c r="BE51" s="22">
        <f>'QTR Raw'!Y42</f>
        <v>-480.75</v>
      </c>
      <c r="BF51" s="22">
        <f>'QTR Raw'!Z42</f>
        <v>-681.5</v>
      </c>
      <c r="BG51" s="22">
        <f>'QTR Raw'!AA42</f>
        <v>-455.43</v>
      </c>
      <c r="BH51" s="22">
        <f>'QTR Raw'!AB42</f>
        <v>-382.3</v>
      </c>
      <c r="BI51" s="22">
        <f>'QTR Raw'!AC42</f>
        <v>-409.42</v>
      </c>
      <c r="BJ51" s="22">
        <f>'QTR Raw'!AD42</f>
        <v>579.54999999999995</v>
      </c>
      <c r="BK51" s="22">
        <f>'QTR Raw'!AE42</f>
        <v>-228.85</v>
      </c>
      <c r="BL51" s="22">
        <f>'QTR Raw'!AF42</f>
        <v>-2334.4499999999998</v>
      </c>
      <c r="BM51" s="22">
        <f>'QTR Raw'!AG42</f>
        <v>-276.85000000000002</v>
      </c>
      <c r="BN51" s="22">
        <f>'QTR Raw'!AH42</f>
        <v>-873.96</v>
      </c>
      <c r="BO51" s="22">
        <f>'QTR Raw'!AI42</f>
        <v>-1069.26</v>
      </c>
      <c r="BP51" s="22">
        <f>'QTR Raw'!AJ42</f>
        <v>-341.19</v>
      </c>
      <c r="BQ51" s="22">
        <f>'QTR Raw'!AK42</f>
        <v>-297.95</v>
      </c>
      <c r="BR51" s="22">
        <f>'QTR Raw'!AL42</f>
        <v>-288.29000000000002</v>
      </c>
      <c r="BS51" s="22">
        <f>'QTR Raw'!AM42</f>
        <v>-318.45</v>
      </c>
      <c r="BT51" s="22">
        <f>'QTR Raw'!AN42</f>
        <v>-313.63</v>
      </c>
      <c r="BU51" s="22">
        <f>'QTR Raw'!AO42</f>
        <v>-302.3</v>
      </c>
      <c r="BV51" s="22">
        <f>'QTR Raw'!AP42</f>
        <v>-280.62</v>
      </c>
      <c r="BW51" s="22">
        <f>'QTR Raw'!AQ42</f>
        <v>-295.10000000000002</v>
      </c>
      <c r="BX51" s="22">
        <f>'QTR Raw'!AR42</f>
        <v>-292.76</v>
      </c>
      <c r="BY51" s="22">
        <f>'QTR Raw'!AS42</f>
        <v>-279.79000000000002</v>
      </c>
      <c r="BZ51" s="22">
        <f>'QTR Raw'!AT42</f>
        <v>-277.07</v>
      </c>
      <c r="CA51" s="22">
        <f>'QTR Raw'!AU42</f>
        <v>-301.18</v>
      </c>
      <c r="CB51" s="22">
        <f>'QTR Raw'!AV42</f>
        <v>-310.23</v>
      </c>
      <c r="CC51" s="22">
        <f>'QTR Raw'!AW42</f>
        <v>-307.69</v>
      </c>
      <c r="CD51" s="22">
        <f>'QTR Raw'!AX42</f>
        <v>-309.33999999999997</v>
      </c>
      <c r="CE51" s="22">
        <f>'QTR Raw'!AY42</f>
        <v>-323.39999999999998</v>
      </c>
      <c r="CF51" s="22">
        <f>'QTR Raw'!AZ42</f>
        <v>-330.39</v>
      </c>
      <c r="CG51" s="22">
        <f>'QTR Raw'!BA42</f>
        <v>-315.11</v>
      </c>
      <c r="CH51" s="22">
        <f>'QTR Raw'!BB42</f>
        <v>-306.42</v>
      </c>
      <c r="CI51" s="22">
        <f>'QTR Raw'!BC42</f>
        <v>-324.98</v>
      </c>
      <c r="CJ51" s="22">
        <f>'QTR Raw'!BD42</f>
        <v>-320.82</v>
      </c>
      <c r="CK51" s="22">
        <f>'QTR Raw'!BE42</f>
        <v>-150.43</v>
      </c>
      <c r="CL51" s="22">
        <f>'QTR Raw'!BF42</f>
        <v>580.92999999999995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-215.30000000000007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2.5579538487363607E-13</v>
      </c>
      <c r="K52" s="25">
        <f t="shared" si="700"/>
        <v>0</v>
      </c>
      <c r="L52" s="25">
        <f t="shared" si="700"/>
        <v>-2.2737367544323206E-13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-5.6843418860808015E-13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-1.0000000000019327E-2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-3.907985046680551E-14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-0.21333102283986144</v>
      </c>
      <c r="C54" s="39">
        <f t="shared" si="715"/>
        <v>-0.17885405249147829</v>
      </c>
      <c r="D54" s="39">
        <f t="shared" si="715"/>
        <v>-0.32787934040273187</v>
      </c>
      <c r="E54" s="39">
        <f t="shared" si="715"/>
        <v>-0.7549832026875698</v>
      </c>
      <c r="F54" s="39">
        <f t="shared" si="715"/>
        <v>12.079176201372983</v>
      </c>
      <c r="G54" s="39">
        <f t="shared" si="715"/>
        <v>0.99236349751813635</v>
      </c>
      <c r="H54" s="39">
        <f t="shared" si="715"/>
        <v>0.98406027209613545</v>
      </c>
      <c r="I54" s="39">
        <f t="shared" si="715"/>
        <v>0.62685079016900069</v>
      </c>
      <c r="J54" s="39">
        <f t="shared" si="715"/>
        <v>0.44878126072833924</v>
      </c>
      <c r="K54" s="39">
        <f t="shared" si="715"/>
        <v>0.45646369821720811</v>
      </c>
      <c r="L54" s="39">
        <f t="shared" si="715"/>
        <v>-0.13015265318041014</v>
      </c>
      <c r="M54" s="39">
        <f t="shared" si="715"/>
        <v>0.45640134746644534</v>
      </c>
      <c r="N54" s="39">
        <f t="shared" si="715"/>
        <v>0.36746339422674645</v>
      </c>
      <c r="O54" s="39">
        <f t="shared" si="715"/>
        <v>0.23804524763795082</v>
      </c>
      <c r="P54" s="39">
        <f t="shared" si="715"/>
        <v>0.20728888709199217</v>
      </c>
      <c r="Q54" s="39">
        <f t="shared" si="715"/>
        <v>8.9895363743323686E-2</v>
      </c>
      <c r="R54" s="39">
        <f t="shared" si="715"/>
        <v>0.23653542827356971</v>
      </c>
      <c r="S54" s="39">
        <f t="shared" si="715"/>
        <v>0.12535795212792269</v>
      </c>
      <c r="T54" s="39">
        <f t="shared" si="715"/>
        <v>6.7390111762415633E-2</v>
      </c>
      <c r="U54" s="39">
        <f t="shared" si="715"/>
        <v>7.344918176846027E-2</v>
      </c>
      <c r="V54" s="39">
        <f t="shared" si="715"/>
        <v>6.5809739720337809E-2</v>
      </c>
      <c r="W54" s="39">
        <f t="shared" si="715"/>
        <v>6.4516197548065896E-2</v>
      </c>
      <c r="X54" s="39">
        <f t="shared" si="715"/>
        <v>5.9799428272437047E-2</v>
      </c>
      <c r="Y54" s="39">
        <f t="shared" si="715"/>
        <v>6.380528698199496E-2</v>
      </c>
      <c r="Z54" s="39">
        <f t="shared" si="715"/>
        <v>6.5166126817742615E-2</v>
      </c>
      <c r="AA54" s="39">
        <f t="shared" ref="AA54" si="716">(AA48-AA47)/AA120</f>
        <v>4.3548688960526202E-2</v>
      </c>
      <c r="AB54" s="40">
        <f t="shared" si="715"/>
        <v>2.0453043611899063E-2</v>
      </c>
      <c r="AC54" s="40">
        <f t="shared" si="715"/>
        <v>2.2117236401626397E-2</v>
      </c>
      <c r="AD54" s="40">
        <f t="shared" si="715"/>
        <v>2.3778906083207749E-2</v>
      </c>
      <c r="AE54" s="40">
        <f t="shared" si="715"/>
        <v>2.5368652729388666E-2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0.36745781620415569</v>
      </c>
      <c r="AM54" s="39">
        <f t="shared" si="717"/>
        <v>0.32453480860994777</v>
      </c>
      <c r="AN54" s="39">
        <f t="shared" si="717"/>
        <v>0.28995093219241497</v>
      </c>
      <c r="AO54" s="39">
        <f t="shared" si="717"/>
        <v>0.25151813959299157</v>
      </c>
      <c r="AP54" s="39">
        <f t="shared" si="717"/>
        <v>0.23804949783877305</v>
      </c>
      <c r="AQ54" s="39">
        <f t="shared" si="717"/>
        <v>0.22462374885892719</v>
      </c>
      <c r="AR54" s="39">
        <f t="shared" si="717"/>
        <v>0.20881781474847458</v>
      </c>
      <c r="AS54" s="39">
        <f t="shared" si="717"/>
        <v>0.20076029085047745</v>
      </c>
      <c r="AT54" s="39">
        <f t="shared" si="717"/>
        <v>0.20728551791056854</v>
      </c>
      <c r="AU54" s="39">
        <f t="shared" si="717"/>
        <v>0.18870694485861567</v>
      </c>
      <c r="AV54" s="39">
        <f t="shared" si="717"/>
        <v>0.18350449015512577</v>
      </c>
      <c r="AW54" s="39">
        <f t="shared" si="717"/>
        <v>0.1513982204467042</v>
      </c>
      <c r="AX54" s="39">
        <f t="shared" si="717"/>
        <v>8.9897872404476456E-2</v>
      </c>
      <c r="AY54" s="39">
        <f t="shared" si="717"/>
        <v>9.3518731101591021E-2</v>
      </c>
      <c r="AZ54" s="39">
        <f t="shared" si="717"/>
        <v>0.16747097305366948</v>
      </c>
      <c r="BA54" s="39">
        <f t="shared" si="717"/>
        <v>0.22776578521316787</v>
      </c>
      <c r="BB54" s="39">
        <f t="shared" si="717"/>
        <v>0.23654219779178315</v>
      </c>
      <c r="BC54" s="39">
        <f t="shared" si="717"/>
        <v>0.27714791393790872</v>
      </c>
      <c r="BD54" s="39">
        <f t="shared" si="717"/>
        <v>0.12347966608276835</v>
      </c>
      <c r="BE54" s="39">
        <f t="shared" si="717"/>
        <v>0.1175447322731115</v>
      </c>
      <c r="BF54" s="39">
        <f t="shared" si="717"/>
        <v>0.12535795212792269</v>
      </c>
      <c r="BG54" s="39">
        <f t="shared" si="717"/>
        <v>0.11418943064751017</v>
      </c>
      <c r="BH54" s="39">
        <f t="shared" si="717"/>
        <v>0.10762558661989113</v>
      </c>
      <c r="BI54" s="39">
        <f t="shared" si="717"/>
        <v>0.10221847688724618</v>
      </c>
      <c r="BJ54" s="39">
        <f t="shared" si="717"/>
        <v>6.7390111762415647E-2</v>
      </c>
      <c r="BK54" s="39">
        <f t="shared" si="717"/>
        <v>6.9483835127067642E-2</v>
      </c>
      <c r="BL54" s="39">
        <f t="shared" si="717"/>
        <v>6.0990381800745411E-2</v>
      </c>
      <c r="BM54" s="39">
        <f t="shared" si="717"/>
        <v>5.5584292958519986E-2</v>
      </c>
      <c r="BN54" s="39">
        <f t="shared" si="717"/>
        <v>7.344918176846027E-2</v>
      </c>
      <c r="BO54" s="39">
        <f t="shared" si="717"/>
        <v>6.3361731080059644E-2</v>
      </c>
      <c r="BP54" s="39">
        <f t="shared" si="717"/>
        <v>6.6432785786307999E-2</v>
      </c>
      <c r="BQ54" s="39">
        <f t="shared" si="717"/>
        <v>6.6825276334626954E-2</v>
      </c>
      <c r="BR54" s="39">
        <f t="shared" ref="BR54:CW54" si="718">(SUM(BO48:BR48)-SUM(BO47:BR47))/BR120</f>
        <v>6.5809739720337809E-2</v>
      </c>
      <c r="BS54" s="39">
        <f t="shared" si="718"/>
        <v>6.5544067757862728E-2</v>
      </c>
      <c r="BT54" s="39">
        <f t="shared" si="718"/>
        <v>6.5219160189289319E-2</v>
      </c>
      <c r="BU54" s="39">
        <f t="shared" si="718"/>
        <v>6.4409699357836345E-2</v>
      </c>
      <c r="BV54" s="39">
        <f t="shared" si="718"/>
        <v>6.4516197548065896E-2</v>
      </c>
      <c r="BW54" s="39">
        <f t="shared" si="718"/>
        <v>6.2300092327414146E-2</v>
      </c>
      <c r="BX54" s="39">
        <f t="shared" si="718"/>
        <v>6.2796671993517253E-2</v>
      </c>
      <c r="BY54" s="39">
        <f t="shared" si="718"/>
        <v>6.0669272844529012E-2</v>
      </c>
      <c r="BZ54" s="39">
        <f t="shared" si="718"/>
        <v>5.9799428272437047E-2</v>
      </c>
      <c r="CA54" s="39">
        <f t="shared" si="718"/>
        <v>5.9183052442922532E-2</v>
      </c>
      <c r="CB54" s="39">
        <f t="shared" si="718"/>
        <v>6.1028159971749651E-2</v>
      </c>
      <c r="CC54" s="39">
        <f t="shared" si="718"/>
        <v>6.1497150248678467E-2</v>
      </c>
      <c r="CD54" s="39">
        <f t="shared" si="718"/>
        <v>6.3805286981994974E-2</v>
      </c>
      <c r="CE54" s="39">
        <f t="shared" si="718"/>
        <v>6.3886270934060727E-2</v>
      </c>
      <c r="CF54" s="39">
        <f t="shared" si="718"/>
        <v>6.6840620659149239E-2</v>
      </c>
      <c r="CG54" s="39">
        <f t="shared" si="718"/>
        <v>6.6134790302051966E-2</v>
      </c>
      <c r="CH54" s="39">
        <f t="shared" si="718"/>
        <v>6.5166126817742601E-2</v>
      </c>
      <c r="CI54" s="39">
        <f t="shared" si="718"/>
        <v>6.3990084075260106E-2</v>
      </c>
      <c r="CJ54" s="39">
        <f t="shared" si="718"/>
        <v>6.39941208854935E-2</v>
      </c>
      <c r="CK54" s="39">
        <f t="shared" si="718"/>
        <v>5.502917833213538E-2</v>
      </c>
      <c r="CL54" s="39">
        <f t="shared" si="718"/>
        <v>4.3548688960526195E-2</v>
      </c>
      <c r="CM54" s="40">
        <f t="shared" si="718"/>
        <v>3.2901766636911252E-2</v>
      </c>
      <c r="CN54" s="40">
        <f t="shared" si="718"/>
        <v>2.2226359132158358E-2</v>
      </c>
      <c r="CO54" s="40">
        <f t="shared" si="718"/>
        <v>1.9738000466399657E-2</v>
      </c>
      <c r="CP54" s="40">
        <f t="shared" si="718"/>
        <v>2.0453043611899056E-2</v>
      </c>
      <c r="CQ54" s="40">
        <f t="shared" si="718"/>
        <v>2.0751339073156627E-2</v>
      </c>
      <c r="CR54" s="40">
        <f t="shared" si="718"/>
        <v>2.1103095395482316E-2</v>
      </c>
      <c r="CS54" s="40">
        <f t="shared" si="718"/>
        <v>2.164944361286867E-2</v>
      </c>
      <c r="CT54" s="40">
        <f t="shared" si="718"/>
        <v>2.2117236401626397E-2</v>
      </c>
      <c r="CU54" s="40">
        <f t="shared" si="718"/>
        <v>2.2474475832774638E-2</v>
      </c>
      <c r="CV54" s="40">
        <f t="shared" si="718"/>
        <v>2.2868357383835844E-2</v>
      </c>
      <c r="CW54" s="40">
        <f t="shared" si="718"/>
        <v>2.3321726681332935E-2</v>
      </c>
      <c r="CX54" s="40">
        <f t="shared" ref="CX54:DB54" si="719">(SUM(CU48:CX48)-SUM(CU47:CX47))/CX120</f>
        <v>2.3778906083207738E-2</v>
      </c>
      <c r="CY54" s="40">
        <f t="shared" si="719"/>
        <v>2.4136151655166575E-2</v>
      </c>
      <c r="CZ54" s="40">
        <f t="shared" si="719"/>
        <v>2.4514896664963221E-2</v>
      </c>
      <c r="DA54" s="40">
        <f t="shared" si="719"/>
        <v>2.4934754159051789E-2</v>
      </c>
      <c r="DB54" s="40">
        <f t="shared" si="719"/>
        <v>2.5368652729388666E-2</v>
      </c>
      <c r="DE54" s="122"/>
      <c r="DF54" s="38">
        <v>4.3548688960526195E-2</v>
      </c>
    </row>
    <row r="55" spans="1:110" s="38" customFormat="1" x14ac:dyDescent="0.2">
      <c r="A55" s="38" t="s">
        <v>351</v>
      </c>
      <c r="B55" s="39">
        <f t="shared" ref="B55:AE55" si="720">+B34/B129</f>
        <v>-0.10242019708376755</v>
      </c>
      <c r="C55" s="39">
        <f t="shared" si="720"/>
        <v>-8.4788072129094491E-2</v>
      </c>
      <c r="D55" s="39">
        <f t="shared" si="720"/>
        <v>-0.11520616628002696</v>
      </c>
      <c r="E55" s="39">
        <f t="shared" si="720"/>
        <v>-0.11055968970288613</v>
      </c>
      <c r="F55" s="39">
        <f t="shared" si="720"/>
        <v>-0.22409386996095992</v>
      </c>
      <c r="G55" s="39">
        <f t="shared" si="720"/>
        <v>-0.21632471008028545</v>
      </c>
      <c r="H55" s="39">
        <f t="shared" si="720"/>
        <v>-9.4322054741576025E-2</v>
      </c>
      <c r="I55" s="39">
        <f t="shared" si="720"/>
        <v>-1.9758642860675579E-2</v>
      </c>
      <c r="J55" s="39">
        <f t="shared" si="720"/>
        <v>7.2092850736101624E-3</v>
      </c>
      <c r="K55" s="39">
        <f t="shared" si="720"/>
        <v>-5.6186600067832222E-2</v>
      </c>
      <c r="L55" s="39">
        <f t="shared" si="720"/>
        <v>-0.18408045250819458</v>
      </c>
      <c r="M55" s="39">
        <f t="shared" si="720"/>
        <v>-3.1524828120145679E-3</v>
      </c>
      <c r="N55" s="39">
        <f t="shared" si="720"/>
        <v>-3.2649276767894385E-2</v>
      </c>
      <c r="O55" s="39">
        <f t="shared" si="720"/>
        <v>-4.7632417592965853E-2</v>
      </c>
      <c r="P55" s="39">
        <f t="shared" si="720"/>
        <v>-4.0521375025326109E-3</v>
      </c>
      <c r="Q55" s="39">
        <f t="shared" si="720"/>
        <v>3.3411499565694919E-2</v>
      </c>
      <c r="R55" s="39">
        <f t="shared" si="720"/>
        <v>-2.1276967183541724E-2</v>
      </c>
      <c r="S55" s="39">
        <f t="shared" si="720"/>
        <v>-1.2937974502220406</v>
      </c>
      <c r="T55" s="39">
        <f t="shared" si="720"/>
        <v>1.249579802710132E-2</v>
      </c>
      <c r="U55" s="39">
        <f t="shared" si="720"/>
        <v>-0.29149256225973552</v>
      </c>
      <c r="V55" s="39">
        <f t="shared" si="720"/>
        <v>0.34119828633544347</v>
      </c>
      <c r="W55" s="39">
        <f t="shared" si="720"/>
        <v>0.35280481087036181</v>
      </c>
      <c r="X55" s="39">
        <f t="shared" si="720"/>
        <v>0.44813267239365767</v>
      </c>
      <c r="Y55" s="39">
        <f t="shared" si="720"/>
        <v>0.53741428713986539</v>
      </c>
      <c r="Z55" s="39">
        <f t="shared" si="720"/>
        <v>0.52191431199554383</v>
      </c>
      <c r="AA55" s="39">
        <f t="shared" ref="AA55" si="721">+AA34/AA129</f>
        <v>0.69973221905070182</v>
      </c>
      <c r="AB55" s="40">
        <f t="shared" si="720"/>
        <v>1.6697375219840787</v>
      </c>
      <c r="AC55" s="40">
        <f t="shared" si="720"/>
        <v>-2.0466393670234164</v>
      </c>
      <c r="AD55" s="40">
        <f t="shared" si="720"/>
        <v>-0.53251893064327005</v>
      </c>
      <c r="AE55" s="40">
        <f t="shared" si="720"/>
        <v>-0.27478720961837871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-3.8010995747289389E-2</v>
      </c>
      <c r="AM55" s="39">
        <f t="shared" si="722"/>
        <v>-3.1677314676472557E-2</v>
      </c>
      <c r="AN55" s="39">
        <f t="shared" si="722"/>
        <v>-2.699589764736833E-2</v>
      </c>
      <c r="AO55" s="39">
        <f t="shared" si="722"/>
        <v>-1.851756141141039E-2</v>
      </c>
      <c r="AP55" s="39">
        <f t="shared" si="722"/>
        <v>-2.1813770190226307E-2</v>
      </c>
      <c r="AQ55" s="39">
        <f t="shared" si="722"/>
        <v>-1.9437341550834941E-2</v>
      </c>
      <c r="AR55" s="39">
        <f t="shared" si="722"/>
        <v>-1.7172486103730178E-2</v>
      </c>
      <c r="AS55" s="39">
        <f t="shared" si="722"/>
        <v>-8.6501533779377911E-3</v>
      </c>
      <c r="AT55" s="39">
        <f t="shared" si="722"/>
        <v>-2.8213528820922153E-3</v>
      </c>
      <c r="AU55" s="39">
        <f t="shared" si="722"/>
        <v>7.8153354787195099E-3</v>
      </c>
      <c r="AV55" s="39">
        <f t="shared" si="722"/>
        <v>1.1274036527476066E-2</v>
      </c>
      <c r="AW55" s="39">
        <f t="shared" si="722"/>
        <v>1.8936235126614461E-2</v>
      </c>
      <c r="AX55" s="39">
        <f t="shared" si="722"/>
        <v>3.9246126711492274E-2</v>
      </c>
      <c r="AY55" s="39">
        <f t="shared" si="722"/>
        <v>4.0751233778102705E-2</v>
      </c>
      <c r="AZ55" s="39">
        <f t="shared" si="722"/>
        <v>2.2414230354838124E-2</v>
      </c>
      <c r="BA55" s="39">
        <f t="shared" si="722"/>
        <v>1.8975167807311834E-3</v>
      </c>
      <c r="BB55" s="39">
        <f t="shared" si="722"/>
        <v>-1.6590241242352879E-2</v>
      </c>
      <c r="BC55" s="39">
        <f t="shared" si="722"/>
        <v>-3.6015113943323893E-2</v>
      </c>
      <c r="BD55" s="39">
        <f t="shared" si="722"/>
        <v>1.4078359437467742</v>
      </c>
      <c r="BE55" s="39">
        <f t="shared" si="722"/>
        <v>0.35242875274027968</v>
      </c>
      <c r="BF55" s="39">
        <f t="shared" si="722"/>
        <v>0.19993468977643786</v>
      </c>
      <c r="BG55" s="39">
        <f t="shared" si="722"/>
        <v>0.12333141177384459</v>
      </c>
      <c r="BH55" s="39">
        <f t="shared" si="722"/>
        <v>9.5080752108663763E-2</v>
      </c>
      <c r="BI55" s="39">
        <f t="shared" si="722"/>
        <v>5.9815250340695965E-2</v>
      </c>
      <c r="BJ55" s="39">
        <f t="shared" si="722"/>
        <v>-0.21860667767382153</v>
      </c>
      <c r="BK55" s="39">
        <f t="shared" si="722"/>
        <v>-0.20011206807097673</v>
      </c>
      <c r="BL55" s="39">
        <f t="shared" si="722"/>
        <v>-0.12872880882818172</v>
      </c>
      <c r="BM55" s="39">
        <f t="shared" si="722"/>
        <v>-0.13154173796551877</v>
      </c>
      <c r="BN55" s="39">
        <f t="shared" si="722"/>
        <v>-3.2363785918904181E-2</v>
      </c>
      <c r="BO55" s="39">
        <f t="shared" si="722"/>
        <v>-3.7026254236952182E-2</v>
      </c>
      <c r="BP55" s="39">
        <f t="shared" si="722"/>
        <v>-9.4125463706328585E-2</v>
      </c>
      <c r="BQ55" s="39">
        <f t="shared" si="722"/>
        <v>-8.8429470291045476E-2</v>
      </c>
      <c r="BR55" s="39">
        <f t="shared" ref="BR55:CW55" si="723">+SUM(BO34:BR34)/BR129</f>
        <v>0.34119828633544347</v>
      </c>
      <c r="BS55" s="39">
        <f t="shared" si="723"/>
        <v>0.51976963654842046</v>
      </c>
      <c r="BT55" s="39">
        <f t="shared" si="723"/>
        <v>0.35178732881998853</v>
      </c>
      <c r="BU55" s="39">
        <f t="shared" si="723"/>
        <v>0.51222214871659211</v>
      </c>
      <c r="BV55" s="39">
        <f t="shared" si="723"/>
        <v>0.35280481087036319</v>
      </c>
      <c r="BW55" s="39">
        <f t="shared" si="723"/>
        <v>0.53333564710373593</v>
      </c>
      <c r="BX55" s="39">
        <f t="shared" si="723"/>
        <v>0.38060508482722216</v>
      </c>
      <c r="BY55" s="39">
        <f t="shared" si="723"/>
        <v>0.59340440550960416</v>
      </c>
      <c r="BZ55" s="39">
        <f t="shared" si="723"/>
        <v>0.44813267239365556</v>
      </c>
      <c r="CA55" s="39">
        <f t="shared" si="723"/>
        <v>0.75935156782549051</v>
      </c>
      <c r="CB55" s="39">
        <f t="shared" si="723"/>
        <v>0.48888203422563203</v>
      </c>
      <c r="CC55" s="39">
        <f t="shared" si="723"/>
        <v>0.85459527343303887</v>
      </c>
      <c r="CD55" s="39">
        <f t="shared" si="723"/>
        <v>0.53741428713986539</v>
      </c>
      <c r="CE55" s="39">
        <f t="shared" si="723"/>
        <v>1.0121670590102465</v>
      </c>
      <c r="CF55" s="39">
        <f t="shared" si="723"/>
        <v>0.54369284975252263</v>
      </c>
      <c r="CG55" s="39">
        <f t="shared" si="723"/>
        <v>0.9909524880657804</v>
      </c>
      <c r="CH55" s="39">
        <f t="shared" si="723"/>
        <v>0.52191431199554394</v>
      </c>
      <c r="CI55" s="39">
        <f t="shared" si="723"/>
        <v>0.93226521067824408</v>
      </c>
      <c r="CJ55" s="39">
        <f t="shared" si="723"/>
        <v>0.60159516030076987</v>
      </c>
      <c r="CK55" s="39">
        <f t="shared" si="723"/>
        <v>0.82501271709905</v>
      </c>
      <c r="CL55" s="39">
        <f t="shared" si="723"/>
        <v>0.69973221905070193</v>
      </c>
      <c r="CM55" s="40">
        <f t="shared" si="723"/>
        <v>0.82514663074590544</v>
      </c>
      <c r="CN55" s="40">
        <f t="shared" si="723"/>
        <v>1.0302297226936354</v>
      </c>
      <c r="CO55" s="40">
        <f t="shared" si="723"/>
        <v>1.2495858912389213</v>
      </c>
      <c r="CP55" s="40">
        <f t="shared" si="723"/>
        <v>1.6697375219840789</v>
      </c>
      <c r="CQ55" s="40">
        <f t="shared" si="723"/>
        <v>3.0530579520854344</v>
      </c>
      <c r="CR55" s="40">
        <f t="shared" si="723"/>
        <v>18.304587774236328</v>
      </c>
      <c r="CS55" s="40">
        <f t="shared" si="723"/>
        <v>-4.7013756671007254</v>
      </c>
      <c r="CT55" s="40">
        <f t="shared" si="723"/>
        <v>-2.0466393670234164</v>
      </c>
      <c r="CU55" s="40">
        <f t="shared" si="723"/>
        <v>-1.2137627228430963</v>
      </c>
      <c r="CV55" s="40">
        <f t="shared" si="723"/>
        <v>-0.8555514578223451</v>
      </c>
      <c r="CW55" s="40">
        <f t="shared" si="723"/>
        <v>-0.65921228773945573</v>
      </c>
      <c r="CX55" s="40">
        <f t="shared" ref="CX55:DB55" si="724">+SUM(CU34:CX34)/CX129</f>
        <v>-0.53251893064327027</v>
      </c>
      <c r="CY55" s="40">
        <f t="shared" si="724"/>
        <v>-0.43558063991707552</v>
      </c>
      <c r="CZ55" s="40">
        <f t="shared" si="724"/>
        <v>-0.36636605775039283</v>
      </c>
      <c r="DA55" s="40">
        <f t="shared" si="724"/>
        <v>-0.31505515548174517</v>
      </c>
      <c r="DB55" s="40">
        <f t="shared" si="724"/>
        <v>-0.27478720961837871</v>
      </c>
      <c r="DE55" s="122"/>
      <c r="DF55" s="38">
        <v>0.69973221905070215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13.070000000000164</v>
      </c>
      <c r="O58" s="9">
        <f>O10-SUM(AM10:AP10)</f>
        <v>-2.4500000000002728</v>
      </c>
      <c r="P58" s="9">
        <f>P10-SUM(AQ10:AT10)</f>
        <v>-1.999999999998181E-2</v>
      </c>
      <c r="Q58" s="9">
        <f>Q10-SUM(AU10:AX10)</f>
        <v>0</v>
      </c>
      <c r="R58" s="9">
        <f>R10-SUM(AY10:BB10)</f>
        <v>14.840000000000146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-108.55999999999995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1.0000000000004547</v>
      </c>
      <c r="O59" s="9">
        <f>O16-SUM(AM16:AP16)</f>
        <v>-20.470000000000255</v>
      </c>
      <c r="P59" s="9">
        <f>P16-SUM(AQ16:AT16)</f>
        <v>-12.879999999999654</v>
      </c>
      <c r="Q59" s="9">
        <f>Q16-SUM(AU16:AX16)</f>
        <v>-14.729999999999563</v>
      </c>
      <c r="R59" s="9">
        <f>R16-SUM(AY16:BB16)</f>
        <v>14.839999999999691</v>
      </c>
      <c r="S59" s="9">
        <f>S16-SUM(BC16:BF16)</f>
        <v>0</v>
      </c>
      <c r="T59" s="9">
        <f>T16-SUM(BG16:BJ16)</f>
        <v>0.54999999999995453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-108.55999999999995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13.3100000000004</v>
      </c>
      <c r="O60" s="9">
        <f>O28-SUM(AM28:AP28)</f>
        <v>-115.96999999999957</v>
      </c>
      <c r="P60" s="9">
        <f>P28-SUM(AQ28:AT28)</f>
        <v>-7.2699999999999818</v>
      </c>
      <c r="Q60" s="9">
        <f>Q28-SUM(AU28:AX28)</f>
        <v>-5.7099999999994679</v>
      </c>
      <c r="R60" s="9">
        <f>R28-SUM(AY28:BB28)</f>
        <v>-69.099999999999795</v>
      </c>
      <c r="S60" s="9">
        <f>S28-SUM(BC28:BF28)</f>
        <v>-143.9500000000001</v>
      </c>
      <c r="T60" s="9">
        <f>T28-SUM(BG28:BJ28)</f>
        <v>-455.0899999999998</v>
      </c>
      <c r="U60" s="9">
        <f>U28-SUM(BK28:BN28)</f>
        <v>8.9999999999918145E-2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36.790000000000077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-9.9999999996498445E-3</v>
      </c>
      <c r="O61" s="9">
        <f>O48-SUM(AM48:AP48)</f>
        <v>1.0000000000559339E-2</v>
      </c>
      <c r="P61" s="9">
        <f>P48-SUM(AQ48:AT48)</f>
        <v>-9.9999999998772182E-3</v>
      </c>
      <c r="Q61" s="9">
        <f>Q48-SUM(AU48:AX48)</f>
        <v>1.0000000000559339E-2</v>
      </c>
      <c r="R61" s="9">
        <f>R48-SUM(AY48:BB48)</f>
        <v>4.0000000000418368E-2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402.85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1405.3267000000001</v>
      </c>
      <c r="C63" s="3">
        <f>'Annual Raw'!D104</f>
        <v>1405.33</v>
      </c>
      <c r="D63" s="3">
        <f>'Annual Raw'!E104</f>
        <v>1405.33</v>
      </c>
      <c r="E63" s="3">
        <f t="shared" ref="E63:Y63" ca="1" si="725">+F63</f>
        <v>1954.93</v>
      </c>
      <c r="F63" s="3">
        <f t="shared" ca="1" si="725"/>
        <v>1954.93</v>
      </c>
      <c r="G63" s="3">
        <f t="shared" ca="1" si="725"/>
        <v>1954.93</v>
      </c>
      <c r="H63" s="3">
        <f t="shared" ca="1" si="725"/>
        <v>1954.93</v>
      </c>
      <c r="I63" s="3">
        <f t="shared" ca="1" si="725"/>
        <v>1954.93</v>
      </c>
      <c r="J63" s="3">
        <f t="shared" ca="1" si="725"/>
        <v>1954.93</v>
      </c>
      <c r="K63" s="3">
        <f t="shared" ca="1" si="725"/>
        <v>1954.93</v>
      </c>
      <c r="L63" s="3">
        <f t="shared" ca="1" si="725"/>
        <v>1954.93</v>
      </c>
      <c r="M63" s="3">
        <f t="shared" ca="1" si="725"/>
        <v>1954.93</v>
      </c>
      <c r="N63" s="3">
        <f t="shared" ca="1" si="725"/>
        <v>1954.93</v>
      </c>
      <c r="O63" s="3">
        <f t="shared" ca="1" si="725"/>
        <v>1954.93</v>
      </c>
      <c r="P63" s="3">
        <f t="shared" ca="1" si="725"/>
        <v>1954.93</v>
      </c>
      <c r="Q63" s="3">
        <f t="shared" ca="1" si="725"/>
        <v>1954.93</v>
      </c>
      <c r="R63" s="3">
        <f t="shared" ca="1" si="725"/>
        <v>1954.93</v>
      </c>
      <c r="S63" s="3">
        <f t="shared" ca="1" si="725"/>
        <v>1954.93</v>
      </c>
      <c r="T63" s="3">
        <f t="shared" ca="1" si="725"/>
        <v>1954.93</v>
      </c>
      <c r="U63" s="3">
        <f t="shared" ca="1" si="725"/>
        <v>1954.93</v>
      </c>
      <c r="V63" s="3">
        <f t="shared" ca="1" si="725"/>
        <v>1954.93</v>
      </c>
      <c r="W63" s="3">
        <f t="shared" ca="1" si="725"/>
        <v>1954.93</v>
      </c>
      <c r="X63" s="3">
        <f t="shared" ca="1" si="725"/>
        <v>1954.93</v>
      </c>
      <c r="Y63" s="3">
        <f t="shared" ca="1" si="725"/>
        <v>1954.93</v>
      </c>
      <c r="Z63" s="3">
        <f ca="1">+AA63</f>
        <v>1954.93</v>
      </c>
      <c r="AA63" s="3">
        <f ca="1">+AB63</f>
        <v>1954.93</v>
      </c>
      <c r="AB63" s="37">
        <f t="shared" ref="AB63:AB64" ca="1" si="726">AA63</f>
        <v>1954.93</v>
      </c>
      <c r="AC63" s="37">
        <f t="shared" ref="AC63:AC64" ca="1" si="727">AB63</f>
        <v>1954.93</v>
      </c>
      <c r="AD63" s="37">
        <f t="shared" ref="AD63:AD64" ca="1" si="728">AC63</f>
        <v>1954.93</v>
      </c>
      <c r="AE63" s="37">
        <f t="shared" ref="AE63:AE64" ca="1" si="729">AD63</f>
        <v>1954.93</v>
      </c>
      <c r="AI63" s="3">
        <f t="shared" ref="AI63:CH63" si="730">+AJ63</f>
        <v>1954.93</v>
      </c>
      <c r="AJ63" s="3">
        <f t="shared" si="730"/>
        <v>1954.93</v>
      </c>
      <c r="AK63" s="3">
        <f t="shared" si="730"/>
        <v>1954.93</v>
      </c>
      <c r="AL63" s="3">
        <f t="shared" si="730"/>
        <v>1954.93</v>
      </c>
      <c r="AM63" s="3">
        <f t="shared" si="730"/>
        <v>1954.93</v>
      </c>
      <c r="AN63" s="3">
        <f t="shared" si="730"/>
        <v>1954.93</v>
      </c>
      <c r="AO63" s="3">
        <f t="shared" si="730"/>
        <v>1954.93</v>
      </c>
      <c r="AP63" s="3">
        <f t="shared" si="730"/>
        <v>1954.93</v>
      </c>
      <c r="AQ63" s="3">
        <f t="shared" si="730"/>
        <v>1954.93</v>
      </c>
      <c r="AR63" s="3">
        <f t="shared" si="730"/>
        <v>1954.93</v>
      </c>
      <c r="AS63" s="3">
        <f t="shared" si="730"/>
        <v>1954.93</v>
      </c>
      <c r="AT63" s="3">
        <f t="shared" si="730"/>
        <v>1954.93</v>
      </c>
      <c r="AU63" s="3">
        <f t="shared" si="730"/>
        <v>1954.93</v>
      </c>
      <c r="AV63" s="3">
        <f t="shared" si="730"/>
        <v>1954.93</v>
      </c>
      <c r="AW63" s="3">
        <f t="shared" si="730"/>
        <v>1954.93</v>
      </c>
      <c r="AX63" s="3">
        <f t="shared" si="730"/>
        <v>1954.93</v>
      </c>
      <c r="AY63" s="3">
        <f t="shared" si="730"/>
        <v>1954.93</v>
      </c>
      <c r="AZ63" s="3">
        <f t="shared" si="730"/>
        <v>1954.93</v>
      </c>
      <c r="BA63" s="3">
        <f t="shared" si="730"/>
        <v>1954.93</v>
      </c>
      <c r="BB63" s="3">
        <f t="shared" si="730"/>
        <v>1954.93</v>
      </c>
      <c r="BC63" s="3">
        <f t="shared" si="730"/>
        <v>1954.93</v>
      </c>
      <c r="BD63" s="3">
        <f t="shared" si="730"/>
        <v>1954.93</v>
      </c>
      <c r="BE63" s="3">
        <f t="shared" si="730"/>
        <v>1954.93</v>
      </c>
      <c r="BF63" s="3">
        <f t="shared" si="730"/>
        <v>1954.93</v>
      </c>
      <c r="BG63" s="3">
        <f t="shared" si="730"/>
        <v>1954.93</v>
      </c>
      <c r="BH63" s="3">
        <f t="shared" si="730"/>
        <v>1954.93</v>
      </c>
      <c r="BI63" s="3">
        <f t="shared" si="730"/>
        <v>1954.93</v>
      </c>
      <c r="BJ63" s="3">
        <f t="shared" si="730"/>
        <v>1954.93</v>
      </c>
      <c r="BK63" s="3">
        <f t="shared" si="730"/>
        <v>1954.93</v>
      </c>
      <c r="BL63" s="3">
        <f t="shared" si="730"/>
        <v>1954.93</v>
      </c>
      <c r="BM63" s="3">
        <f t="shared" si="730"/>
        <v>1954.93</v>
      </c>
      <c r="BN63" s="3">
        <f t="shared" si="730"/>
        <v>1954.93</v>
      </c>
      <c r="BO63" s="3">
        <f t="shared" si="730"/>
        <v>1954.93</v>
      </c>
      <c r="BP63" s="3">
        <f t="shared" si="730"/>
        <v>1954.93</v>
      </c>
      <c r="BQ63" s="3">
        <f t="shared" si="730"/>
        <v>1954.93</v>
      </c>
      <c r="BR63" s="3">
        <f t="shared" si="730"/>
        <v>1954.93</v>
      </c>
      <c r="BS63" s="3">
        <f t="shared" si="730"/>
        <v>1954.93</v>
      </c>
      <c r="BT63" s="3">
        <f t="shared" si="730"/>
        <v>1954.93</v>
      </c>
      <c r="BU63" s="3">
        <f t="shared" si="730"/>
        <v>1954.93</v>
      </c>
      <c r="BV63" s="3">
        <f t="shared" si="730"/>
        <v>1954.93</v>
      </c>
      <c r="BW63" s="3">
        <f t="shared" si="730"/>
        <v>1954.93</v>
      </c>
      <c r="BX63" s="3">
        <f t="shared" si="730"/>
        <v>1954.93</v>
      </c>
      <c r="BY63" s="3">
        <f t="shared" si="730"/>
        <v>1954.93</v>
      </c>
      <c r="BZ63" s="3">
        <f t="shared" si="730"/>
        <v>1954.93</v>
      </c>
      <c r="CA63" s="3">
        <f t="shared" si="730"/>
        <v>1954.93</v>
      </c>
      <c r="CB63" s="3">
        <f t="shared" si="730"/>
        <v>1954.93</v>
      </c>
      <c r="CC63" s="3">
        <f t="shared" si="730"/>
        <v>1954.93</v>
      </c>
      <c r="CD63" s="3">
        <f t="shared" si="730"/>
        <v>1954.93</v>
      </c>
      <c r="CE63" s="3">
        <f t="shared" si="730"/>
        <v>1954.93</v>
      </c>
      <c r="CF63" s="3">
        <f t="shared" si="730"/>
        <v>1954.93</v>
      </c>
      <c r="CG63" s="3">
        <f t="shared" si="730"/>
        <v>1954.93</v>
      </c>
      <c r="CH63" s="3">
        <f t="shared" si="730"/>
        <v>1954.93</v>
      </c>
      <c r="CI63" s="3">
        <f>+CJ63</f>
        <v>1954.93</v>
      </c>
      <c r="CJ63" s="3">
        <f>'QTR Raw'!BD45</f>
        <v>1954.93</v>
      </c>
      <c r="CK63" s="3">
        <f>'QTR Raw'!BE45</f>
        <v>1954.93</v>
      </c>
      <c r="CL63" s="3">
        <f>'QTR Raw'!BF45</f>
        <v>1954.93</v>
      </c>
      <c r="CM63" s="37">
        <f t="shared" ref="CM63:CM64" si="731">+CL63</f>
        <v>1954.93</v>
      </c>
      <c r="CN63" s="37">
        <f t="shared" ref="CN63:CN64" si="732">+CM63</f>
        <v>1954.93</v>
      </c>
      <c r="CO63" s="37">
        <f t="shared" ref="CO63:CO64" si="733">+CN63</f>
        <v>1954.93</v>
      </c>
      <c r="CP63" s="37">
        <f t="shared" ref="CP63:CP64" si="734">+CO63</f>
        <v>1954.93</v>
      </c>
      <c r="CQ63" s="37">
        <f t="shared" ref="CQ63:CQ64" si="735">+CP63</f>
        <v>1954.93</v>
      </c>
      <c r="CR63" s="37">
        <f t="shared" ref="CR63:CR64" si="736">+CQ63</f>
        <v>1954.93</v>
      </c>
      <c r="CS63" s="37">
        <f t="shared" ref="CS63:CS64" si="737">+CR63</f>
        <v>1954.93</v>
      </c>
      <c r="CT63" s="37">
        <f t="shared" ref="CT63:CT64" si="738">+CS63</f>
        <v>1954.93</v>
      </c>
      <c r="CU63" s="37">
        <f t="shared" ref="CU63:CU64" si="739">+CT63</f>
        <v>1954.93</v>
      </c>
      <c r="CV63" s="37">
        <f t="shared" ref="CV63:CV64" si="740">+CU63</f>
        <v>1954.93</v>
      </c>
      <c r="CW63" s="37">
        <f t="shared" ref="CW63:CW64" si="741">+CV63</f>
        <v>1954.93</v>
      </c>
      <c r="CX63" s="37">
        <f t="shared" ref="CX63:CX64" si="742">+CW63</f>
        <v>1954.93</v>
      </c>
      <c r="CY63" s="37">
        <f t="shared" ref="CY63:CY64" si="743">+CX63</f>
        <v>1954.93</v>
      </c>
      <c r="CZ63" s="37">
        <f t="shared" ref="CZ63:CZ64" si="744">+CY63</f>
        <v>1954.93</v>
      </c>
      <c r="DA63" s="37">
        <f t="shared" ref="DA63:DA64" si="745">+CZ63</f>
        <v>1954.93</v>
      </c>
      <c r="DB63" s="37">
        <f t="shared" ref="DB63:DB64" si="746">+DA63</f>
        <v>1954.93</v>
      </c>
      <c r="DE63" s="134"/>
      <c r="DF63" s="3">
        <v>1954.93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140.53267</v>
      </c>
      <c r="C65" s="3">
        <f t="shared" ref="C65:W65" si="749">C63/C64</f>
        <v>140.53299999999999</v>
      </c>
      <c r="D65" s="3">
        <f t="shared" si="749"/>
        <v>140.53299999999999</v>
      </c>
      <c r="E65" s="3">
        <f t="shared" ca="1" si="749"/>
        <v>195.49299999999999</v>
      </c>
      <c r="F65" s="3">
        <f t="shared" ca="1" si="749"/>
        <v>195.49299999999999</v>
      </c>
      <c r="G65" s="3">
        <f t="shared" ca="1" si="749"/>
        <v>195.49299999999999</v>
      </c>
      <c r="H65" s="3">
        <f t="shared" ca="1" si="749"/>
        <v>195.49299999999999</v>
      </c>
      <c r="I65" s="3">
        <f t="shared" ca="1" si="749"/>
        <v>195.49299999999999</v>
      </c>
      <c r="J65" s="3">
        <f t="shared" ca="1" si="749"/>
        <v>195.49299999999999</v>
      </c>
      <c r="K65" s="3">
        <f t="shared" ca="1" si="749"/>
        <v>195.49299999999999</v>
      </c>
      <c r="L65" s="3">
        <f t="shared" ca="1" si="749"/>
        <v>195.49299999999999</v>
      </c>
      <c r="M65" s="3">
        <f t="shared" ca="1" si="749"/>
        <v>195.49299999999999</v>
      </c>
      <c r="N65" s="3">
        <f t="shared" ca="1" si="749"/>
        <v>195.49299999999999</v>
      </c>
      <c r="O65" s="3">
        <f t="shared" ca="1" si="749"/>
        <v>195.49299999999999</v>
      </c>
      <c r="P65" s="3">
        <f t="shared" ca="1" si="749"/>
        <v>195.49299999999999</v>
      </c>
      <c r="Q65" s="3">
        <f t="shared" ca="1" si="749"/>
        <v>195.49299999999999</v>
      </c>
      <c r="R65" s="3">
        <f t="shared" ca="1" si="749"/>
        <v>195.49299999999999</v>
      </c>
      <c r="S65" s="3">
        <f t="shared" ca="1" si="749"/>
        <v>195.49299999999999</v>
      </c>
      <c r="T65" s="3">
        <f t="shared" ca="1" si="749"/>
        <v>195.49299999999999</v>
      </c>
      <c r="U65" s="3">
        <f t="shared" ca="1" si="749"/>
        <v>195.49299999999999</v>
      </c>
      <c r="V65" s="3">
        <f ca="1">V63/V64</f>
        <v>195.49299999999999</v>
      </c>
      <c r="W65" s="3">
        <f t="shared" ca="1" si="749"/>
        <v>195.49299999999999</v>
      </c>
      <c r="X65" s="3">
        <f t="shared" ref="X65:Y65" ca="1" si="750">X63/X64</f>
        <v>195.49299999999999</v>
      </c>
      <c r="Y65" s="3">
        <f t="shared" ca="1" si="750"/>
        <v>195.49299999999999</v>
      </c>
      <c r="Z65" s="3">
        <f t="shared" ref="Z65:AA65" ca="1" si="751">Z63/Z64</f>
        <v>195.49299999999999</v>
      </c>
      <c r="AA65" s="3">
        <f t="shared" ca="1" si="751"/>
        <v>195.49299999999999</v>
      </c>
      <c r="AB65" s="37">
        <f t="shared" ref="AA65:AD65" ca="1" si="752">AB63/AB64</f>
        <v>195.49299999999999</v>
      </c>
      <c r="AC65" s="37">
        <f t="shared" ca="1" si="752"/>
        <v>195.49299999999999</v>
      </c>
      <c r="AD65" s="37">
        <f t="shared" ca="1" si="752"/>
        <v>195.49299999999999</v>
      </c>
      <c r="AE65" s="37">
        <f t="shared" ref="AE65" ca="1" si="753">AE63/AE64</f>
        <v>195.49299999999999</v>
      </c>
      <c r="AI65" s="3">
        <f t="shared" ref="AI65" si="754">AI63/AI64</f>
        <v>195.49299999999999</v>
      </c>
      <c r="AJ65" s="3">
        <f t="shared" ref="AJ65" si="755">AJ63/AJ64</f>
        <v>195.49299999999999</v>
      </c>
      <c r="AK65" s="3">
        <f t="shared" ref="AK65:AM65" si="756">AK63/AK64</f>
        <v>195.49299999999999</v>
      </c>
      <c r="AL65" s="3">
        <f t="shared" si="756"/>
        <v>195.49299999999999</v>
      </c>
      <c r="AM65" s="3">
        <f t="shared" si="756"/>
        <v>195.49299999999999</v>
      </c>
      <c r="AN65" s="3">
        <f t="shared" ref="AN65:AO65" si="757">AN63/AN64</f>
        <v>195.49299999999999</v>
      </c>
      <c r="AO65" s="3">
        <f t="shared" si="757"/>
        <v>195.49299999999999</v>
      </c>
      <c r="AP65" s="3">
        <f t="shared" ref="AP65:CD65" si="758">AP63/AP64</f>
        <v>195.49299999999999</v>
      </c>
      <c r="AQ65" s="3">
        <f t="shared" si="758"/>
        <v>195.49299999999999</v>
      </c>
      <c r="AR65" s="3">
        <f t="shared" si="758"/>
        <v>195.49299999999999</v>
      </c>
      <c r="AS65" s="3">
        <f t="shared" si="758"/>
        <v>195.49299999999999</v>
      </c>
      <c r="AT65" s="3">
        <f t="shared" si="758"/>
        <v>195.49299999999999</v>
      </c>
      <c r="AU65" s="3">
        <f t="shared" si="758"/>
        <v>195.49299999999999</v>
      </c>
      <c r="AV65" s="3">
        <f t="shared" si="758"/>
        <v>195.49299999999999</v>
      </c>
      <c r="AW65" s="3">
        <f t="shared" si="758"/>
        <v>195.49299999999999</v>
      </c>
      <c r="AX65" s="3">
        <f t="shared" si="758"/>
        <v>195.49299999999999</v>
      </c>
      <c r="AY65" s="3">
        <f t="shared" si="758"/>
        <v>195.49299999999999</v>
      </c>
      <c r="AZ65" s="3">
        <f t="shared" si="758"/>
        <v>195.49299999999999</v>
      </c>
      <c r="BA65" s="3">
        <f t="shared" si="758"/>
        <v>195.49299999999999</v>
      </c>
      <c r="BB65" s="3">
        <f t="shared" si="758"/>
        <v>195.49299999999999</v>
      </c>
      <c r="BC65" s="3">
        <f t="shared" si="758"/>
        <v>195.49299999999999</v>
      </c>
      <c r="BD65" s="3">
        <f t="shared" si="758"/>
        <v>195.49299999999999</v>
      </c>
      <c r="BE65" s="3">
        <f t="shared" si="758"/>
        <v>195.49299999999999</v>
      </c>
      <c r="BF65" s="3">
        <f t="shared" si="758"/>
        <v>195.49299999999999</v>
      </c>
      <c r="BG65" s="3">
        <f t="shared" si="758"/>
        <v>195.49299999999999</v>
      </c>
      <c r="BH65" s="3">
        <f t="shared" si="758"/>
        <v>195.49299999999999</v>
      </c>
      <c r="BI65" s="3">
        <f t="shared" si="758"/>
        <v>195.49299999999999</v>
      </c>
      <c r="BJ65" s="3">
        <f t="shared" si="758"/>
        <v>195.49299999999999</v>
      </c>
      <c r="BK65" s="3">
        <f t="shared" si="758"/>
        <v>195.49299999999999</v>
      </c>
      <c r="BL65" s="3">
        <f t="shared" si="758"/>
        <v>195.49299999999999</v>
      </c>
      <c r="BM65" s="3">
        <f t="shared" si="758"/>
        <v>195.49299999999999</v>
      </c>
      <c r="BN65" s="3">
        <f t="shared" si="758"/>
        <v>195.49299999999999</v>
      </c>
      <c r="BO65" s="3">
        <f t="shared" si="758"/>
        <v>195.49299999999999</v>
      </c>
      <c r="BP65" s="3">
        <f t="shared" si="758"/>
        <v>195.49299999999999</v>
      </c>
      <c r="BQ65" s="3">
        <f t="shared" si="758"/>
        <v>195.49299999999999</v>
      </c>
      <c r="BR65" s="3">
        <f t="shared" si="758"/>
        <v>195.49299999999999</v>
      </c>
      <c r="BS65" s="3">
        <f t="shared" si="758"/>
        <v>195.49299999999999</v>
      </c>
      <c r="BT65" s="3">
        <f t="shared" si="758"/>
        <v>195.49299999999999</v>
      </c>
      <c r="BU65" s="3">
        <f t="shared" si="758"/>
        <v>195.49299999999999</v>
      </c>
      <c r="BV65" s="3">
        <f t="shared" si="758"/>
        <v>195.49299999999999</v>
      </c>
      <c r="BW65" s="3">
        <f t="shared" si="758"/>
        <v>195.49299999999999</v>
      </c>
      <c r="BX65" s="3">
        <f t="shared" si="758"/>
        <v>195.49299999999999</v>
      </c>
      <c r="BY65" s="3">
        <f t="shared" si="758"/>
        <v>195.49299999999999</v>
      </c>
      <c r="BZ65" s="3">
        <f t="shared" si="758"/>
        <v>195.49299999999999</v>
      </c>
      <c r="CA65" s="3">
        <f t="shared" si="758"/>
        <v>195.49299999999999</v>
      </c>
      <c r="CB65" s="3">
        <f t="shared" si="758"/>
        <v>195.49299999999999</v>
      </c>
      <c r="CC65" s="3">
        <f t="shared" si="758"/>
        <v>195.49299999999999</v>
      </c>
      <c r="CD65" s="3">
        <f t="shared" si="758"/>
        <v>195.49299999999999</v>
      </c>
      <c r="CE65" s="3">
        <f t="shared" ref="CE65:CF65" si="759">CE63/CE64</f>
        <v>195.49299999999999</v>
      </c>
      <c r="CF65" s="3">
        <f t="shared" si="759"/>
        <v>195.49299999999999</v>
      </c>
      <c r="CG65" s="3">
        <f t="shared" ref="CG65:CH65" si="760">CG63/CG64</f>
        <v>195.49299999999999</v>
      </c>
      <c r="CH65" s="3">
        <f t="shared" si="760"/>
        <v>195.49299999999999</v>
      </c>
      <c r="CI65" s="3">
        <f t="shared" ref="CI65:CJ65" si="761">CI63/CI64</f>
        <v>195.49299999999999</v>
      </c>
      <c r="CJ65" s="3">
        <f t="shared" si="761"/>
        <v>195.49299999999999</v>
      </c>
      <c r="CK65" s="3">
        <f t="shared" ref="CK65:CL65" si="762">CK63/CK64</f>
        <v>195.49299999999999</v>
      </c>
      <c r="CL65" s="3">
        <f t="shared" si="762"/>
        <v>195.49299999999999</v>
      </c>
      <c r="CM65" s="37">
        <f t="shared" ref="CM65:DB65" si="763">CM63/CM64</f>
        <v>195.49299999999999</v>
      </c>
      <c r="CN65" s="37">
        <f t="shared" si="763"/>
        <v>195.49299999999999</v>
      </c>
      <c r="CO65" s="37">
        <f t="shared" si="763"/>
        <v>195.49299999999999</v>
      </c>
      <c r="CP65" s="37">
        <f t="shared" si="763"/>
        <v>195.49299999999999</v>
      </c>
      <c r="CQ65" s="37">
        <f t="shared" si="763"/>
        <v>195.49299999999999</v>
      </c>
      <c r="CR65" s="37">
        <f t="shared" si="763"/>
        <v>195.49299999999999</v>
      </c>
      <c r="CS65" s="37">
        <f t="shared" si="763"/>
        <v>195.49299999999999</v>
      </c>
      <c r="CT65" s="37">
        <f t="shared" si="763"/>
        <v>195.49299999999999</v>
      </c>
      <c r="CU65" s="37">
        <f t="shared" si="763"/>
        <v>195.49299999999999</v>
      </c>
      <c r="CV65" s="37">
        <f t="shared" si="763"/>
        <v>195.49299999999999</v>
      </c>
      <c r="CW65" s="37">
        <f t="shared" si="763"/>
        <v>195.49299999999999</v>
      </c>
      <c r="CX65" s="37">
        <f t="shared" si="763"/>
        <v>195.49299999999999</v>
      </c>
      <c r="CY65" s="37">
        <f t="shared" si="763"/>
        <v>195.49299999999999</v>
      </c>
      <c r="CZ65" s="37">
        <f t="shared" si="763"/>
        <v>195.49299999999999</v>
      </c>
      <c r="DA65" s="37">
        <f t="shared" si="763"/>
        <v>195.49299999999999</v>
      </c>
      <c r="DB65" s="37">
        <f t="shared" si="763"/>
        <v>195.49299999999999</v>
      </c>
      <c r="DE65" s="134"/>
      <c r="DF65" s="3">
        <v>195.49299999999999</v>
      </c>
    </row>
    <row r="66" spans="1:110" s="53" customFormat="1" x14ac:dyDescent="0.2">
      <c r="A66" s="53" t="s">
        <v>30</v>
      </c>
      <c r="B66" s="53">
        <f t="shared" ref="B66:AE66" si="764">(B48-B47)/B65</f>
        <v>-1.485718587713448</v>
      </c>
      <c r="C66" s="53">
        <f t="shared" si="764"/>
        <v>-1.0566201532736086</v>
      </c>
      <c r="D66" s="53">
        <f t="shared" si="764"/>
        <v>-1.458732112742203</v>
      </c>
      <c r="E66" s="53">
        <f t="shared" ca="1" si="764"/>
        <v>-1.3794867335403311</v>
      </c>
      <c r="F66" s="53">
        <f t="shared" ca="1" si="764"/>
        <v>-2.7001478313801512</v>
      </c>
      <c r="G66" s="53">
        <f t="shared" ca="1" si="764"/>
        <v>-2.5259727969799428</v>
      </c>
      <c r="H66" s="53">
        <f t="shared" ca="1" si="764"/>
        <v>-1.6168865381369137</v>
      </c>
      <c r="I66" s="53">
        <f t="shared" ca="1" si="764"/>
        <v>-0.64319438547671759</v>
      </c>
      <c r="J66" s="53">
        <f t="shared" ca="1" si="764"/>
        <v>-0.86928943747346588</v>
      </c>
      <c r="K66" s="53">
        <f t="shared" ca="1" si="764"/>
        <v>-1.626656708935871</v>
      </c>
      <c r="L66" s="53">
        <f t="shared" ca="1" si="764"/>
        <v>0.41039832628278372</v>
      </c>
      <c r="M66" s="53">
        <f t="shared" ca="1" si="764"/>
        <v>-2.6474093701564745</v>
      </c>
      <c r="N66" s="53">
        <f t="shared" ca="1" si="764"/>
        <v>-3.3697881765587496</v>
      </c>
      <c r="O66" s="53">
        <f t="shared" ca="1" si="764"/>
        <v>-2.8649619167949738</v>
      </c>
      <c r="P66" s="53">
        <f t="shared" ca="1" si="764"/>
        <v>-3.1471715099773401</v>
      </c>
      <c r="Q66" s="53">
        <f t="shared" ca="1" si="764"/>
        <v>-1.8330068084279203</v>
      </c>
      <c r="R66" s="53">
        <f t="shared" ca="1" si="764"/>
        <v>-7.1493608466799303</v>
      </c>
      <c r="S66" s="53">
        <f t="shared" ca="1" si="764"/>
        <v>-9.7206549595126148</v>
      </c>
      <c r="T66" s="53">
        <f t="shared" ca="1" si="764"/>
        <v>-5.1086739678658573</v>
      </c>
      <c r="U66" s="53">
        <f t="shared" ca="1" si="764"/>
        <v>-6.5671405114249612</v>
      </c>
      <c r="V66" s="53">
        <f t="shared" ca="1" si="764"/>
        <v>-6.2246730061945961</v>
      </c>
      <c r="W66" s="53">
        <f t="shared" ca="1" si="764"/>
        <v>-6.2150562935757296</v>
      </c>
      <c r="X66" s="53">
        <f t="shared" ca="1" si="764"/>
        <v>-5.8285974433867187</v>
      </c>
      <c r="Y66" s="53">
        <f t="shared" ca="1" si="764"/>
        <v>-6.2838055582552821</v>
      </c>
      <c r="Z66" s="53">
        <f t="shared" ca="1" si="764"/>
        <v>-6.523609541006584</v>
      </c>
      <c r="AA66" s="53">
        <f t="shared" ref="AA66" ca="1" si="765">(AA48-AA47)/AA65</f>
        <v>-6.523609541006584</v>
      </c>
      <c r="AB66" s="54">
        <f t="shared" ca="1" si="764"/>
        <v>-2.134373501766472</v>
      </c>
      <c r="AC66" s="54">
        <f t="shared" ca="1" si="764"/>
        <v>-2.360242057459419</v>
      </c>
      <c r="AD66" s="54">
        <f t="shared" ca="1" si="764"/>
        <v>-2.5993775811742221</v>
      </c>
      <c r="AE66" s="54">
        <f t="shared" ca="1" si="764"/>
        <v>-2.845342332283975</v>
      </c>
      <c r="AI66" s="53">
        <f t="shared" ref="AI66:BN66" si="766">(AI48-AI47)/AI65</f>
        <v>-0.83205025243870667</v>
      </c>
      <c r="AJ66" s="53">
        <f t="shared" si="766"/>
        <v>-0.93972674213398977</v>
      </c>
      <c r="AK66" s="53">
        <f t="shared" si="766"/>
        <v>-1.0085271595402385</v>
      </c>
      <c r="AL66" s="53">
        <f t="shared" si="766"/>
        <v>-0.58943286971912068</v>
      </c>
      <c r="AM66" s="53">
        <f t="shared" si="766"/>
        <v>-0.64907694904676938</v>
      </c>
      <c r="AN66" s="53">
        <f t="shared" si="766"/>
        <v>-0.84519650319960371</v>
      </c>
      <c r="AO66" s="53">
        <f t="shared" si="766"/>
        <v>-0.79982403462016594</v>
      </c>
      <c r="AP66" s="53">
        <f t="shared" si="766"/>
        <v>-0.57091558265513354</v>
      </c>
      <c r="AQ66" s="53">
        <f t="shared" si="766"/>
        <v>-0.62871816382172274</v>
      </c>
      <c r="AR66" s="53">
        <f t="shared" si="766"/>
        <v>-0.8152721580823874</v>
      </c>
      <c r="AS66" s="53">
        <f t="shared" si="766"/>
        <v>-0.86483915025090408</v>
      </c>
      <c r="AT66" s="53">
        <f t="shared" si="766"/>
        <v>-0.83829088509562999</v>
      </c>
      <c r="AU66" s="53">
        <f t="shared" si="766"/>
        <v>-0.4272787260924944</v>
      </c>
      <c r="AV66" s="53">
        <f t="shared" si="766"/>
        <v>-0.89875340805041615</v>
      </c>
      <c r="AW66" s="53">
        <f t="shared" si="766"/>
        <v>-0.39459213373368862</v>
      </c>
      <c r="AX66" s="53">
        <f t="shared" si="766"/>
        <v>-0.11243369327801998</v>
      </c>
      <c r="AY66" s="53">
        <f t="shared" si="766"/>
        <v>-0.55280751740471556</v>
      </c>
      <c r="AZ66" s="53">
        <f t="shared" si="766"/>
        <v>-2.3946125948243675</v>
      </c>
      <c r="BA66" s="53">
        <f t="shared" si="766"/>
        <v>-2.1215081869939079</v>
      </c>
      <c r="BB66" s="53">
        <f t="shared" si="766"/>
        <v>-2.0806371583637273</v>
      </c>
      <c r="BC66" s="53">
        <f t="shared" si="766"/>
        <v>-2.4626457213301753</v>
      </c>
      <c r="BD66" s="53">
        <f t="shared" si="766"/>
        <v>-2.5048467208544523</v>
      </c>
      <c r="BE66" s="53">
        <f t="shared" si="766"/>
        <v>-1.9698403523399817</v>
      </c>
      <c r="BF66" s="53">
        <f t="shared" si="766"/>
        <v>-2.7833221649880047</v>
      </c>
      <c r="BG66" s="53">
        <f t="shared" si="766"/>
        <v>-1.8626242371849631</v>
      </c>
      <c r="BH66" s="53">
        <f t="shared" si="766"/>
        <v>-1.8411400919726026</v>
      </c>
      <c r="BI66" s="53">
        <f t="shared" si="766"/>
        <v>-1.7590399656253677</v>
      </c>
      <c r="BJ66" s="53">
        <f t="shared" si="766"/>
        <v>0.35413032691707613</v>
      </c>
      <c r="BK66" s="53">
        <f t="shared" si="766"/>
        <v>-2.1026839835697446</v>
      </c>
      <c r="BL66" s="53">
        <f t="shared" si="766"/>
        <v>-1.5869110402930018</v>
      </c>
      <c r="BM66" s="53">
        <f t="shared" si="766"/>
        <v>-1.3861877407375198</v>
      </c>
      <c r="BN66" s="53">
        <f t="shared" si="766"/>
        <v>-1.4913577468246948</v>
      </c>
      <c r="BO66" s="53">
        <f t="shared" ref="BO66:CT66" si="767">(BO48-BO47)/BO65</f>
        <v>-1.5473188298302243</v>
      </c>
      <c r="BP66" s="53">
        <f t="shared" si="767"/>
        <v>-1.6785767265324076</v>
      </c>
      <c r="BQ66" s="53">
        <f t="shared" si="767"/>
        <v>-1.5240954919101963</v>
      </c>
      <c r="BR66" s="53">
        <f t="shared" si="767"/>
        <v>-1.4746819579217669</v>
      </c>
      <c r="BS66" s="53">
        <f t="shared" si="767"/>
        <v>-1.6289585816371945</v>
      </c>
      <c r="BT66" s="53">
        <f t="shared" si="767"/>
        <v>-1.604302967369676</v>
      </c>
      <c r="BU66" s="53">
        <f t="shared" si="767"/>
        <v>-1.546346928022998</v>
      </c>
      <c r="BV66" s="53">
        <f t="shared" si="767"/>
        <v>-1.4354478165458611</v>
      </c>
      <c r="BW66" s="53">
        <f t="shared" si="767"/>
        <v>-1.5095169648018085</v>
      </c>
      <c r="BX66" s="53">
        <f t="shared" si="767"/>
        <v>-1.470589739786079</v>
      </c>
      <c r="BY66" s="53">
        <f t="shared" si="767"/>
        <v>-1.4312021402300852</v>
      </c>
      <c r="BZ66" s="53">
        <f t="shared" si="767"/>
        <v>-1.4172885985687467</v>
      </c>
      <c r="CA66" s="53">
        <f t="shared" si="767"/>
        <v>-1.5406178226330356</v>
      </c>
      <c r="CB66" s="53">
        <f t="shared" si="767"/>
        <v>-1.5869110402930029</v>
      </c>
      <c r="CC66" s="53">
        <f t="shared" si="767"/>
        <v>-1.5739182477121947</v>
      </c>
      <c r="CD66" s="53">
        <f t="shared" si="767"/>
        <v>-1.5823584476170502</v>
      </c>
      <c r="CE66" s="53">
        <f t="shared" si="767"/>
        <v>-1.6542791813517619</v>
      </c>
      <c r="CF66" s="53">
        <f t="shared" si="767"/>
        <v>-1.6900349373123333</v>
      </c>
      <c r="CG66" s="53">
        <f t="shared" si="767"/>
        <v>-1.6118735709206979</v>
      </c>
      <c r="CH66" s="53">
        <f t="shared" si="767"/>
        <v>-1.5674218514217901</v>
      </c>
      <c r="CI66" s="53">
        <f t="shared" si="767"/>
        <v>-1.6429232760252286</v>
      </c>
      <c r="CJ66" s="53">
        <f t="shared" si="767"/>
        <v>-1.6410817778641693</v>
      </c>
      <c r="CK66" s="53">
        <f t="shared" ref="CK66:CL66" si="768">(CK48-CK47)/CK65</f>
        <v>-0.74877361337746107</v>
      </c>
      <c r="CL66" s="53">
        <f t="shared" si="768"/>
        <v>-0.41878737346094236</v>
      </c>
      <c r="CM66" s="54">
        <f t="shared" si="767"/>
        <v>-0.57345799868217184</v>
      </c>
      <c r="CN66" s="54">
        <f t="shared" si="767"/>
        <v>-0.55607456679555756</v>
      </c>
      <c r="CO66" s="54">
        <f t="shared" si="767"/>
        <v>-0.50150043543733214</v>
      </c>
      <c r="CP66" s="54">
        <f t="shared" si="767"/>
        <v>-0.5033405008514098</v>
      </c>
      <c r="CQ66" s="54">
        <f t="shared" si="767"/>
        <v>-0.61739840890891073</v>
      </c>
      <c r="CR66" s="54">
        <f t="shared" si="767"/>
        <v>-0.60578310377341515</v>
      </c>
      <c r="CS66" s="54">
        <f t="shared" si="767"/>
        <v>-0.57155666731647048</v>
      </c>
      <c r="CT66" s="54">
        <f t="shared" si="767"/>
        <v>-0.56550387746062258</v>
      </c>
      <c r="CU66" s="54">
        <f t="shared" ref="CU66:DB66" si="769">(CU48-CU47)/CU65</f>
        <v>-0.67059244753612079</v>
      </c>
      <c r="CV66" s="54">
        <f t="shared" si="769"/>
        <v>-0.66324771417284389</v>
      </c>
      <c r="CW66" s="54">
        <f t="shared" si="769"/>
        <v>-0.63536042022336436</v>
      </c>
      <c r="CX66" s="54">
        <f t="shared" si="769"/>
        <v>-0.6301769992418923</v>
      </c>
      <c r="CY66" s="54">
        <f t="shared" si="769"/>
        <v>-0.72719626314554275</v>
      </c>
      <c r="CZ66" s="54">
        <f t="shared" si="769"/>
        <v>-0.72264089820061606</v>
      </c>
      <c r="DA66" s="54">
        <f t="shared" si="769"/>
        <v>-0.69930256572159222</v>
      </c>
      <c r="DB66" s="54">
        <f t="shared" si="769"/>
        <v>-0.69620260521622424</v>
      </c>
      <c r="DE66" s="132"/>
      <c r="DF66" s="53">
        <v>-4.4515660407278013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70">C67/C66</f>
        <v>0</v>
      </c>
      <c r="D68" s="3">
        <f t="shared" si="770"/>
        <v>0</v>
      </c>
      <c r="E68" s="3">
        <f t="shared" ca="1" si="770"/>
        <v>0</v>
      </c>
      <c r="F68" s="3">
        <f t="shared" ca="1" si="770"/>
        <v>0</v>
      </c>
      <c r="G68" s="3">
        <f t="shared" ca="1" si="770"/>
        <v>0</v>
      </c>
      <c r="H68" s="3">
        <f t="shared" ca="1" si="770"/>
        <v>0</v>
      </c>
      <c r="I68" s="3">
        <f t="shared" ca="1" si="770"/>
        <v>0</v>
      </c>
      <c r="J68" s="3">
        <f t="shared" ca="1" si="770"/>
        <v>0</v>
      </c>
      <c r="K68" s="3">
        <f t="shared" ca="1" si="770"/>
        <v>0</v>
      </c>
      <c r="L68" s="3">
        <f t="shared" ca="1" si="770"/>
        <v>0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0</v>
      </c>
      <c r="Q68" s="3">
        <f t="shared" ca="1" si="770"/>
        <v>0</v>
      </c>
      <c r="R68" s="3">
        <f t="shared" ca="1" si="770"/>
        <v>0</v>
      </c>
      <c r="S68" s="3">
        <f t="shared" ca="1" si="770"/>
        <v>0</v>
      </c>
      <c r="T68" s="3">
        <f t="shared" ca="1" si="770"/>
        <v>0</v>
      </c>
      <c r="U68" s="3">
        <f t="shared" ca="1" si="770"/>
        <v>0</v>
      </c>
      <c r="V68" s="3">
        <f ca="1">V67/V66</f>
        <v>0</v>
      </c>
      <c r="W68" s="3">
        <f t="shared" ref="W68" ca="1" si="771">W67/W66</f>
        <v>0</v>
      </c>
      <c r="X68" s="3">
        <f t="shared" ref="X68:Y68" ca="1" si="772">X67/X66</f>
        <v>0</v>
      </c>
      <c r="Y68" s="3">
        <f t="shared" ca="1" si="772"/>
        <v>0</v>
      </c>
      <c r="Z68" s="3">
        <f t="shared" ref="Z68:AA68" ca="1" si="773">Z67/Z66</f>
        <v>0</v>
      </c>
      <c r="AA68" s="3">
        <f t="shared" ca="1" si="773"/>
        <v>0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-1.485718587713448</v>
      </c>
      <c r="C69" s="3">
        <f t="shared" ref="C69:U69" si="776">+C66</f>
        <v>-1.0566201532736086</v>
      </c>
      <c r="D69" s="3">
        <f t="shared" si="776"/>
        <v>-1.458732112742203</v>
      </c>
      <c r="E69" s="3">
        <f t="shared" ca="1" si="776"/>
        <v>-1.3794867335403311</v>
      </c>
      <c r="F69" s="3">
        <f t="shared" ca="1" si="776"/>
        <v>-2.7001478313801512</v>
      </c>
      <c r="G69" s="3">
        <f t="shared" ca="1" si="776"/>
        <v>-2.5259727969799428</v>
      </c>
      <c r="H69" s="3">
        <f t="shared" ca="1" si="776"/>
        <v>-1.6168865381369137</v>
      </c>
      <c r="I69" s="3">
        <f t="shared" ca="1" si="776"/>
        <v>-0.64319438547671759</v>
      </c>
      <c r="J69" s="3">
        <f t="shared" ca="1" si="776"/>
        <v>-0.86928943747346588</v>
      </c>
      <c r="K69" s="3">
        <f t="shared" ca="1" si="776"/>
        <v>-1.626656708935871</v>
      </c>
      <c r="L69" s="3">
        <f t="shared" ca="1" si="776"/>
        <v>0.41039832628278372</v>
      </c>
      <c r="M69" s="3">
        <f t="shared" ca="1" si="776"/>
        <v>-2.6474093701564745</v>
      </c>
      <c r="N69" s="3">
        <f t="shared" ca="1" si="776"/>
        <v>-3.3697881765587496</v>
      </c>
      <c r="O69" s="3">
        <f t="shared" ca="1" si="776"/>
        <v>-2.8649619167949738</v>
      </c>
      <c r="P69" s="3">
        <f t="shared" ca="1" si="776"/>
        <v>-3.1471715099773401</v>
      </c>
      <c r="Q69" s="3">
        <f t="shared" ca="1" si="776"/>
        <v>-1.8330068084279203</v>
      </c>
      <c r="R69" s="3">
        <f t="shared" ca="1" si="776"/>
        <v>-7.1493608466799303</v>
      </c>
      <c r="S69" s="3">
        <f t="shared" ca="1" si="776"/>
        <v>-9.7206549595126148</v>
      </c>
      <c r="T69" s="3">
        <f ca="1">+T66</f>
        <v>-5.1086739678658573</v>
      </c>
      <c r="U69" s="3">
        <f t="shared" ca="1" si="776"/>
        <v>-6.5671405114249612</v>
      </c>
      <c r="V69" s="3">
        <f ca="1">+V66</f>
        <v>-6.2246730061945961</v>
      </c>
      <c r="W69" s="3">
        <f t="shared" ref="W69" ca="1" si="777">+W66</f>
        <v>-6.2150562935757296</v>
      </c>
      <c r="X69" s="3">
        <f t="shared" ref="X69:Y69" ca="1" si="778">+X66</f>
        <v>-5.8285974433867187</v>
      </c>
      <c r="Y69" s="3">
        <f t="shared" ca="1" si="778"/>
        <v>-6.2838055582552821</v>
      </c>
      <c r="Z69" s="3">
        <f t="shared" ref="Z69:AA69" ca="1" si="779">+Z66</f>
        <v>-6.523609541006584</v>
      </c>
      <c r="AA69" s="3">
        <f t="shared" ca="1" si="779"/>
        <v>-6.523609541006584</v>
      </c>
      <c r="AB69" s="37">
        <f t="shared" ref="AA69:AD69" ca="1" si="780">+AB66</f>
        <v>-2.134373501766472</v>
      </c>
      <c r="AC69" s="37">
        <f t="shared" ca="1" si="780"/>
        <v>-2.360242057459419</v>
      </c>
      <c r="AD69" s="37">
        <f t="shared" ca="1" si="780"/>
        <v>-2.5993775811742221</v>
      </c>
      <c r="AE69" s="37">
        <f t="shared" ref="AE69" ca="1" si="781">+AE66</f>
        <v>-2.845342332283975</v>
      </c>
      <c r="AL69" s="3">
        <f>SUM(AI66:AL66)</f>
        <v>-3.3697370238320556</v>
      </c>
      <c r="AM69" s="3">
        <f t="shared" ref="AM69" si="782">SUM(AJ66:AM66)</f>
        <v>-3.1867637204401182</v>
      </c>
      <c r="AN69" s="3">
        <f t="shared" ref="AN69" si="783">SUM(AK66:AN66)</f>
        <v>-3.0922334815057324</v>
      </c>
      <c r="AO69" s="3">
        <f t="shared" ref="AO69" si="784">SUM(AL66:AO66)</f>
        <v>-2.8835303565856596</v>
      </c>
      <c r="AP69" s="3">
        <f t="shared" ref="AP69" si="785">SUM(AM66:AP66)</f>
        <v>-2.8650130695216722</v>
      </c>
      <c r="AQ69" s="3">
        <f t="shared" ref="AQ69" si="786">SUM(AN66:AQ66)</f>
        <v>-2.8446542842966256</v>
      </c>
      <c r="AR69" s="3">
        <f t="shared" ref="AR69" si="787">SUM(AO66:AR66)</f>
        <v>-2.8147299391794096</v>
      </c>
      <c r="AS69" s="3">
        <f t="shared" ref="AS69" si="788">SUM(AP66:AS66)</f>
        <v>-2.8797450548101478</v>
      </c>
      <c r="AT69" s="3">
        <f t="shared" ref="AT69" si="789">SUM(AQ66:AT66)</f>
        <v>-3.1471203572506439</v>
      </c>
      <c r="AU69" s="3">
        <f t="shared" ref="AU69" si="790">SUM(AR66:AU66)</f>
        <v>-2.9456809195214158</v>
      </c>
      <c r="AV69" s="3">
        <f t="shared" ref="AV69" si="791">SUM(AS66:AV66)</f>
        <v>-3.0291621694894446</v>
      </c>
      <c r="AW69" s="3">
        <f t="shared" ref="AW69" si="792">SUM(AT66:AW66)</f>
        <v>-2.5589151529722294</v>
      </c>
      <c r="AX69" s="3">
        <f t="shared" ref="AX69" si="793">SUM(AU66:AX66)</f>
        <v>-1.8330579611546192</v>
      </c>
      <c r="AY69" s="3">
        <f t="shared" ref="AY69" si="794">SUM(AV66:AY66)</f>
        <v>-1.9585867524668401</v>
      </c>
      <c r="AZ69" s="3">
        <f t="shared" ref="AZ69" si="795">SUM(AW66:AZ66)</f>
        <v>-3.4544459392407916</v>
      </c>
      <c r="BA69" s="3">
        <f t="shared" ref="BA69" si="796">SUM(AX66:BA66)</f>
        <v>-5.181361992501011</v>
      </c>
      <c r="BB69" s="3">
        <f t="shared" ref="BB69" si="797">SUM(AY66:BB66)</f>
        <v>-7.1495654575867178</v>
      </c>
      <c r="BC69" s="3">
        <f t="shared" ref="BC69" si="798">SUM(AZ66:BC66)</f>
        <v>-9.059403661512178</v>
      </c>
      <c r="BD69" s="3">
        <f t="shared" ref="BD69" si="799">SUM(BA66:BD66)</f>
        <v>-9.1696377875422641</v>
      </c>
      <c r="BE69" s="3">
        <f t="shared" ref="BE69" si="800">SUM(BB66:BE66)</f>
        <v>-9.0179699528883361</v>
      </c>
      <c r="BF69" s="3">
        <f t="shared" ref="BF69" si="801">SUM(BC66:BF66)</f>
        <v>-9.7206549595126148</v>
      </c>
      <c r="BG69" s="3">
        <f t="shared" ref="BG69" si="802">SUM(BD66:BG66)</f>
        <v>-9.1206334753674021</v>
      </c>
      <c r="BH69" s="3">
        <f t="shared" ref="BH69" si="803">SUM(BE66:BH66)</f>
        <v>-8.4569268464855529</v>
      </c>
      <c r="BI69" s="3">
        <f t="shared" ref="BI69" si="804">SUM(BF66:BI66)</f>
        <v>-8.2461264597709381</v>
      </c>
      <c r="BJ69" s="3">
        <f t="shared" ref="BJ69" si="805">SUM(BG66:BJ66)</f>
        <v>-5.1086739678658573</v>
      </c>
      <c r="BK69" s="3">
        <f t="shared" ref="BK69" si="806">SUM(BH66:BK66)</f>
        <v>-5.3487337142506384</v>
      </c>
      <c r="BL69" s="3">
        <f t="shared" ref="BL69" si="807">SUM(BI66:BL66)</f>
        <v>-5.0945046625710377</v>
      </c>
      <c r="BM69" s="3">
        <f t="shared" ref="BM69" si="808">SUM(BJ66:BM66)</f>
        <v>-4.7216524376831899</v>
      </c>
      <c r="BN69" s="3">
        <f t="shared" ref="BN69" si="809">SUM(BK66:BN66)</f>
        <v>-6.5671405114249612</v>
      </c>
      <c r="BO69" s="3">
        <f t="shared" ref="BO69" si="810">SUM(BL66:BO66)</f>
        <v>-6.0117753576854405</v>
      </c>
      <c r="BP69" s="3">
        <f t="shared" ref="BP69" si="811">SUM(BM66:BP66)</f>
        <v>-6.1034410439248461</v>
      </c>
      <c r="BQ69" s="3">
        <f t="shared" ref="BQ69" si="812">SUM(BN66:BQ66)</f>
        <v>-6.2413487950975233</v>
      </c>
      <c r="BR69" s="3">
        <f t="shared" ref="BR69" si="813">SUM(BO66:BR66)</f>
        <v>-6.2246730061945952</v>
      </c>
      <c r="BS69" s="3">
        <f t="shared" ref="BS69" si="814">SUM(BP66:BS66)</f>
        <v>-6.3063127580015657</v>
      </c>
      <c r="BT69" s="3">
        <f t="shared" ref="BT69" si="815">SUM(BQ66:BT66)</f>
        <v>-6.2320389988388332</v>
      </c>
      <c r="BU69" s="3">
        <f t="shared" ref="BU69" si="816">SUM(BR66:BU66)</f>
        <v>-6.2542904349516357</v>
      </c>
      <c r="BV69" s="3">
        <f t="shared" ref="BV69" si="817">SUM(BS66:BV66)</f>
        <v>-6.2150562935757296</v>
      </c>
      <c r="BW69" s="3">
        <f t="shared" ref="BW69" si="818">SUM(BT66:BW66)</f>
        <v>-6.0956146767403441</v>
      </c>
      <c r="BX69" s="3">
        <f t="shared" ref="BX69" si="819">SUM(BU66:BX66)</f>
        <v>-5.9619014491567466</v>
      </c>
      <c r="BY69" s="3">
        <f t="shared" ref="BY69" si="820">SUM(BV66:BY66)</f>
        <v>-5.846756661363834</v>
      </c>
      <c r="BZ69" s="3">
        <f t="shared" ref="BZ69" si="821">SUM(BW66:BZ66)</f>
        <v>-5.8285974433867196</v>
      </c>
      <c r="CA69" s="3">
        <f t="shared" ref="CA69" si="822">SUM(BX66:CA66)</f>
        <v>-5.8596983012179464</v>
      </c>
      <c r="CB69" s="3">
        <f t="shared" ref="CB69" si="823">SUM(BY66:CB66)</f>
        <v>-5.9760196017248699</v>
      </c>
      <c r="CC69" s="3">
        <f t="shared" ref="CC69" si="824">SUM(BZ66:CC66)</f>
        <v>-6.1187357092069803</v>
      </c>
      <c r="CD69" s="3">
        <f t="shared" ref="CD69" si="825">SUM(CA66:CD66)</f>
        <v>-6.283805558255283</v>
      </c>
      <c r="CE69" s="3">
        <f t="shared" ref="CE69" si="826">SUM(CB66:CE66)</f>
        <v>-6.3974669169740102</v>
      </c>
      <c r="CF69" s="3">
        <f t="shared" ref="CF69" si="827">SUM(CC66:CF66)</f>
        <v>-6.5005908139933402</v>
      </c>
      <c r="CG69" s="3">
        <f t="shared" ref="CG69" si="828">SUM(CD66:CG66)</f>
        <v>-6.538546137201843</v>
      </c>
      <c r="CH69" s="3">
        <f t="shared" ref="CH69:CL69" si="829">SUM(CE66:CH66)</f>
        <v>-6.5236095410065831</v>
      </c>
      <c r="CI69" s="3">
        <f t="shared" si="829"/>
        <v>-6.5122536356800502</v>
      </c>
      <c r="CJ69" s="3">
        <f t="shared" si="829"/>
        <v>-6.4633004762318862</v>
      </c>
      <c r="CK69" s="3">
        <f t="shared" si="829"/>
        <v>-5.6002005186886485</v>
      </c>
      <c r="CL69" s="3">
        <f t="shared" si="829"/>
        <v>-4.4515660407278013</v>
      </c>
      <c r="CM69" s="37">
        <f t="shared" ref="CM69" si="830">SUM(CJ66:CM66)</f>
        <v>-3.3821007633847446</v>
      </c>
      <c r="CN69" s="37">
        <f t="shared" ref="CN69" si="831">SUM(CK66:CN66)</f>
        <v>-2.2970935523161327</v>
      </c>
      <c r="CO69" s="37">
        <f t="shared" ref="CO69" si="832">SUM(CL66:CO66)</f>
        <v>-2.049820374376004</v>
      </c>
      <c r="CP69" s="37">
        <f t="shared" ref="CP69" si="833">SUM(CM66:CP66)</f>
        <v>-2.1343735017664711</v>
      </c>
      <c r="CQ69" s="37">
        <f t="shared" ref="CQ69" si="834">SUM(CN66:CQ66)</f>
        <v>-2.1783139119932104</v>
      </c>
      <c r="CR69" s="37">
        <f t="shared" ref="CR69" si="835">SUM(CO66:CR66)</f>
        <v>-2.2280224489710676</v>
      </c>
      <c r="CS69" s="37">
        <f t="shared" ref="CS69" si="836">SUM(CP66:CS66)</f>
        <v>-2.2980786808502063</v>
      </c>
      <c r="CT69" s="37">
        <f t="shared" ref="CT69" si="837">SUM(CQ66:CT66)</f>
        <v>-2.360242057459419</v>
      </c>
      <c r="CU69" s="37">
        <f t="shared" ref="CU69" si="838">SUM(CR66:CU66)</f>
        <v>-2.4134360960866288</v>
      </c>
      <c r="CV69" s="37">
        <f t="shared" ref="CV69" si="839">SUM(CS66:CV66)</f>
        <v>-2.4709007064860575</v>
      </c>
      <c r="CW69" s="37">
        <f t="shared" ref="CW69" si="840">SUM(CT66:CW66)</f>
        <v>-2.5347044593929517</v>
      </c>
      <c r="CX69" s="37">
        <f t="shared" ref="CX69" si="841">SUM(CU66:CX66)</f>
        <v>-2.5993775811742217</v>
      </c>
      <c r="CY69" s="37">
        <f t="shared" ref="CY69" si="842">SUM(CV66:CY66)</f>
        <v>-2.6559813967836434</v>
      </c>
      <c r="CZ69" s="37">
        <f t="shared" ref="CZ69" si="843">SUM(CW66:CZ66)</f>
        <v>-2.7153745808114156</v>
      </c>
      <c r="DA69" s="37">
        <f t="shared" ref="DA69" si="844">SUM(CX66:DA66)</f>
        <v>-2.7793167263096432</v>
      </c>
      <c r="DB69" s="37">
        <f t="shared" ref="DB69" si="845">SUM(CY66:DB66)</f>
        <v>-2.845342332283975</v>
      </c>
      <c r="DE69" s="134"/>
      <c r="DF69" s="3">
        <v>-4.4515660407278013</v>
      </c>
    </row>
    <row r="70" spans="1:110" s="97" customFormat="1" x14ac:dyDescent="0.2">
      <c r="A70" s="97" t="s">
        <v>425</v>
      </c>
      <c r="C70" s="101">
        <f t="shared" ref="C70:AA70" si="846">+C69/B69-1</f>
        <v>-0.28881541766279639</v>
      </c>
      <c r="D70" s="101">
        <f t="shared" si="846"/>
        <v>0.38056434776752623</v>
      </c>
      <c r="E70" s="101">
        <f t="shared" ca="1" si="846"/>
        <v>-5.4324833538422768E-2</v>
      </c>
      <c r="F70" s="101">
        <f t="shared" ca="1" si="846"/>
        <v>0.95735686739839809</v>
      </c>
      <c r="G70" s="101">
        <f t="shared" ca="1" si="846"/>
        <v>-6.4505740158375291E-2</v>
      </c>
      <c r="H70" s="101">
        <f t="shared" ca="1" si="846"/>
        <v>-0.35989550636884693</v>
      </c>
      <c r="I70" s="101">
        <f t="shared" ca="1" si="846"/>
        <v>-0.60220190452086408</v>
      </c>
      <c r="J70" s="101">
        <f t="shared" ca="1" si="846"/>
        <v>0.35151900747574616</v>
      </c>
      <c r="K70" s="101">
        <f t="shared" ca="1" si="846"/>
        <v>0.87124867600329381</v>
      </c>
      <c r="L70" s="101">
        <f t="shared" ca="1" si="846"/>
        <v>-1.2522955974842773</v>
      </c>
      <c r="M70" s="101">
        <f t="shared" ca="1" si="846"/>
        <v>-7.4508288670073304</v>
      </c>
      <c r="N70" s="101">
        <f t="shared" ca="1" si="846"/>
        <v>0.27286252535986866</v>
      </c>
      <c r="O70" s="101">
        <f t="shared" ca="1" si="846"/>
        <v>-0.14980949344991401</v>
      </c>
      <c r="P70" s="101">
        <f t="shared" ca="1" si="846"/>
        <v>9.8503785173547298E-2</v>
      </c>
      <c r="Q70" s="101">
        <f t="shared" ca="1" si="846"/>
        <v>-0.41757009345794505</v>
      </c>
      <c r="R70" s="101">
        <f t="shared" ca="1" si="846"/>
        <v>2.9003460400736785</v>
      </c>
      <c r="S70" s="101">
        <f t="shared" ca="1" si="846"/>
        <v>0.35965370443244016</v>
      </c>
      <c r="T70" s="101">
        <f t="shared" ca="1" si="846"/>
        <v>-0.47445167129746557</v>
      </c>
      <c r="U70" s="101">
        <f t="shared" ca="1" si="846"/>
        <v>0.28548827988104652</v>
      </c>
      <c r="V70" s="101">
        <f t="shared" ca="1" si="846"/>
        <v>-5.2148648964426614E-2</v>
      </c>
      <c r="W70" s="101">
        <f t="shared" ca="1" si="846"/>
        <v>-1.5449345868122633E-3</v>
      </c>
      <c r="X70" s="101">
        <f t="shared" ca="1" si="846"/>
        <v>-6.2181069958847979E-2</v>
      </c>
      <c r="Y70" s="101">
        <f t="shared" ca="1" si="846"/>
        <v>7.8099082890868532E-2</v>
      </c>
      <c r="Z70" s="101">
        <f t="shared" ca="1" si="846"/>
        <v>3.8162222005144963E-2</v>
      </c>
      <c r="AA70" s="101">
        <f t="shared" ca="1" si="846"/>
        <v>3.8162222005144963E-2</v>
      </c>
      <c r="AB70" s="174">
        <f t="shared" ref="AB70" ca="1" si="847">+AB69/AA69-1</f>
        <v>-0.5205342384592555</v>
      </c>
      <c r="AC70" s="174">
        <f t="shared" ref="AC70" ca="1" si="848">+AC69/AB69-1</f>
        <v>0.1058242877856248</v>
      </c>
      <c r="AD70" s="174">
        <f t="shared" ref="AD70" ca="1" si="849">+AD69/AC69-1</f>
        <v>0.10131821986606337</v>
      </c>
      <c r="AE70" s="174">
        <f t="shared" ref="AE70" ca="1" si="850">+AE69/AD69-1</f>
        <v>9.4624479679725093E-2</v>
      </c>
      <c r="AL70" s="176"/>
      <c r="AM70" s="176"/>
      <c r="AN70" s="176"/>
      <c r="AO70" s="176"/>
      <c r="AP70" s="176">
        <f t="shared" ref="AP70:CL70" si="851">+IF(AL69&lt;0,1-AP69/AL69,AP69/AL69-1)</f>
        <v>0.14978140749286506</v>
      </c>
      <c r="AQ70" s="176">
        <f t="shared" si="851"/>
        <v>0.10735324804571467</v>
      </c>
      <c r="AR70" s="176">
        <f t="shared" si="851"/>
        <v>8.9742105176092712E-2</v>
      </c>
      <c r="AS70" s="176">
        <f t="shared" si="851"/>
        <v>1.3127317237588976E-3</v>
      </c>
      <c r="AT70" s="176">
        <f t="shared" si="851"/>
        <v>-9.8466317913192158E-2</v>
      </c>
      <c r="AU70" s="176">
        <f t="shared" si="851"/>
        <v>-3.5514556472640013E-2</v>
      </c>
      <c r="AV70" s="176">
        <f t="shared" si="851"/>
        <v>-7.618216842946901E-2</v>
      </c>
      <c r="AW70" s="176">
        <f t="shared" si="851"/>
        <v>0.11140913370161842</v>
      </c>
      <c r="AX70" s="176">
        <f t="shared" si="851"/>
        <v>0.41754437292763813</v>
      </c>
      <c r="AY70" s="176">
        <f t="shared" si="851"/>
        <v>0.33509880873823517</v>
      </c>
      <c r="AZ70" s="176">
        <f t="shared" si="851"/>
        <v>-0.14039650106386592</v>
      </c>
      <c r="BA70" s="176">
        <f t="shared" si="851"/>
        <v>-1.0248275862068965</v>
      </c>
      <c r="BB70" s="176">
        <f t="shared" si="851"/>
        <v>-2.9003488209850716</v>
      </c>
      <c r="BC70" s="176">
        <f t="shared" si="851"/>
        <v>-3.6254799028441598</v>
      </c>
      <c r="BD70" s="176">
        <f t="shared" si="851"/>
        <v>-1.6544453000059227</v>
      </c>
      <c r="BE70" s="176">
        <f t="shared" si="851"/>
        <v>-0.74046321525885483</v>
      </c>
      <c r="BF70" s="176">
        <f t="shared" si="851"/>
        <v>-0.35961479297984478</v>
      </c>
      <c r="BG70" s="176">
        <f t="shared" si="851"/>
        <v>-6.7587024646391658E-3</v>
      </c>
      <c r="BH70" s="176">
        <f t="shared" si="851"/>
        <v>7.7725092045074051E-2</v>
      </c>
      <c r="BI70" s="176">
        <f t="shared" si="851"/>
        <v>8.5589494880739414E-2</v>
      </c>
      <c r="BJ70" s="176">
        <f t="shared" si="851"/>
        <v>0.47445167129746557</v>
      </c>
      <c r="BK70" s="176">
        <f t="shared" si="851"/>
        <v>0.41355677446130701</v>
      </c>
      <c r="BL70" s="176">
        <f t="shared" si="851"/>
        <v>0.3975938594421965</v>
      </c>
      <c r="BM70" s="176">
        <f t="shared" si="851"/>
        <v>0.42740964976489715</v>
      </c>
      <c r="BN70" s="176">
        <f t="shared" si="851"/>
        <v>-0.28548827988104652</v>
      </c>
      <c r="BO70" s="176">
        <f t="shared" si="851"/>
        <v>-0.1239623579817144</v>
      </c>
      <c r="BP70" s="176">
        <f t="shared" si="851"/>
        <v>-0.19804405887904908</v>
      </c>
      <c r="BQ70" s="176">
        <f t="shared" si="851"/>
        <v>-0.32185688749255226</v>
      </c>
      <c r="BR70" s="176">
        <f t="shared" si="851"/>
        <v>5.2148648964426725E-2</v>
      </c>
      <c r="BS70" s="176">
        <f t="shared" si="851"/>
        <v>-4.8993414223235998E-2</v>
      </c>
      <c r="BT70" s="176">
        <f t="shared" si="851"/>
        <v>-2.1069746391994659E-2</v>
      </c>
      <c r="BU70" s="176">
        <f t="shared" si="851"/>
        <v>-2.0735325454455111E-3</v>
      </c>
      <c r="BV70" s="176">
        <f t="shared" si="851"/>
        <v>1.5449345868120412E-3</v>
      </c>
      <c r="BW70" s="176">
        <f t="shared" si="851"/>
        <v>3.3410661561922073E-2</v>
      </c>
      <c r="BX70" s="176">
        <f t="shared" si="851"/>
        <v>4.3346575612318694E-2</v>
      </c>
      <c r="BY70" s="176">
        <f t="shared" si="851"/>
        <v>6.5160672953454402E-2</v>
      </c>
      <c r="BZ70" s="176">
        <f t="shared" si="851"/>
        <v>6.2181069958847868E-2</v>
      </c>
      <c r="CA70" s="176">
        <f t="shared" si="851"/>
        <v>3.8702639197751076E-2</v>
      </c>
      <c r="CB70" s="176">
        <f t="shared" si="851"/>
        <v>-2.3680620500898808E-3</v>
      </c>
      <c r="CC70" s="176">
        <f t="shared" si="851"/>
        <v>-4.6517935258092891E-2</v>
      </c>
      <c r="CD70" s="176">
        <f t="shared" si="851"/>
        <v>-7.8099082890868532E-2</v>
      </c>
      <c r="CE70" s="176">
        <f t="shared" si="851"/>
        <v>-9.1774113292537152E-2</v>
      </c>
      <c r="CF70" s="176">
        <f t="shared" si="851"/>
        <v>-8.7779366071199405E-2</v>
      </c>
      <c r="CG70" s="176">
        <f t="shared" si="851"/>
        <v>-6.8610648988019829E-2</v>
      </c>
      <c r="CH70" s="176">
        <f t="shared" si="851"/>
        <v>-3.8162222005144741E-2</v>
      </c>
      <c r="CI70" s="176">
        <f t="shared" si="851"/>
        <v>-1.7942526346089283E-2</v>
      </c>
      <c r="CJ70" s="176">
        <f t="shared" si="851"/>
        <v>5.7364536283658341E-3</v>
      </c>
      <c r="CK70" s="176">
        <f t="shared" si="851"/>
        <v>0.14350982601076478</v>
      </c>
      <c r="CL70" s="176">
        <f t="shared" si="851"/>
        <v>0.31762224382899973</v>
      </c>
      <c r="CM70" s="102">
        <f t="shared" ref="CM70:DB70" si="852">+IF(CI69&lt;0,1-CM69/CI69,CM69/CI69-1)</f>
        <v>0.48065586007668382</v>
      </c>
      <c r="CN70" s="102">
        <f t="shared" si="852"/>
        <v>0.64459434297330676</v>
      </c>
      <c r="CO70" s="102">
        <f t="shared" si="852"/>
        <v>0.63397375370123477</v>
      </c>
      <c r="CP70" s="102">
        <f t="shared" si="852"/>
        <v>0.52053423845925573</v>
      </c>
      <c r="CQ70" s="102">
        <f t="shared" si="852"/>
        <v>0.35592873648944934</v>
      </c>
      <c r="CR70" s="102">
        <f t="shared" si="852"/>
        <v>3.0068911766968021E-2</v>
      </c>
      <c r="CS70" s="102">
        <f t="shared" si="852"/>
        <v>-0.12111222504058472</v>
      </c>
      <c r="CT70" s="102">
        <f t="shared" si="852"/>
        <v>-0.10582428778562525</v>
      </c>
      <c r="CU70" s="102">
        <f t="shared" si="852"/>
        <v>-0.10793769566401745</v>
      </c>
      <c r="CV70" s="102">
        <f t="shared" si="852"/>
        <v>-0.1090106868659042</v>
      </c>
      <c r="CW70" s="102">
        <f t="shared" si="852"/>
        <v>-0.10296678721861796</v>
      </c>
      <c r="CX70" s="102">
        <f t="shared" si="852"/>
        <v>-0.10131821986606315</v>
      </c>
      <c r="CY70" s="102">
        <f t="shared" si="852"/>
        <v>-0.10049791709434541</v>
      </c>
      <c r="CZ70" s="102">
        <f t="shared" si="852"/>
        <v>-9.8941197306561035E-2</v>
      </c>
      <c r="DA70" s="102">
        <f t="shared" si="852"/>
        <v>-9.6505241867635538E-2</v>
      </c>
      <c r="DB70" s="102">
        <f t="shared" si="852"/>
        <v>-9.4624479679725093E-2</v>
      </c>
      <c r="DE70" s="135"/>
      <c r="DF70" s="97">
        <v>-0.31762224382899984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55.57</v>
      </c>
      <c r="C73" s="3">
        <f>'Annual Raw'!D112</f>
        <v>55.57</v>
      </c>
      <c r="D73" s="3">
        <f>'Annual Raw'!E112</f>
        <v>70.83</v>
      </c>
      <c r="E73" s="3">
        <f>'Annual Raw'!F112</f>
        <v>70.75</v>
      </c>
      <c r="F73" s="3">
        <f>'Annual Raw'!G112</f>
        <v>66.8</v>
      </c>
      <c r="G73" s="3">
        <f>'Annual Raw'!H112</f>
        <v>65.5</v>
      </c>
      <c r="H73" s="3">
        <f>'Annual Raw'!I112</f>
        <v>68.819999999999993</v>
      </c>
      <c r="I73" s="3">
        <f>'Annual Raw'!J112</f>
        <v>65.77</v>
      </c>
      <c r="J73" s="3">
        <f>'Annual Raw'!K112</f>
        <v>65.64</v>
      </c>
      <c r="K73" s="3">
        <f>'Annual Raw'!L112</f>
        <v>77.72</v>
      </c>
      <c r="L73" s="3">
        <f>'Annual Raw'!M112</f>
        <v>77.72</v>
      </c>
      <c r="M73" s="3">
        <f>'Annual Raw'!N112</f>
        <v>77.72</v>
      </c>
      <c r="N73" s="3">
        <f>'Annual Raw'!O112</f>
        <v>77.72</v>
      </c>
      <c r="O73" s="3">
        <f>'Annual Raw'!P112</f>
        <v>74.900000000000006</v>
      </c>
      <c r="P73" s="3">
        <f>'Annual Raw'!Q112</f>
        <v>74.900000000000006</v>
      </c>
      <c r="Q73" s="3">
        <f>'Annual Raw'!R112</f>
        <v>74.900000000000006</v>
      </c>
      <c r="R73" s="3">
        <f>'Annual Raw'!S112</f>
        <v>74.86</v>
      </c>
      <c r="S73" s="3">
        <f>'Annual Raw'!T112</f>
        <v>74.36</v>
      </c>
      <c r="T73" s="3">
        <f>'Annual Raw'!U112</f>
        <v>74.36</v>
      </c>
      <c r="U73" s="3">
        <f>'Annual Raw'!V112</f>
        <v>74.36</v>
      </c>
      <c r="V73" s="3">
        <f>'Annual Raw'!W112</f>
        <v>74.36</v>
      </c>
      <c r="W73" s="3">
        <f>'Annual Raw'!X112</f>
        <v>74.36</v>
      </c>
      <c r="X73" s="3">
        <f>'Annual Raw'!Y112</f>
        <v>74.36</v>
      </c>
      <c r="Y73" s="3">
        <f>'Annual Raw'!Z112</f>
        <v>74.36</v>
      </c>
      <c r="Z73" s="3">
        <f>'Annual Raw'!AA112</f>
        <v>74.36</v>
      </c>
      <c r="AA73" s="3">
        <f>'Annual Raw'!AB112</f>
        <v>74.36</v>
      </c>
      <c r="AB73" s="37"/>
      <c r="AC73" s="37"/>
      <c r="AD73" s="37"/>
      <c r="AE73" s="37"/>
      <c r="AI73" s="3">
        <f>'QTR Raw'!C49</f>
        <v>77.72</v>
      </c>
      <c r="AJ73" s="3">
        <f>'QTR Raw'!D49</f>
        <v>77.72</v>
      </c>
      <c r="AK73" s="3">
        <f>'QTR Raw'!E49</f>
        <v>77.72</v>
      </c>
      <c r="AL73" s="3">
        <f>'QTR Raw'!F49</f>
        <v>77.72</v>
      </c>
      <c r="AM73" s="3">
        <f>'QTR Raw'!G49</f>
        <v>77.209999999999994</v>
      </c>
      <c r="AN73" s="3">
        <f>'QTR Raw'!H49</f>
        <v>74.900000000000006</v>
      </c>
      <c r="AO73" s="3">
        <f>'QTR Raw'!I49</f>
        <v>74.900000000000006</v>
      </c>
      <c r="AP73" s="3">
        <f>'QTR Raw'!J49</f>
        <v>74.900000000000006</v>
      </c>
      <c r="AQ73" s="3">
        <f>'QTR Raw'!K49</f>
        <v>74.900000000000006</v>
      </c>
      <c r="AR73" s="3">
        <f>'QTR Raw'!L49</f>
        <v>74.900000000000006</v>
      </c>
      <c r="AS73" s="3">
        <f>'QTR Raw'!M49</f>
        <v>74.900000000000006</v>
      </c>
      <c r="AT73" s="3">
        <f>'QTR Raw'!N49</f>
        <v>74.900000000000006</v>
      </c>
      <c r="AU73" s="3">
        <f>'QTR Raw'!O49</f>
        <v>74.900000000000006</v>
      </c>
      <c r="AV73" s="3">
        <f>'QTR Raw'!P49</f>
        <v>74.900000000000006</v>
      </c>
      <c r="AW73" s="3">
        <f>'QTR Raw'!Q49</f>
        <v>74.900000000000006</v>
      </c>
      <c r="AX73" s="3">
        <f>'QTR Raw'!R49</f>
        <v>74.900000000000006</v>
      </c>
      <c r="AY73" s="3">
        <f>'QTR Raw'!S49</f>
        <v>74.900000000000006</v>
      </c>
      <c r="AZ73" s="3">
        <f>'QTR Raw'!T49</f>
        <v>74.900000000000006</v>
      </c>
      <c r="BA73" s="3">
        <f>'QTR Raw'!U49</f>
        <v>74.900000000000006</v>
      </c>
      <c r="BB73" s="3">
        <f>'QTR Raw'!V49</f>
        <v>74.86</v>
      </c>
      <c r="BC73" s="3">
        <f>'QTR Raw'!W49</f>
        <v>74.36</v>
      </c>
      <c r="BD73" s="3">
        <f>'QTR Raw'!X49</f>
        <v>74.36</v>
      </c>
      <c r="BE73" s="3">
        <f>'QTR Raw'!Y49</f>
        <v>74.36</v>
      </c>
      <c r="BF73" s="3">
        <f>'QTR Raw'!Z49</f>
        <v>74.36</v>
      </c>
      <c r="BG73" s="3">
        <f>'QTR Raw'!AA49</f>
        <v>74.36</v>
      </c>
      <c r="BH73" s="3">
        <f>'QTR Raw'!AB49</f>
        <v>74.36</v>
      </c>
      <c r="BI73" s="3">
        <f>'QTR Raw'!AC49</f>
        <v>74.36</v>
      </c>
      <c r="BJ73" s="3">
        <f>'QTR Raw'!AD49</f>
        <v>74.36</v>
      </c>
      <c r="BK73" s="3">
        <f>'QTR Raw'!AE49</f>
        <v>74.36</v>
      </c>
      <c r="BL73" s="3">
        <f>'QTR Raw'!AF49</f>
        <v>74.36</v>
      </c>
      <c r="BM73" s="3">
        <f>'QTR Raw'!AG49</f>
        <v>74.36</v>
      </c>
      <c r="BN73" s="3">
        <f>'QTR Raw'!AH49</f>
        <v>74.36</v>
      </c>
      <c r="BO73" s="3">
        <f>'QTR Raw'!AI49</f>
        <v>74.36</v>
      </c>
      <c r="BP73" s="3">
        <f>'QTR Raw'!AJ49</f>
        <v>74.36</v>
      </c>
      <c r="BQ73" s="3">
        <f>'QTR Raw'!AK49</f>
        <v>74.36</v>
      </c>
      <c r="BR73" s="3">
        <f>'QTR Raw'!AL49</f>
        <v>74.36</v>
      </c>
      <c r="BS73" s="3">
        <f>'QTR Raw'!AM49</f>
        <v>74.36</v>
      </c>
      <c r="BT73" s="3">
        <f>'QTR Raw'!AN49</f>
        <v>74.36</v>
      </c>
      <c r="BU73" s="3">
        <f>'QTR Raw'!AO49</f>
        <v>74.36</v>
      </c>
      <c r="BV73" s="3">
        <f>'QTR Raw'!AP49</f>
        <v>74.36</v>
      </c>
      <c r="BW73" s="3">
        <f>'QTR Raw'!AQ49</f>
        <v>74.36</v>
      </c>
      <c r="BX73" s="3">
        <f>'QTR Raw'!AR49</f>
        <v>74.36</v>
      </c>
      <c r="BY73" s="3">
        <f>'QTR Raw'!AS49</f>
        <v>74.36</v>
      </c>
      <c r="BZ73" s="3">
        <f>'QTR Raw'!AT49</f>
        <v>74.36</v>
      </c>
      <c r="CA73" s="3">
        <f>'QTR Raw'!AU49</f>
        <v>74.36</v>
      </c>
      <c r="CB73" s="3">
        <f>'QTR Raw'!AV49</f>
        <v>74.36</v>
      </c>
      <c r="CC73" s="3">
        <f>'QTR Raw'!AW49</f>
        <v>74.36</v>
      </c>
      <c r="CD73" s="3">
        <f>'QTR Raw'!AX49</f>
        <v>74.36</v>
      </c>
      <c r="CE73" s="3">
        <f>'QTR Raw'!AY49</f>
        <v>74.36</v>
      </c>
      <c r="CF73" s="3">
        <f>'QTR Raw'!AZ49</f>
        <v>74.36</v>
      </c>
      <c r="CG73" s="3">
        <f>'QTR Raw'!BA49</f>
        <v>74.36</v>
      </c>
      <c r="CH73" s="3">
        <f>'QTR Raw'!BB49</f>
        <v>74.36</v>
      </c>
      <c r="CI73" s="3">
        <f>'QTR Raw'!BC49</f>
        <v>74.36</v>
      </c>
      <c r="CJ73" s="3">
        <f>'QTR Raw'!BD49</f>
        <v>74.36</v>
      </c>
      <c r="CK73" s="3">
        <f>'QTR Raw'!BE49</f>
        <v>74.36</v>
      </c>
      <c r="CL73" s="3">
        <f>'QTR Raw'!BF49</f>
        <v>74.36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75.709999999999994</v>
      </c>
      <c r="K74" s="3">
        <f>'Annual Raw'!L113</f>
        <v>33.450000000000003</v>
      </c>
      <c r="L74" s="3">
        <f>'Annual Raw'!M113</f>
        <v>33.450000000000003</v>
      </c>
      <c r="M74" s="3">
        <f>'Annual Raw'!N113</f>
        <v>33.450000000000003</v>
      </c>
      <c r="N74" s="3">
        <f>'Annual Raw'!O113</f>
        <v>33.450000000000003</v>
      </c>
      <c r="O74" s="3">
        <f>'Annual Raw'!P113</f>
        <v>34.71</v>
      </c>
      <c r="P74" s="3">
        <f>'Annual Raw'!Q113</f>
        <v>34.71</v>
      </c>
      <c r="Q74" s="3">
        <f>'Annual Raw'!R113</f>
        <v>34.71</v>
      </c>
      <c r="R74" s="3">
        <f>'Annual Raw'!S113</f>
        <v>34.729999999999997</v>
      </c>
      <c r="S74" s="3">
        <f>'Annual Raw'!T113</f>
        <v>34.97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33.450000000000003</v>
      </c>
      <c r="AJ74" s="3">
        <f>'QTR Raw'!D50</f>
        <v>33.450000000000003</v>
      </c>
      <c r="AK74" s="3">
        <f>'QTR Raw'!E50</f>
        <v>33.450000000000003</v>
      </c>
      <c r="AL74" s="3">
        <f>'QTR Raw'!F50</f>
        <v>33.450000000000003</v>
      </c>
      <c r="AM74" s="3">
        <f>'QTR Raw'!G50</f>
        <v>33.67</v>
      </c>
      <c r="AN74" s="3">
        <f>'QTR Raw'!H50</f>
        <v>34.71</v>
      </c>
      <c r="AO74" s="3">
        <f>'QTR Raw'!I50</f>
        <v>34.71</v>
      </c>
      <c r="AP74" s="3">
        <f>'QTR Raw'!J50</f>
        <v>34.71</v>
      </c>
      <c r="AQ74" s="3">
        <f>'QTR Raw'!K50</f>
        <v>34.71</v>
      </c>
      <c r="AR74" s="3">
        <f>'QTR Raw'!L50</f>
        <v>34.71</v>
      </c>
      <c r="AS74" s="3">
        <f>'QTR Raw'!M50</f>
        <v>34.71</v>
      </c>
      <c r="AT74" s="3">
        <f>'QTR Raw'!N50</f>
        <v>34.71</v>
      </c>
      <c r="AU74" s="3">
        <f>'QTR Raw'!O50</f>
        <v>34.71</v>
      </c>
      <c r="AV74" s="3">
        <f>'QTR Raw'!P50</f>
        <v>34.71</v>
      </c>
      <c r="AW74" s="3">
        <f>'QTR Raw'!Q50</f>
        <v>34.71</v>
      </c>
      <c r="AX74" s="3">
        <f>'QTR Raw'!R50</f>
        <v>34.71</v>
      </c>
      <c r="AY74" s="3">
        <f>'QTR Raw'!S50</f>
        <v>34.71</v>
      </c>
      <c r="AZ74" s="3">
        <f>'QTR Raw'!T50</f>
        <v>34.71</v>
      </c>
      <c r="BA74" s="3">
        <f>'QTR Raw'!U50</f>
        <v>34.71</v>
      </c>
      <c r="BB74" s="3">
        <f>'QTR Raw'!V50</f>
        <v>34.729999999999997</v>
      </c>
      <c r="BC74" s="3">
        <f>'QTR Raw'!W50</f>
        <v>34.97</v>
      </c>
      <c r="BD74" s="3">
        <f>'QTR Raw'!X50</f>
        <v>34.97</v>
      </c>
      <c r="BE74" s="3">
        <f>'QTR Raw'!Y50</f>
        <v>34.97</v>
      </c>
      <c r="BF74" s="3">
        <f>'QTR Raw'!Z50</f>
        <v>34.97</v>
      </c>
      <c r="BG74" s="3">
        <f>'QTR Raw'!AA50</f>
        <v>34.97</v>
      </c>
      <c r="BH74" s="3">
        <f>'QTR Raw'!AB50</f>
        <v>34.97</v>
      </c>
      <c r="BI74" s="3">
        <f>'QTR Raw'!AC50</f>
        <v>34.97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8.1075585828292596</v>
      </c>
      <c r="C77" s="13">
        <f>'Annual Raw'!D106</f>
        <v>6.67681295056527</v>
      </c>
      <c r="D77" s="13">
        <f>'Annual Raw'!E106</f>
        <v>4.1491623335655596</v>
      </c>
      <c r="E77" s="13">
        <f>'Annual Raw'!F106</f>
        <v>15.4520528284511</v>
      </c>
      <c r="F77" s="13">
        <f>'Annual Raw'!G106</f>
        <v>24.2749842274123</v>
      </c>
      <c r="G77" s="13">
        <f>'Annual Raw'!H106</f>
        <v>22.653472510846498</v>
      </c>
      <c r="H77" s="13">
        <f>'Annual Raw'!I106</f>
        <v>20.4854368932039</v>
      </c>
      <c r="I77" s="13">
        <f>'Annual Raw'!J106</f>
        <v>27.2815533980583</v>
      </c>
      <c r="J77" s="13">
        <f>'Annual Raw'!K106</f>
        <v>22.135922330097099</v>
      </c>
      <c r="K77" s="13">
        <f>'Annual Raw'!L106</f>
        <v>22.961165048543702</v>
      </c>
      <c r="L77" s="13">
        <f>'Annual Raw'!M106</f>
        <v>16.601941747572798</v>
      </c>
      <c r="M77" s="13">
        <f>'Annual Raw'!N106</f>
        <v>14.2718446601942</v>
      </c>
      <c r="N77" s="13">
        <f>'Annual Raw'!O106</f>
        <v>7.6699029126213603</v>
      </c>
      <c r="O77" s="13">
        <f>'Annual Raw'!P106</f>
        <v>7.41</v>
      </c>
      <c r="P77" s="13">
        <f>'Annual Raw'!Q106</f>
        <v>7.9</v>
      </c>
      <c r="Q77" s="13">
        <f>'Annual Raw'!R106</f>
        <v>6.63</v>
      </c>
      <c r="R77" s="13">
        <f>'Annual Raw'!S106</f>
        <v>7.2</v>
      </c>
      <c r="S77" s="13">
        <f>'Annual Raw'!T106</f>
        <v>5.51</v>
      </c>
      <c r="T77" s="13">
        <f>'Annual Raw'!U106</f>
        <v>3.07</v>
      </c>
      <c r="U77" s="13">
        <f>'Annual Raw'!V106</f>
        <v>1.8</v>
      </c>
      <c r="V77" s="13">
        <f>'Annual Raw'!W106</f>
        <v>14.1</v>
      </c>
      <c r="W77" s="13">
        <f>'Annual Raw'!X106</f>
        <v>166.85</v>
      </c>
      <c r="X77" s="13">
        <f>'Annual Raw'!Y106</f>
        <v>55.49</v>
      </c>
      <c r="Y77" s="13">
        <f>'Annual Raw'!Z106</f>
        <v>73.959999999999994</v>
      </c>
      <c r="Z77" s="13">
        <f>'Annual Raw'!AA106</f>
        <v>56.33</v>
      </c>
      <c r="AA77" s="13">
        <f>'Annual Raw'!AB106</f>
        <v>31.29</v>
      </c>
      <c r="AB77" s="37">
        <f>+CP77</f>
        <v>31.29</v>
      </c>
      <c r="AC77" s="37">
        <f>+CT77</f>
        <v>31.29</v>
      </c>
      <c r="AD77" s="37">
        <f>+CX77</f>
        <v>31.29</v>
      </c>
      <c r="AE77" s="37">
        <f>+DB77</f>
        <v>31.29</v>
      </c>
      <c r="AJ77" s="13">
        <f>'QTR Share Price'!HP21</f>
        <v>11.4757281553398</v>
      </c>
      <c r="AK77" s="13">
        <f>'QTR Share Price'!HQ21</f>
        <v>11.631067961165</v>
      </c>
      <c r="AL77" s="13">
        <f>'QTR Share Price'!HR21</f>
        <v>7.6699029126213603</v>
      </c>
      <c r="AM77" s="13">
        <f>'QTR Share Price'!HS21</f>
        <v>6.13592233009709</v>
      </c>
      <c r="AN77" s="13">
        <f>'QTR Share Price'!HT21</f>
        <v>6.84</v>
      </c>
      <c r="AO77" s="13">
        <f>'QTR Share Price'!HU21</f>
        <v>7.41</v>
      </c>
      <c r="AP77" s="13">
        <f>'QTR Share Price'!HV21</f>
        <v>7.41</v>
      </c>
      <c r="AQ77" s="13">
        <f>'QTR Share Price'!HW21</f>
        <v>11.89</v>
      </c>
      <c r="AR77" s="13">
        <f>'QTR Share Price'!HX21</f>
        <v>10.050000000000001</v>
      </c>
      <c r="AS77" s="13">
        <f>'QTR Share Price'!HY21</f>
        <v>7.6</v>
      </c>
      <c r="AT77" s="13">
        <f>'QTR Share Price'!HZ21</f>
        <v>7.9</v>
      </c>
      <c r="AU77" s="13">
        <f>'QTR Share Price'!IA21</f>
        <v>6.63</v>
      </c>
      <c r="AV77" s="13">
        <f>'QTR Share Price'!IB21</f>
        <v>6.19</v>
      </c>
      <c r="AW77" s="13">
        <f>'QTR Share Price'!IC21</f>
        <v>8.1999999999999993</v>
      </c>
      <c r="AX77" s="13">
        <f>'QTR Share Price'!ID21</f>
        <v>6.63</v>
      </c>
      <c r="AY77" s="13">
        <f>'QTR Share Price'!IE21</f>
        <v>6.93</v>
      </c>
      <c r="AZ77" s="13">
        <f>'QTR Share Price'!IF21</f>
        <v>5.64</v>
      </c>
      <c r="BA77" s="13">
        <f>'QTR Share Price'!IG21</f>
        <v>6.02</v>
      </c>
      <c r="BB77" s="13">
        <f>'QTR Share Price'!IH21</f>
        <v>7.2</v>
      </c>
      <c r="BC77" s="13">
        <f>'QTR Share Price'!II21</f>
        <v>6.85</v>
      </c>
      <c r="BD77" s="13">
        <f>'QTR Share Price'!IJ21</f>
        <v>5.96</v>
      </c>
      <c r="BE77" s="13">
        <f>'QTR Share Price'!IK21</f>
        <v>7.06</v>
      </c>
      <c r="BF77" s="13">
        <f>'QTR Share Price'!IL21</f>
        <v>5.51</v>
      </c>
      <c r="BG77" s="13">
        <f>'QTR Share Price'!IM21</f>
        <v>4.57</v>
      </c>
      <c r="BH77" s="13">
        <f>'QTR Share Price'!IN21</f>
        <v>4.34</v>
      </c>
      <c r="BI77" s="13">
        <f>'QTR Share Price'!IO21</f>
        <v>4</v>
      </c>
      <c r="BJ77" s="13">
        <f>'QTR Share Price'!IP21</f>
        <v>3.07</v>
      </c>
      <c r="BK77" s="13">
        <f>'QTR Share Price'!IQ21</f>
        <v>3.69</v>
      </c>
      <c r="BL77" s="13">
        <f>'QTR Share Price'!IR21</f>
        <v>2.82</v>
      </c>
      <c r="BM77" s="13">
        <f>'QTR Share Price'!IS21</f>
        <v>2.25</v>
      </c>
      <c r="BN77" s="13">
        <f>'QTR Share Price'!IT21</f>
        <v>1.8</v>
      </c>
      <c r="BO77" s="13">
        <f>'QTR Share Price'!IU21</f>
        <v>3.97</v>
      </c>
      <c r="BP77" s="13">
        <f>'QTR Share Price'!IV21</f>
        <v>2.93</v>
      </c>
      <c r="BQ77" s="13">
        <f>'QTR Share Price'!IW21</f>
        <v>7.97</v>
      </c>
      <c r="BR77" s="13">
        <f>'QTR Share Price'!IX21</f>
        <v>14.1</v>
      </c>
      <c r="BS77" s="13">
        <f>'QTR Share Price'!IY21</f>
        <v>45.4</v>
      </c>
      <c r="BT77" s="13">
        <f>'QTR Share Price'!IZ21</f>
        <v>35.4</v>
      </c>
      <c r="BU77" s="13">
        <f>'QTR Share Price'!JA21</f>
        <v>206.95</v>
      </c>
      <c r="BV77" s="13">
        <f>'QTR Share Price'!JB21</f>
        <v>166.85</v>
      </c>
      <c r="BW77" s="13">
        <f>'QTR Share Price'!JC21</f>
        <v>121.1</v>
      </c>
      <c r="BX77" s="13">
        <f>'QTR Share Price'!JD21</f>
        <v>103.45</v>
      </c>
      <c r="BY77" s="13">
        <f>'QTR Share Price'!JE21</f>
        <v>92.7</v>
      </c>
      <c r="BZ77" s="13">
        <f>'QTR Share Price'!JF21</f>
        <v>55.49</v>
      </c>
      <c r="CA77" s="13">
        <f>'QTR Share Price'!JG21</f>
        <v>71.150000000000006</v>
      </c>
      <c r="CB77" s="13">
        <f>'QTR Share Price'!JH21</f>
        <v>99.43</v>
      </c>
      <c r="CC77" s="13">
        <f>'QTR Share Price'!JI21</f>
        <v>91.72</v>
      </c>
      <c r="CD77" s="13">
        <f>'QTR Share Price'!JJ21</f>
        <v>73.959999999999994</v>
      </c>
      <c r="CE77" s="13">
        <f>'QTR Share Price'!JK21</f>
        <v>77.73</v>
      </c>
      <c r="CF77" s="13">
        <f>'QTR Share Price'!JL21</f>
        <v>84.41</v>
      </c>
      <c r="CG77" s="13">
        <f>'QTR Share Price'!JM21</f>
        <v>75.489999999999995</v>
      </c>
      <c r="CH77" s="13">
        <f>'QTR Share Price'!JN21</f>
        <v>56.33</v>
      </c>
      <c r="CI77" s="13">
        <f>'QTR Share Price'!JO21</f>
        <v>66.19</v>
      </c>
      <c r="CJ77" s="13">
        <f>'QTR Share Price'!JP21</f>
        <v>54.99</v>
      </c>
      <c r="CK77" s="13">
        <f>'QTR Share Price'!JQ21</f>
        <v>49.59</v>
      </c>
      <c r="CL77" s="13">
        <f>'QTR Share Price'!JR21</f>
        <v>31.29</v>
      </c>
      <c r="CM77" s="37">
        <f t="shared" ref="CM77" si="853">+CL77</f>
        <v>31.29</v>
      </c>
      <c r="CN77" s="37">
        <f t="shared" ref="CN77" si="854">+CM77</f>
        <v>31.29</v>
      </c>
      <c r="CO77" s="37">
        <f t="shared" ref="CO77" si="855">+CN77</f>
        <v>31.29</v>
      </c>
      <c r="CP77" s="37">
        <f t="shared" ref="CP77" si="856">+CO77</f>
        <v>31.29</v>
      </c>
      <c r="CQ77" s="37">
        <f t="shared" ref="CQ77" si="857">+CP77</f>
        <v>31.29</v>
      </c>
      <c r="CR77" s="37">
        <f t="shared" ref="CR77" si="858">+CQ77</f>
        <v>31.29</v>
      </c>
      <c r="CS77" s="37">
        <f t="shared" ref="CS77" si="859">+CR77</f>
        <v>31.29</v>
      </c>
      <c r="CT77" s="37">
        <f t="shared" ref="CT77" si="860">+CS77</f>
        <v>31.29</v>
      </c>
      <c r="CU77" s="37">
        <f t="shared" ref="CU77" si="861">+CT77</f>
        <v>31.29</v>
      </c>
      <c r="CV77" s="37">
        <f t="shared" ref="CV77" si="862">+CU77</f>
        <v>31.29</v>
      </c>
      <c r="CW77" s="37">
        <f t="shared" ref="CW77" si="863">+CV77</f>
        <v>31.29</v>
      </c>
      <c r="CX77" s="37">
        <f t="shared" ref="CX77" si="864">+CW77</f>
        <v>31.29</v>
      </c>
      <c r="CY77" s="37">
        <f t="shared" ref="CY77" si="865">+CX77</f>
        <v>31.29</v>
      </c>
      <c r="CZ77" s="37">
        <f t="shared" ref="CZ77" si="866">+CY77</f>
        <v>31.29</v>
      </c>
      <c r="DA77" s="37">
        <f t="shared" ref="DA77" si="867">+CZ77</f>
        <v>31.29</v>
      </c>
      <c r="DB77" s="37">
        <f t="shared" ref="DB77" si="868">+DA77</f>
        <v>31.29</v>
      </c>
      <c r="DE77" s="134"/>
      <c r="DF77" s="13">
        <v>31.29</v>
      </c>
    </row>
    <row r="78" spans="1:110" s="13" customFormat="1" x14ac:dyDescent="0.2">
      <c r="A78" s="13" t="s">
        <v>458</v>
      </c>
      <c r="B78" s="13">
        <f>'Annual Raw'!C107</f>
        <v>11.636731142413799</v>
      </c>
      <c r="C78" s="13">
        <f>'Annual Raw'!D107</f>
        <v>11.4936565791874</v>
      </c>
      <c r="D78" s="13">
        <f>'Annual Raw'!E107</f>
        <v>8.3460161882065904</v>
      </c>
      <c r="E78" s="13">
        <f>'Annual Raw'!F107</f>
        <v>23.511919890204801</v>
      </c>
      <c r="F78" s="13">
        <f>'Annual Raw'!G107</f>
        <v>35.5778747222978</v>
      </c>
      <c r="G78" s="13">
        <f>'Annual Raw'!H107</f>
        <v>32.096393683788797</v>
      </c>
      <c r="H78" s="13">
        <f>'Annual Raw'!I107</f>
        <v>27.378640776699001</v>
      </c>
      <c r="I78" s="13">
        <f>'Annual Raw'!J107</f>
        <v>63.106796116504903</v>
      </c>
      <c r="J78" s="13">
        <f>'Annual Raw'!K107</f>
        <v>37.135922330097102</v>
      </c>
      <c r="K78" s="13">
        <f>'Annual Raw'!L107</f>
        <v>40.582524271844697</v>
      </c>
      <c r="L78" s="13">
        <f>'Annual Raw'!M107</f>
        <v>24.902912621359199</v>
      </c>
      <c r="M78" s="13">
        <f>'Annual Raw'!N107</f>
        <v>22.815533980582501</v>
      </c>
      <c r="N78" s="13">
        <f>'Annual Raw'!O107</f>
        <v>14.5631067961165</v>
      </c>
      <c r="O78" s="13">
        <f>'Annual Raw'!P107</f>
        <v>10.2718446601942</v>
      </c>
      <c r="P78" s="13">
        <f>'Annual Raw'!Q107</f>
        <v>14.05</v>
      </c>
      <c r="Q78" s="13">
        <f>'Annual Raw'!R107</f>
        <v>9.4</v>
      </c>
      <c r="R78" s="13">
        <f>'Annual Raw'!S107</f>
        <v>10.48</v>
      </c>
      <c r="S78" s="13">
        <f>'Annual Raw'!T107</f>
        <v>10.99</v>
      </c>
      <c r="T78" s="13">
        <f>'Annual Raw'!U107</f>
        <v>6.69</v>
      </c>
      <c r="U78" s="13">
        <f>'Annual Raw'!V107</f>
        <v>5.27</v>
      </c>
      <c r="V78" s="13">
        <f>'Annual Raw'!W107</f>
        <v>23.2</v>
      </c>
      <c r="W78" s="13">
        <f>'Annual Raw'!X107</f>
        <v>291.05</v>
      </c>
      <c r="X78" s="13">
        <f>'Annual Raw'!Y107</f>
        <v>210</v>
      </c>
      <c r="Y78" s="13">
        <f>'Annual Raw'!Z107</f>
        <v>109.1</v>
      </c>
      <c r="Z78" s="13">
        <f>'Annual Raw'!AA107</f>
        <v>111.48</v>
      </c>
      <c r="AA78" s="13">
        <f>'Annual Raw'!AB107</f>
        <v>81.16</v>
      </c>
      <c r="AB78" s="37">
        <f>+MAX(CM78:CP78)</f>
        <v>38.101726837689341</v>
      </c>
      <c r="AC78" s="37">
        <f>+MAX(CQ78:CT78)</f>
        <v>26.589774946310307</v>
      </c>
      <c r="AD78" s="37">
        <f>+MAX(CU78:CX78)</f>
        <v>29.283803610509715</v>
      </c>
      <c r="AE78" s="37">
        <f>+MAX(CY78:DB78)</f>
        <v>32.054768290197451</v>
      </c>
      <c r="AJ78" s="13">
        <f>'QTR Share Price'!HP19</f>
        <v>14.3883495145631</v>
      </c>
      <c r="AK78" s="13">
        <f>'QTR Share Price'!HQ19</f>
        <v>13.1650485436893</v>
      </c>
      <c r="AL78" s="13">
        <f>'QTR Share Price'!HR19</f>
        <v>13.0097087378641</v>
      </c>
      <c r="AM78" s="13">
        <f>'QTR Share Price'!HS19</f>
        <v>10.2718446601942</v>
      </c>
      <c r="AN78" s="13">
        <f>'QTR Share Price'!HT19</f>
        <v>7.55339805825243</v>
      </c>
      <c r="AO78" s="13">
        <f>'QTR Share Price'!HU19</f>
        <v>8.48</v>
      </c>
      <c r="AP78" s="13">
        <f>'QTR Share Price'!HV19</f>
        <v>8.77</v>
      </c>
      <c r="AQ78" s="13">
        <f>'QTR Share Price'!HW19</f>
        <v>13.25</v>
      </c>
      <c r="AR78" s="13">
        <f>'QTR Share Price'!HX19</f>
        <v>14.05</v>
      </c>
      <c r="AS78" s="13">
        <f>'QTR Share Price'!HY19</f>
        <v>10.26</v>
      </c>
      <c r="AT78" s="13">
        <f>'QTR Share Price'!HZ19</f>
        <v>11.19</v>
      </c>
      <c r="AU78" s="13">
        <f>'QTR Share Price'!IA19</f>
        <v>8.93</v>
      </c>
      <c r="AV78" s="13">
        <f>'QTR Share Price'!IB19</f>
        <v>8.7799999999999994</v>
      </c>
      <c r="AW78" s="13">
        <f>'QTR Share Price'!IC19</f>
        <v>9.4</v>
      </c>
      <c r="AX78" s="13">
        <f>'QTR Share Price'!ID19</f>
        <v>8.6</v>
      </c>
      <c r="AY78" s="13">
        <f>'QTR Share Price'!IE19</f>
        <v>7.56</v>
      </c>
      <c r="AZ78" s="13">
        <f>'QTR Share Price'!IF19</f>
        <v>7.5</v>
      </c>
      <c r="BA78" s="13">
        <f>'QTR Share Price'!IG19</f>
        <v>8.16</v>
      </c>
      <c r="BB78" s="13">
        <f>'QTR Share Price'!IH19</f>
        <v>10.48</v>
      </c>
      <c r="BC78" s="13">
        <f>'QTR Share Price'!II19</f>
        <v>9.4499999999999993</v>
      </c>
      <c r="BD78" s="13">
        <f>'QTR Share Price'!IJ19</f>
        <v>9.4499999999999993</v>
      </c>
      <c r="BE78" s="13">
        <f>'QTR Share Price'!IK19</f>
        <v>10.99</v>
      </c>
      <c r="BF78" s="13">
        <f>'QTR Share Price'!IL19</f>
        <v>8.01</v>
      </c>
      <c r="BG78" s="13">
        <f>'QTR Share Price'!IM19</f>
        <v>6.69</v>
      </c>
      <c r="BH78" s="13">
        <f>'QTR Share Price'!IN19</f>
        <v>5.87</v>
      </c>
      <c r="BI78" s="13">
        <f>'QTR Share Price'!IO19</f>
        <v>4.62</v>
      </c>
      <c r="BJ78" s="13">
        <f>'QTR Share Price'!IP19</f>
        <v>4.16</v>
      </c>
      <c r="BK78" s="13">
        <f>'QTR Share Price'!IQ19</f>
        <v>5.27</v>
      </c>
      <c r="BL78" s="13">
        <f>'QTR Share Price'!IR19</f>
        <v>4.3600000000000003</v>
      </c>
      <c r="BM78" s="13">
        <f>'QTR Share Price'!IS19</f>
        <v>3.19</v>
      </c>
      <c r="BN78" s="13">
        <f>'QTR Share Price'!IT19</f>
        <v>4.3099999999999996</v>
      </c>
      <c r="BO78" s="13">
        <f>'QTR Share Price'!IU19</f>
        <v>4.55</v>
      </c>
      <c r="BP78" s="13">
        <f>'QTR Share Price'!IV19</f>
        <v>4.05</v>
      </c>
      <c r="BQ78" s="13">
        <f>'QTR Share Price'!IW19</f>
        <v>9.0299999999999994</v>
      </c>
      <c r="BR78" s="13">
        <f>'QTR Share Price'!IX19</f>
        <v>23.2</v>
      </c>
      <c r="BS78" s="13">
        <f>'QTR Share Price'!IY19</f>
        <v>45.4</v>
      </c>
      <c r="BT78" s="13">
        <f>'QTR Share Price'!IZ19</f>
        <v>55.1</v>
      </c>
      <c r="BU78" s="13">
        <f>'QTR Share Price'!JA19</f>
        <v>206.95</v>
      </c>
      <c r="BV78" s="13">
        <f>'QTR Share Price'!JB19</f>
        <v>291.05</v>
      </c>
      <c r="BW78" s="13">
        <f>'QTR Share Price'!JC19</f>
        <v>210</v>
      </c>
      <c r="BX78" s="13">
        <f>'QTR Share Price'!JD19</f>
        <v>149</v>
      </c>
      <c r="BY78" s="13">
        <f>'QTR Share Price'!JE19</f>
        <v>114.25</v>
      </c>
      <c r="BZ78" s="13">
        <f>'QTR Share Price'!JF19</f>
        <v>93.65</v>
      </c>
      <c r="CA78" s="13">
        <f>'QTR Share Price'!JG19</f>
        <v>84.29</v>
      </c>
      <c r="CB78" s="13">
        <f>'QTR Share Price'!JH19</f>
        <v>109.1</v>
      </c>
      <c r="CC78" s="13">
        <f>'QTR Share Price'!JI19</f>
        <v>100.3</v>
      </c>
      <c r="CD78" s="13">
        <f>'QTR Share Price'!JJ19</f>
        <v>106.56</v>
      </c>
      <c r="CE78" s="13">
        <f>'QTR Share Price'!JK19</f>
        <v>89.75</v>
      </c>
      <c r="CF78" s="13">
        <f>'QTR Share Price'!JL19</f>
        <v>111.48</v>
      </c>
      <c r="CG78" s="13">
        <f>'QTR Share Price'!JM19</f>
        <v>88.88</v>
      </c>
      <c r="CH78" s="13">
        <f>'QTR Share Price'!JN19</f>
        <v>84.5</v>
      </c>
      <c r="CI78" s="13">
        <f>'QTR Share Price'!JO19</f>
        <v>81.16</v>
      </c>
      <c r="CJ78" s="13">
        <f>'QTR Share Price'!JP19</f>
        <v>66.989999999999995</v>
      </c>
      <c r="CK78" s="13">
        <f>'QTR Share Price'!JQ19</f>
        <v>60.08</v>
      </c>
      <c r="CL78" s="13">
        <f>'QTR Share Price'!JR19</f>
        <v>50.15</v>
      </c>
      <c r="CM78" s="37">
        <f t="shared" ref="CM78:DB78" si="869">+CM69*CM86</f>
        <v>38.101726837689341</v>
      </c>
      <c r="CN78" s="37">
        <f t="shared" si="869"/>
        <v>25.878362938948953</v>
      </c>
      <c r="CO78" s="37">
        <f t="shared" si="869"/>
        <v>23.092657917335927</v>
      </c>
      <c r="CP78" s="37">
        <f t="shared" si="869"/>
        <v>24.045207941268327</v>
      </c>
      <c r="CQ78" s="37">
        <f t="shared" si="869"/>
        <v>24.540227346284432</v>
      </c>
      <c r="CR78" s="37">
        <f t="shared" si="869"/>
        <v>25.10022872706412</v>
      </c>
      <c r="CS78" s="37">
        <f t="shared" si="869"/>
        <v>25.889461099805558</v>
      </c>
      <c r="CT78" s="37">
        <f t="shared" si="869"/>
        <v>26.589774946310307</v>
      </c>
      <c r="CU78" s="37">
        <f t="shared" si="869"/>
        <v>27.189042937113477</v>
      </c>
      <c r="CV78" s="37">
        <f t="shared" si="869"/>
        <v>27.836421901092677</v>
      </c>
      <c r="CW78" s="37">
        <f t="shared" si="869"/>
        <v>28.555215732073922</v>
      </c>
      <c r="CX78" s="37">
        <f t="shared" si="869"/>
        <v>29.283803610509715</v>
      </c>
      <c r="CY78" s="37">
        <f t="shared" si="869"/>
        <v>29.921485120082107</v>
      </c>
      <c r="CZ78" s="37">
        <f t="shared" si="869"/>
        <v>30.590590812717366</v>
      </c>
      <c r="DA78" s="37">
        <f t="shared" si="869"/>
        <v>31.310943732880229</v>
      </c>
      <c r="DB78" s="37">
        <f t="shared" si="869"/>
        <v>32.054768290197451</v>
      </c>
      <c r="DE78" s="134"/>
      <c r="DF78" s="13">
        <v>81.16</v>
      </c>
    </row>
    <row r="79" spans="1:110" s="13" customFormat="1" x14ac:dyDescent="0.2">
      <c r="A79" s="13" t="s">
        <v>459</v>
      </c>
      <c r="B79" s="13">
        <f>'Annual Raw'!C108</f>
        <v>7.1537281613199299</v>
      </c>
      <c r="C79" s="13">
        <f>'Annual Raw'!D108</f>
        <v>6.5337383873388699</v>
      </c>
      <c r="D79" s="13">
        <f>'Annual Raw'!E108</f>
        <v>4.0060877703391604</v>
      </c>
      <c r="E79" s="13">
        <f>'Annual Raw'!F108</f>
        <v>4.1491623335655596</v>
      </c>
      <c r="F79" s="13">
        <f>'Annual Raw'!G108</f>
        <v>15.595127391677501</v>
      </c>
      <c r="G79" s="13">
        <f>'Annual Raw'!H108</f>
        <v>21.175035357506999</v>
      </c>
      <c r="H79" s="13">
        <f>'Annual Raw'!I108</f>
        <v>14.7366800123191</v>
      </c>
      <c r="I79" s="13">
        <f>'Annual Raw'!J108</f>
        <v>19.4660194174757</v>
      </c>
      <c r="J79" s="13">
        <f>'Annual Raw'!K108</f>
        <v>12.135922330097101</v>
      </c>
      <c r="K79" s="13">
        <f>'Annual Raw'!L108</f>
        <v>21.941747572815501</v>
      </c>
      <c r="L79" s="13">
        <f>'Annual Raw'!M108</f>
        <v>13.495145631068</v>
      </c>
      <c r="M79" s="13">
        <f>'Annual Raw'!N108</f>
        <v>11.252427184466001</v>
      </c>
      <c r="N79" s="13">
        <f>'Annual Raw'!O108</f>
        <v>7.1844660194174796</v>
      </c>
      <c r="O79" s="13">
        <f>'Annual Raw'!P108</f>
        <v>4.8349514563106801</v>
      </c>
      <c r="P79" s="13">
        <f>'Annual Raw'!Q108</f>
        <v>7.01</v>
      </c>
      <c r="Q79" s="13">
        <f>'Annual Raw'!R108</f>
        <v>5.62</v>
      </c>
      <c r="R79" s="13">
        <f>'Annual Raw'!S108</f>
        <v>5.42</v>
      </c>
      <c r="S79" s="13">
        <f>'Annual Raw'!T108</f>
        <v>3.75</v>
      </c>
      <c r="T79" s="13">
        <f>'Annual Raw'!U108</f>
        <v>2.71</v>
      </c>
      <c r="U79" s="13">
        <f>'Annual Raw'!V108</f>
        <v>1.8</v>
      </c>
      <c r="V79" s="13">
        <f>'Annual Raw'!W108</f>
        <v>1.8</v>
      </c>
      <c r="W79" s="13">
        <f>'Annual Raw'!X108</f>
        <v>10.55</v>
      </c>
      <c r="X79" s="13">
        <f>'Annual Raw'!Y108</f>
        <v>49.8</v>
      </c>
      <c r="Y79" s="13">
        <f>'Annual Raw'!Z108</f>
        <v>53.54</v>
      </c>
      <c r="Z79" s="13">
        <f>'Annual Raw'!AA108</f>
        <v>54.01</v>
      </c>
      <c r="AA79" s="13">
        <f>'Annual Raw'!AB108</f>
        <v>30.12</v>
      </c>
      <c r="AB79" s="37">
        <f>+MIN(CM79:CP79)</f>
        <v>13.869408902695076</v>
      </c>
      <c r="AC79" s="37">
        <f>+MIN(CQ79:CT79)</f>
        <v>14.738816503890071</v>
      </c>
      <c r="AD79" s="37">
        <f>+MIN(CU79:CX79)</f>
        <v>16.329690394134754</v>
      </c>
      <c r="AE79" s="37">
        <f>+MIN(CY79:DB79)</f>
        <v>17.970790265540838</v>
      </c>
      <c r="AJ79" s="13">
        <f>+'QTR Share Price'!HP20</f>
        <v>10.194174757281599</v>
      </c>
      <c r="AK79" s="13">
        <f>+'QTR Share Price'!HQ20</f>
        <v>10.0485436893204</v>
      </c>
      <c r="AL79" s="13">
        <f>+'QTR Share Price'!HR20</f>
        <v>7.1844660194174796</v>
      </c>
      <c r="AM79" s="13">
        <f>+'QTR Share Price'!HS20</f>
        <v>4.8349514563106801</v>
      </c>
      <c r="AN79" s="13">
        <f>+'QTR Share Price'!HT20</f>
        <v>5.41</v>
      </c>
      <c r="AO79" s="13">
        <f>+'QTR Share Price'!HU20</f>
        <v>6.5</v>
      </c>
      <c r="AP79" s="13">
        <f>+'QTR Share Price'!HV20</f>
        <v>6.8</v>
      </c>
      <c r="AQ79" s="13">
        <f>+'QTR Share Price'!HW20</f>
        <v>7.01</v>
      </c>
      <c r="AR79" s="13">
        <f>+'QTR Share Price'!HX20</f>
        <v>9.64</v>
      </c>
      <c r="AS79" s="13">
        <f>+'QTR Share Price'!HY20</f>
        <v>7.41</v>
      </c>
      <c r="AT79" s="13">
        <f>+'QTR Share Price'!HZ20</f>
        <v>7.55</v>
      </c>
      <c r="AU79" s="13">
        <f>+'QTR Share Price'!IA20</f>
        <v>5.62</v>
      </c>
      <c r="AV79" s="13">
        <f>+'QTR Share Price'!IB20</f>
        <v>5.75</v>
      </c>
      <c r="AW79" s="13">
        <f>+'QTR Share Price'!IC20</f>
        <v>6.17</v>
      </c>
      <c r="AX79" s="13">
        <f>+'QTR Share Price'!ID20</f>
        <v>5.73</v>
      </c>
      <c r="AY79" s="13">
        <f>+'QTR Share Price'!IE20</f>
        <v>6.15</v>
      </c>
      <c r="AZ79" s="13">
        <f>+'QTR Share Price'!IF20</f>
        <v>5.42</v>
      </c>
      <c r="BA79" s="13">
        <f>+'QTR Share Price'!IG20</f>
        <v>5.64</v>
      </c>
      <c r="BB79" s="13">
        <f>+'QTR Share Price'!IH20</f>
        <v>5.81</v>
      </c>
      <c r="BC79" s="13">
        <f>+'QTR Share Price'!II20</f>
        <v>5.94</v>
      </c>
      <c r="BD79" s="13">
        <f>+'QTR Share Price'!IJ20</f>
        <v>5.93</v>
      </c>
      <c r="BE79" s="13">
        <f>+'QTR Share Price'!IK20</f>
        <v>3.75</v>
      </c>
      <c r="BF79" s="13">
        <f>+'QTR Share Price'!IL20</f>
        <v>5.4</v>
      </c>
      <c r="BG79" s="13">
        <f>+'QTR Share Price'!IM20</f>
        <v>4.51</v>
      </c>
      <c r="BH79" s="13">
        <f>+'QTR Share Price'!IN20</f>
        <v>3.91</v>
      </c>
      <c r="BI79" s="13">
        <f>+'QTR Share Price'!IO20</f>
        <v>3.73</v>
      </c>
      <c r="BJ79" s="13">
        <f>+'QTR Share Price'!IP20</f>
        <v>2.71</v>
      </c>
      <c r="BK79" s="13">
        <f>+'QTR Share Price'!IQ20</f>
        <v>2.5499999999999998</v>
      </c>
      <c r="BL79" s="13">
        <f>+'QTR Share Price'!IR20</f>
        <v>2.34</v>
      </c>
      <c r="BM79" s="13">
        <f>+'QTR Share Price'!IS20</f>
        <v>2.21</v>
      </c>
      <c r="BN79" s="13">
        <f>+'QTR Share Price'!IT20</f>
        <v>1.8</v>
      </c>
      <c r="BO79" s="13">
        <f>+'QTR Share Price'!IU20</f>
        <v>1.8</v>
      </c>
      <c r="BP79" s="13">
        <f>+'QTR Share Price'!IV20</f>
        <v>2.74</v>
      </c>
      <c r="BQ79" s="13">
        <f>+'QTR Share Price'!IW20</f>
        <v>2.75</v>
      </c>
      <c r="BR79" s="13">
        <f>+'QTR Share Price'!IX20</f>
        <v>7.55</v>
      </c>
      <c r="BS79" s="13">
        <f>+'QTR Share Price'!IY20</f>
        <v>10.55</v>
      </c>
      <c r="BT79" s="13">
        <f>+'QTR Share Price'!IZ20</f>
        <v>32.85</v>
      </c>
      <c r="BU79" s="13">
        <f>+'QTR Share Price'!JA20</f>
        <v>35</v>
      </c>
      <c r="BV79" s="13">
        <f>+'QTR Share Price'!JB20</f>
        <v>89.15</v>
      </c>
      <c r="BW79" s="13">
        <f>+'QTR Share Price'!JC20</f>
        <v>102.95</v>
      </c>
      <c r="BX79" s="13">
        <f>+'QTR Share Price'!JD20</f>
        <v>88.4</v>
      </c>
      <c r="BY79" s="13">
        <f>+'QTR Share Price'!JE20</f>
        <v>78.8</v>
      </c>
      <c r="BZ79" s="13">
        <f>+'QTR Share Price'!JF20</f>
        <v>49.8</v>
      </c>
      <c r="CA79" s="13">
        <f>+'QTR Share Price'!JG20</f>
        <v>53.54</v>
      </c>
      <c r="CB79" s="13">
        <f>+'QTR Share Price'!JH20</f>
        <v>70.7</v>
      </c>
      <c r="CC79" s="13">
        <f>+'QTR Share Price'!JI20</f>
        <v>83.5</v>
      </c>
      <c r="CD79" s="13">
        <f>+'QTR Share Price'!JJ20</f>
        <v>73.349999999999994</v>
      </c>
      <c r="CE79" s="13">
        <f>+'QTR Share Price'!JK20</f>
        <v>65.290000000000006</v>
      </c>
      <c r="CF79" s="13">
        <f>+'QTR Share Price'!JL20</f>
        <v>74.11</v>
      </c>
      <c r="CG79" s="13">
        <f>+'QTR Share Price'!JM20</f>
        <v>65.91</v>
      </c>
      <c r="CH79" s="13">
        <f>+'QTR Share Price'!JN20</f>
        <v>54.01</v>
      </c>
      <c r="CI79" s="13">
        <f>+'QTR Share Price'!JO20</f>
        <v>50.01</v>
      </c>
      <c r="CJ79" s="13">
        <f>+'QTR Share Price'!JP20</f>
        <v>54.81</v>
      </c>
      <c r="CK79" s="13">
        <f>+'QTR Share Price'!JQ20</f>
        <v>44.6</v>
      </c>
      <c r="CL79" s="13">
        <f>+'QTR Share Price'!JR20</f>
        <v>30.12</v>
      </c>
      <c r="CM79" s="37">
        <f t="shared" ref="CM79:DB79" si="870">+CM87*CM69</f>
        <v>22.883828760741832</v>
      </c>
      <c r="CN79" s="37">
        <f t="shared" si="870"/>
        <v>15.542498339404634</v>
      </c>
      <c r="CO79" s="37">
        <f t="shared" si="870"/>
        <v>13.869408902695076</v>
      </c>
      <c r="CP79" s="37">
        <f t="shared" si="870"/>
        <v>14.441508737607219</v>
      </c>
      <c r="CQ79" s="37">
        <f t="shared" si="870"/>
        <v>14.738816503890071</v>
      </c>
      <c r="CR79" s="37">
        <f t="shared" si="870"/>
        <v>15.075152328198829</v>
      </c>
      <c r="CS79" s="37">
        <f t="shared" si="870"/>
        <v>15.549163874898172</v>
      </c>
      <c r="CT79" s="37">
        <f t="shared" si="870"/>
        <v>15.969771114314385</v>
      </c>
      <c r="CU79" s="37">
        <f t="shared" si="870"/>
        <v>16.329690394134754</v>
      </c>
      <c r="CV79" s="37">
        <f t="shared" si="870"/>
        <v>16.718505038103917</v>
      </c>
      <c r="CW79" s="37">
        <f t="shared" si="870"/>
        <v>17.150211323032234</v>
      </c>
      <c r="CX79" s="37">
        <f t="shared" si="870"/>
        <v>17.587799895285197</v>
      </c>
      <c r="CY79" s="37">
        <f t="shared" si="870"/>
        <v>17.970790265540838</v>
      </c>
      <c r="CZ79" s="37">
        <f t="shared" si="870"/>
        <v>18.37265394374969</v>
      </c>
      <c r="DA79" s="37">
        <f t="shared" si="870"/>
        <v>18.805296614842522</v>
      </c>
      <c r="DB79" s="37">
        <f t="shared" si="870"/>
        <v>19.252036309087682</v>
      </c>
      <c r="DE79" s="134"/>
      <c r="DF79" s="13">
        <v>30.12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0.21769660714890837</v>
      </c>
      <c r="AC81" s="48">
        <f t="shared" si="871"/>
        <v>-0.15021492661200675</v>
      </c>
      <c r="AD81" s="48">
        <f t="shared" si="871"/>
        <v>-6.4116215707583413E-2</v>
      </c>
      <c r="AE81" s="48">
        <f t="shared" ref="AE81" si="872">+AE78/AE77-1</f>
        <v>2.44413004217785E-2</v>
      </c>
      <c r="CM81" s="48">
        <f t="shared" ref="CM81:DB81" si="873">+CM78/CM77-1</f>
        <v>0.21769660714890837</v>
      </c>
      <c r="CN81" s="48">
        <f t="shared" si="873"/>
        <v>-0.17295100866254542</v>
      </c>
      <c r="CO81" s="48">
        <f t="shared" si="873"/>
        <v>-0.26197961274094195</v>
      </c>
      <c r="CP81" s="48">
        <f t="shared" si="873"/>
        <v>-0.2315369785468735</v>
      </c>
      <c r="CQ81" s="48">
        <f t="shared" si="873"/>
        <v>-0.21571660766109191</v>
      </c>
      <c r="CR81" s="48">
        <f t="shared" si="873"/>
        <v>-0.19781947181003123</v>
      </c>
      <c r="CS81" s="48">
        <f t="shared" si="873"/>
        <v>-0.17259632151468329</v>
      </c>
      <c r="CT81" s="48">
        <f t="shared" si="873"/>
        <v>-0.15021492661200675</v>
      </c>
      <c r="CU81" s="48">
        <f t="shared" si="873"/>
        <v>-0.13106286554447177</v>
      </c>
      <c r="CV81" s="48">
        <f t="shared" si="873"/>
        <v>-0.11037322144158901</v>
      </c>
      <c r="CW81" s="48">
        <f t="shared" si="873"/>
        <v>-8.7401223008183981E-2</v>
      </c>
      <c r="CX81" s="48">
        <f t="shared" si="873"/>
        <v>-6.4116215707583413E-2</v>
      </c>
      <c r="CY81" s="48">
        <f t="shared" si="873"/>
        <v>-4.3736493445762026E-2</v>
      </c>
      <c r="CZ81" s="48">
        <f t="shared" si="873"/>
        <v>-2.2352482815040986E-2</v>
      </c>
      <c r="DA81" s="48">
        <f t="shared" si="873"/>
        <v>6.693426935195923E-4</v>
      </c>
      <c r="DB81" s="48">
        <f t="shared" si="873"/>
        <v>2.44413004217785E-2</v>
      </c>
      <c r="DE81" s="129"/>
      <c r="DF81" s="51">
        <v>1.5937999360818154</v>
      </c>
    </row>
    <row r="82" spans="1:110" s="51" customFormat="1" x14ac:dyDescent="0.2">
      <c r="A82" s="51" t="s">
        <v>347</v>
      </c>
      <c r="AB82" s="48">
        <f t="shared" ref="AB82:AD82" si="874">+AB79/AB77-1</f>
        <v>-0.55674627987551695</v>
      </c>
      <c r="AC82" s="48">
        <f t="shared" si="874"/>
        <v>-0.52896080204889517</v>
      </c>
      <c r="AD82" s="48">
        <f t="shared" si="874"/>
        <v>-0.47811791645462587</v>
      </c>
      <c r="AE82" s="48">
        <f t="shared" ref="AE82" si="875">+AE79/AE77-1</f>
        <v>-0.42566985408945868</v>
      </c>
      <c r="CM82" s="48">
        <f t="shared" ref="CM82:DB82" si="876">+CM79/CM77-1</f>
        <v>-0.26865360304436459</v>
      </c>
      <c r="CN82" s="48">
        <f t="shared" si="876"/>
        <v>-0.50327586003820279</v>
      </c>
      <c r="CO82" s="48">
        <f t="shared" si="876"/>
        <v>-0.55674627987551695</v>
      </c>
      <c r="CP82" s="48">
        <f t="shared" si="876"/>
        <v>-0.53846248841140243</v>
      </c>
      <c r="CQ82" s="48">
        <f t="shared" si="876"/>
        <v>-0.52896080204889517</v>
      </c>
      <c r="CR82" s="48">
        <f t="shared" si="876"/>
        <v>-0.51821181437523722</v>
      </c>
      <c r="CS82" s="48">
        <f t="shared" si="876"/>
        <v>-0.50306283557372411</v>
      </c>
      <c r="CT82" s="48">
        <f t="shared" si="876"/>
        <v>-0.48962060996118939</v>
      </c>
      <c r="CU82" s="48">
        <f t="shared" si="876"/>
        <v>-0.47811791645462587</v>
      </c>
      <c r="CV82" s="48">
        <f t="shared" si="876"/>
        <v>-0.465691753336404</v>
      </c>
      <c r="CW82" s="48">
        <f t="shared" si="876"/>
        <v>-0.45189481230322037</v>
      </c>
      <c r="CX82" s="48">
        <f t="shared" si="876"/>
        <v>-0.43790987870612985</v>
      </c>
      <c r="CY82" s="48">
        <f t="shared" si="876"/>
        <v>-0.42566985408945868</v>
      </c>
      <c r="CZ82" s="48">
        <f t="shared" si="876"/>
        <v>-0.41282665568073862</v>
      </c>
      <c r="DA82" s="48">
        <f t="shared" si="876"/>
        <v>-0.3989997885956369</v>
      </c>
      <c r="DB82" s="48">
        <f t="shared" si="876"/>
        <v>-0.38472239344558379</v>
      </c>
      <c r="DE82" s="129"/>
      <c r="DF82" s="51">
        <v>-3.7392138063278901E-2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-5.4569947834515293</v>
      </c>
      <c r="C85" s="13">
        <f t="shared" si="877"/>
        <v>-6.319028583620371</v>
      </c>
      <c r="D85" s="13">
        <f t="shared" si="877"/>
        <v>-2.8443620986486278</v>
      </c>
      <c r="E85" s="13">
        <f t="shared" ref="E85:AE85" ca="1" si="878">+E77/E69</f>
        <v>-11.201305857284156</v>
      </c>
      <c r="F85" s="13">
        <f t="shared" ca="1" si="878"/>
        <v>-8.9902426620117328</v>
      </c>
      <c r="G85" s="13">
        <f t="shared" ca="1" si="878"/>
        <v>-8.9682171312102117</v>
      </c>
      <c r="H85" s="13">
        <f t="shared" ca="1" si="878"/>
        <v>-12.669681149555867</v>
      </c>
      <c r="I85" s="13">
        <f t="shared" ca="1" si="878"/>
        <v>-42.415720681140556</v>
      </c>
      <c r="J85" s="13">
        <f t="shared" ca="1" si="878"/>
        <v>-25.464386631032514</v>
      </c>
      <c r="K85" s="13">
        <f t="shared" ca="1" si="878"/>
        <v>-14.115556725896072</v>
      </c>
      <c r="L85" s="13">
        <f t="shared" ca="1" si="878"/>
        <v>40.453239412417297</v>
      </c>
      <c r="M85" s="13">
        <f t="shared" ca="1" si="878"/>
        <v>-5.3908718542273144</v>
      </c>
      <c r="N85" s="13">
        <f t="shared" ca="1" si="878"/>
        <v>-2.2760786467159835</v>
      </c>
      <c r="O85" s="13">
        <f t="shared" ca="1" si="878"/>
        <v>-2.5864218147407523</v>
      </c>
      <c r="P85" s="13">
        <f t="shared" ca="1" si="878"/>
        <v>-2.5101904916700524</v>
      </c>
      <c r="Q85" s="13">
        <f t="shared" ca="1" si="878"/>
        <v>-3.6170078417145786</v>
      </c>
      <c r="R85" s="13">
        <f t="shared" ca="1" si="878"/>
        <v>-1.0070830322326765</v>
      </c>
      <c r="S85" s="13">
        <f t="shared" ca="1" si="878"/>
        <v>-0.56683423318178006</v>
      </c>
      <c r="T85" s="13">
        <f t="shared" ca="1" si="878"/>
        <v>-0.60093872095002543</v>
      </c>
      <c r="U85" s="13">
        <f t="shared" ca="1" si="878"/>
        <v>-0.27409189690223784</v>
      </c>
      <c r="V85" s="13">
        <f t="shared" ca="1" si="878"/>
        <v>-2.2651792288475443</v>
      </c>
      <c r="W85" s="13">
        <f t="shared" ca="1" si="878"/>
        <v>-26.846096337448557</v>
      </c>
      <c r="X85" s="13">
        <f t="shared" ca="1" si="878"/>
        <v>-9.5203006450480512</v>
      </c>
      <c r="Y85" s="13">
        <f t="shared" ca="1" si="878"/>
        <v>-11.769937709615448</v>
      </c>
      <c r="Z85" s="13">
        <f t="shared" ref="Z85:AA85" ca="1" si="879">+Z77/Z69</f>
        <v>-8.6347902408807187</v>
      </c>
      <c r="AA85" s="13">
        <f t="shared" ca="1" si="879"/>
        <v>-8.6347902408807187</v>
      </c>
      <c r="AB85" s="37">
        <f t="shared" ca="1" si="878"/>
        <v>-14.660039573253439</v>
      </c>
      <c r="AC85" s="37">
        <f t="shared" ca="1" si="878"/>
        <v>-13.257114837484412</v>
      </c>
      <c r="AD85" s="37">
        <f t="shared" ca="1" si="878"/>
        <v>-12.037497063379805</v>
      </c>
      <c r="AE85" s="37">
        <f t="shared" ca="1" si="878"/>
        <v>-10.996919296836705</v>
      </c>
      <c r="AL85" s="13">
        <f t="shared" ref="AL85:BQ85" si="880">+AL77/AL69</f>
        <v>-2.2761131976699973</v>
      </c>
      <c r="AM85" s="13">
        <f t="shared" si="880"/>
        <v>-1.925439997556414</v>
      </c>
      <c r="AN85" s="13">
        <f t="shared" si="880"/>
        <v>-2.2119933830705856</v>
      </c>
      <c r="AO85" s="13">
        <f t="shared" si="880"/>
        <v>-2.5697665998474379</v>
      </c>
      <c r="AP85" s="13">
        <f t="shared" si="880"/>
        <v>-2.5863756360584893</v>
      </c>
      <c r="AQ85" s="13">
        <f t="shared" si="880"/>
        <v>-4.1797697757637859</v>
      </c>
      <c r="AR85" s="13">
        <f t="shared" si="880"/>
        <v>-3.570502398865989</v>
      </c>
      <c r="AS85" s="13">
        <f t="shared" si="880"/>
        <v>-2.6391225109686118</v>
      </c>
      <c r="AT85" s="13">
        <f t="shared" si="880"/>
        <v>-2.5102312918535854</v>
      </c>
      <c r="AU85" s="13">
        <f t="shared" si="880"/>
        <v>-2.2507529434237483</v>
      </c>
      <c r="AV85" s="13">
        <f t="shared" si="880"/>
        <v>-2.0434693336485528</v>
      </c>
      <c r="AW85" s="13">
        <f t="shared" si="880"/>
        <v>-3.2044829585207393</v>
      </c>
      <c r="AX85" s="13">
        <f t="shared" si="880"/>
        <v>-3.6169069066555046</v>
      </c>
      <c r="AY85" s="13">
        <f t="shared" si="880"/>
        <v>-3.5382655331818538</v>
      </c>
      <c r="AZ85" s="13">
        <f t="shared" si="880"/>
        <v>-1.6326786116211571</v>
      </c>
      <c r="BA85" s="13">
        <f t="shared" si="880"/>
        <v>-1.1618566718003394</v>
      </c>
      <c r="BB85" s="13">
        <f t="shared" si="880"/>
        <v>-1.0070542108765175</v>
      </c>
      <c r="BC85" s="13">
        <f t="shared" si="880"/>
        <v>-0.75612040879704112</v>
      </c>
      <c r="BD85" s="13">
        <f t="shared" si="880"/>
        <v>-0.64997114805310729</v>
      </c>
      <c r="BE85" s="13">
        <f t="shared" si="880"/>
        <v>-0.78288129555574482</v>
      </c>
      <c r="BF85" s="13">
        <f t="shared" si="880"/>
        <v>-0.56683423318178006</v>
      </c>
      <c r="BG85" s="13">
        <f t="shared" si="880"/>
        <v>-0.50106168747406099</v>
      </c>
      <c r="BH85" s="13">
        <f t="shared" si="880"/>
        <v>-0.51318878344130114</v>
      </c>
      <c r="BI85" s="13">
        <f t="shared" si="880"/>
        <v>-0.4850762378571517</v>
      </c>
      <c r="BJ85" s="13">
        <f t="shared" si="880"/>
        <v>-0.60093872095002543</v>
      </c>
      <c r="BK85" s="13">
        <f t="shared" si="880"/>
        <v>-0.6898829138135496</v>
      </c>
      <c r="BL85" s="13">
        <f t="shared" si="880"/>
        <v>-0.55353762274835838</v>
      </c>
      <c r="BM85" s="13">
        <f t="shared" si="880"/>
        <v>-0.47652808623584864</v>
      </c>
      <c r="BN85" s="13">
        <f t="shared" si="880"/>
        <v>-0.27409189690223784</v>
      </c>
      <c r="BO85" s="13">
        <f t="shared" si="880"/>
        <v>-0.66037064989874594</v>
      </c>
      <c r="BP85" s="13">
        <f t="shared" si="880"/>
        <v>-0.48005706599171966</v>
      </c>
      <c r="BQ85" s="13">
        <f t="shared" si="880"/>
        <v>-1.2769675692953266</v>
      </c>
      <c r="BR85" s="13">
        <f t="shared" ref="BR85:DB85" si="881">+BR77/BR69</f>
        <v>-2.2651792288475443</v>
      </c>
      <c r="BS85" s="13">
        <f t="shared" si="881"/>
        <v>-7.1991354920346513</v>
      </c>
      <c r="BT85" s="13">
        <f t="shared" si="881"/>
        <v>-5.6803238886335281</v>
      </c>
      <c r="BU85" s="13">
        <f t="shared" si="881"/>
        <v>-33.089285211872372</v>
      </c>
      <c r="BV85" s="13">
        <f t="shared" si="881"/>
        <v>-26.846096337448557</v>
      </c>
      <c r="BW85" s="13">
        <f t="shared" si="881"/>
        <v>-19.866741325053496</v>
      </c>
      <c r="BX85" s="13">
        <f t="shared" si="881"/>
        <v>-17.351846702301998</v>
      </c>
      <c r="BY85" s="13">
        <f t="shared" si="881"/>
        <v>-15.854944094488189</v>
      </c>
      <c r="BZ85" s="13">
        <f t="shared" si="881"/>
        <v>-9.5203006450480494</v>
      </c>
      <c r="CA85" s="13">
        <f t="shared" si="881"/>
        <v>-12.142263362810228</v>
      </c>
      <c r="CB85" s="13">
        <f t="shared" si="881"/>
        <v>-16.638164970426359</v>
      </c>
      <c r="CC85" s="13">
        <f t="shared" si="881"/>
        <v>-14.990024795806614</v>
      </c>
      <c r="CD85" s="13">
        <f t="shared" si="881"/>
        <v>-11.769937709615446</v>
      </c>
      <c r="CE85" s="13">
        <f t="shared" si="881"/>
        <v>-12.15012144787552</v>
      </c>
      <c r="CF85" s="13">
        <f t="shared" si="881"/>
        <v>-12.984973583985143</v>
      </c>
      <c r="CG85" s="13">
        <f t="shared" si="881"/>
        <v>-11.545380030354238</v>
      </c>
      <c r="CH85" s="13">
        <f t="shared" si="881"/>
        <v>-8.6347902408807204</v>
      </c>
      <c r="CI85" s="13">
        <f t="shared" ref="CI85:CJ85" si="882">+CI77/CI69</f>
        <v>-10.163916165265885</v>
      </c>
      <c r="CJ85" s="13">
        <f t="shared" si="882"/>
        <v>-8.5080370628319066</v>
      </c>
      <c r="CK85" s="13">
        <f t="shared" ref="CK85:CL85" si="883">+CK77/CK69</f>
        <v>-8.8550400712458899</v>
      </c>
      <c r="CL85" s="13">
        <f t="shared" si="883"/>
        <v>-7.0289870382074113</v>
      </c>
      <c r="CM85" s="37">
        <f t="shared" si="881"/>
        <v>-9.2516462959209829</v>
      </c>
      <c r="CN85" s="37">
        <f t="shared" si="881"/>
        <v>-13.621561023690418</v>
      </c>
      <c r="CO85" s="37">
        <f t="shared" si="881"/>
        <v>-15.264752166162435</v>
      </c>
      <c r="CP85" s="37">
        <f t="shared" si="881"/>
        <v>-14.660039573253446</v>
      </c>
      <c r="CQ85" s="37">
        <f t="shared" si="881"/>
        <v>-14.36432087575885</v>
      </c>
      <c r="CR85" s="37">
        <f t="shared" si="881"/>
        <v>-14.043844133819283</v>
      </c>
      <c r="CS85" s="37">
        <f t="shared" si="881"/>
        <v>-13.615721803060209</v>
      </c>
      <c r="CT85" s="37">
        <f t="shared" si="881"/>
        <v>-13.257114837484412</v>
      </c>
      <c r="CU85" s="37">
        <f t="shared" si="881"/>
        <v>-12.964917550846502</v>
      </c>
      <c r="CV85" s="37">
        <f t="shared" si="881"/>
        <v>-12.663398378520217</v>
      </c>
      <c r="CW85" s="37">
        <f t="shared" si="881"/>
        <v>-12.344634453948839</v>
      </c>
      <c r="CX85" s="37">
        <f t="shared" si="881"/>
        <v>-12.037497063379806</v>
      </c>
      <c r="CY85" s="37">
        <f t="shared" si="881"/>
        <v>-11.780956010419258</v>
      </c>
      <c r="CZ85" s="37">
        <f t="shared" si="881"/>
        <v>-11.523272045453794</v>
      </c>
      <c r="DA85" s="37">
        <f t="shared" si="881"/>
        <v>-11.258162736114871</v>
      </c>
      <c r="DB85" s="37">
        <f t="shared" si="881"/>
        <v>-10.996919296836705</v>
      </c>
      <c r="DE85" s="134"/>
      <c r="DF85" s="13">
        <v>-7.0289870382074113</v>
      </c>
    </row>
    <row r="86" spans="1:110" s="13" customFormat="1" x14ac:dyDescent="0.2">
      <c r="A86" s="13" t="s">
        <v>461</v>
      </c>
      <c r="B86" s="13">
        <f t="shared" ref="B86:D86" si="884">+B78/B69</f>
        <v>-7.832392512718692</v>
      </c>
      <c r="C86" s="13">
        <f t="shared" si="884"/>
        <v>-10.877756347517964</v>
      </c>
      <c r="D86" s="13">
        <f t="shared" si="884"/>
        <v>-5.7214180145231053</v>
      </c>
      <c r="E86" s="13">
        <f t="shared" ref="E86:AE86" ca="1" si="885">+E78/E69</f>
        <v>-17.043962307534144</v>
      </c>
      <c r="F86" s="13">
        <f t="shared" ca="1" si="885"/>
        <v>-13.17626920601327</v>
      </c>
      <c r="G86" s="13">
        <f t="shared" ca="1" si="885"/>
        <v>-12.706547640640983</v>
      </c>
      <c r="H86" s="13">
        <f t="shared" ca="1" si="885"/>
        <v>-16.932938787558047</v>
      </c>
      <c r="I86" s="13">
        <f t="shared" ca="1" si="885"/>
        <v>-98.114656379862396</v>
      </c>
      <c r="J86" s="13">
        <f t="shared" ca="1" si="885"/>
        <v>-42.719859150745329</v>
      </c>
      <c r="K86" s="13">
        <f t="shared" ca="1" si="885"/>
        <v>-24.948425841118645</v>
      </c>
      <c r="L86" s="13">
        <f t="shared" ca="1" si="885"/>
        <v>60.679859118625942</v>
      </c>
      <c r="M86" s="13">
        <f t="shared" ca="1" si="885"/>
        <v>-8.618060447234118</v>
      </c>
      <c r="N86" s="13">
        <f t="shared" ca="1" si="885"/>
        <v>-4.3216683165493333</v>
      </c>
      <c r="O86" s="13">
        <f t="shared" ca="1" si="885"/>
        <v>-3.5853337525984599</v>
      </c>
      <c r="P86" s="13">
        <f t="shared" ca="1" si="885"/>
        <v>-4.4643261275904091</v>
      </c>
      <c r="Q86" s="13">
        <f t="shared" ca="1" si="885"/>
        <v>-5.1281860802589803</v>
      </c>
      <c r="R86" s="13">
        <f t="shared" ca="1" si="885"/>
        <v>-1.465865302472007</v>
      </c>
      <c r="S86" s="13">
        <f t="shared" ca="1" si="885"/>
        <v>-1.130582254567652</v>
      </c>
      <c r="T86" s="13">
        <f t="shared" ca="1" si="885"/>
        <v>-1.3095374733406093</v>
      </c>
      <c r="U86" s="13">
        <f t="shared" ca="1" si="885"/>
        <v>-0.8024801648193296</v>
      </c>
      <c r="V86" s="13">
        <f t="shared" ca="1" si="885"/>
        <v>-3.7271034120044697</v>
      </c>
      <c r="W86" s="13">
        <f t="shared" ca="1" si="885"/>
        <v>-46.829825226337448</v>
      </c>
      <c r="X86" s="13">
        <f t="shared" ca="1" si="885"/>
        <v>-36.029250954407836</v>
      </c>
      <c r="Y86" s="13">
        <f t="shared" ca="1" si="885"/>
        <v>-17.36209037478428</v>
      </c>
      <c r="Z86" s="13">
        <f t="shared" ref="Z86:AA86" ca="1" si="886">+Z78/Z69</f>
        <v>-17.08869902455854</v>
      </c>
      <c r="AA86" s="13">
        <f t="shared" ca="1" si="886"/>
        <v>-17.08869902455854</v>
      </c>
      <c r="AB86" s="60">
        <f t="shared" ca="1" si="885"/>
        <v>-17.851480449019444</v>
      </c>
      <c r="AC86" s="60">
        <f t="shared" ca="1" si="885"/>
        <v>-11.265698305084745</v>
      </c>
      <c r="AD86" s="60">
        <f t="shared" ca="1" si="885"/>
        <v>-11.265698305084744</v>
      </c>
      <c r="AE86" s="60">
        <f t="shared" ca="1" si="885"/>
        <v>-11.265698305084744</v>
      </c>
      <c r="AL86" s="13">
        <f t="shared" ref="AL86:BQ86" si="887">+AL78/AL69</f>
        <v>-3.8607489681997484</v>
      </c>
      <c r="AM86" s="13">
        <f t="shared" si="887"/>
        <v>-3.223284046542231</v>
      </c>
      <c r="AN86" s="13">
        <f t="shared" si="887"/>
        <v>-2.4426997842913134</v>
      </c>
      <c r="AO86" s="13">
        <f t="shared" si="887"/>
        <v>-2.9408395096769597</v>
      </c>
      <c r="AP86" s="13">
        <f t="shared" si="887"/>
        <v>-3.0610680604902769</v>
      </c>
      <c r="AQ86" s="13">
        <f t="shared" si="887"/>
        <v>-4.6578595062127981</v>
      </c>
      <c r="AR86" s="13">
        <f t="shared" si="887"/>
        <v>-4.9915978810017059</v>
      </c>
      <c r="AS86" s="13">
        <f t="shared" si="887"/>
        <v>-3.5628153898076258</v>
      </c>
      <c r="AT86" s="13">
        <f t="shared" si="887"/>
        <v>-3.55563141213185</v>
      </c>
      <c r="AU86" s="13">
        <f t="shared" si="887"/>
        <v>-3.0315571319417907</v>
      </c>
      <c r="AV86" s="13">
        <f t="shared" si="887"/>
        <v>-2.8984912357729069</v>
      </c>
      <c r="AW86" s="13">
        <f t="shared" si="887"/>
        <v>-3.6734316841579209</v>
      </c>
      <c r="AX86" s="13">
        <f t="shared" si="887"/>
        <v>-4.6916137854053304</v>
      </c>
      <c r="AY86" s="13">
        <f t="shared" si="887"/>
        <v>-3.8599260361983858</v>
      </c>
      <c r="AZ86" s="13">
        <f t="shared" si="887"/>
        <v>-2.1711151750281346</v>
      </c>
      <c r="BA86" s="13">
        <f t="shared" si="887"/>
        <v>-1.5748754886861744</v>
      </c>
      <c r="BB86" s="13">
        <f t="shared" si="887"/>
        <v>-1.4658233513869312</v>
      </c>
      <c r="BC86" s="13">
        <f t="shared" si="887"/>
        <v>-1.0431150165156262</v>
      </c>
      <c r="BD86" s="13">
        <f t="shared" si="887"/>
        <v>-1.0305750585741382</v>
      </c>
      <c r="BE86" s="13">
        <f t="shared" si="887"/>
        <v>-1.2186778241016483</v>
      </c>
      <c r="BF86" s="13">
        <f t="shared" si="887"/>
        <v>-0.82401854950745157</v>
      </c>
      <c r="BG86" s="13">
        <f t="shared" si="887"/>
        <v>-0.73350168253861447</v>
      </c>
      <c r="BH86" s="13">
        <f t="shared" si="887"/>
        <v>-0.69410556654387967</v>
      </c>
      <c r="BI86" s="13">
        <f t="shared" si="887"/>
        <v>-0.56026305472501026</v>
      </c>
      <c r="BJ86" s="13">
        <f t="shared" si="887"/>
        <v>-0.81430132871404115</v>
      </c>
      <c r="BK86" s="13">
        <f t="shared" si="887"/>
        <v>-0.98527993382043522</v>
      </c>
      <c r="BL86" s="13">
        <f t="shared" si="887"/>
        <v>-0.8558241259513627</v>
      </c>
      <c r="BM86" s="13">
        <f t="shared" si="887"/>
        <v>-0.67561093115215876</v>
      </c>
      <c r="BN86" s="13">
        <f t="shared" si="887"/>
        <v>-0.65629781980480273</v>
      </c>
      <c r="BO86" s="13">
        <f t="shared" si="887"/>
        <v>-0.75684797406531334</v>
      </c>
      <c r="BP86" s="13">
        <f t="shared" si="887"/>
        <v>-0.66356010828206979</v>
      </c>
      <c r="BQ86" s="13">
        <f t="shared" si="887"/>
        <v>-1.4468026537938268</v>
      </c>
      <c r="BR86" s="13">
        <f t="shared" ref="BR86:CH86" si="888">+BR78/BR69</f>
        <v>-3.7271034120044702</v>
      </c>
      <c r="BS86" s="13">
        <f t="shared" si="888"/>
        <v>-7.1991354920346513</v>
      </c>
      <c r="BT86" s="13">
        <f t="shared" si="888"/>
        <v>-8.8414080865454068</v>
      </c>
      <c r="BU86" s="13">
        <f t="shared" si="888"/>
        <v>-33.089285211872372</v>
      </c>
      <c r="BV86" s="13">
        <f t="shared" si="888"/>
        <v>-46.829825226337448</v>
      </c>
      <c r="BW86" s="13">
        <f t="shared" si="888"/>
        <v>-34.450996517433808</v>
      </c>
      <c r="BX86" s="13">
        <f t="shared" si="888"/>
        <v>-24.992026666437873</v>
      </c>
      <c r="BY86" s="13">
        <f t="shared" si="888"/>
        <v>-19.540748250218723</v>
      </c>
      <c r="BZ86" s="13">
        <f t="shared" si="888"/>
        <v>-16.067330247049018</v>
      </c>
      <c r="CA86" s="13">
        <f t="shared" si="888"/>
        <v>-14.384699632484528</v>
      </c>
      <c r="CB86" s="13">
        <f t="shared" si="888"/>
        <v>-18.256298886387565</v>
      </c>
      <c r="CC86" s="13">
        <f t="shared" si="888"/>
        <v>-16.39227526187749</v>
      </c>
      <c r="CD86" s="13">
        <f t="shared" si="888"/>
        <v>-16.957876721695808</v>
      </c>
      <c r="CE86" s="13">
        <f t="shared" si="888"/>
        <v>-14.028990093230773</v>
      </c>
      <c r="CF86" s="13">
        <f t="shared" si="888"/>
        <v>-17.149210462536001</v>
      </c>
      <c r="CG86" s="13">
        <f t="shared" si="888"/>
        <v>-13.593235886844411</v>
      </c>
      <c r="CH86" s="13">
        <f t="shared" si="888"/>
        <v>-12.952951808173635</v>
      </c>
      <c r="CI86" s="13">
        <f t="shared" ref="CI86:CJ86" si="889">+CI78/CI69</f>
        <v>-12.462659555415913</v>
      </c>
      <c r="CJ86" s="13">
        <f t="shared" si="889"/>
        <v>-10.36467362864356</v>
      </c>
      <c r="CK86" s="13">
        <f t="shared" ref="CK86:CL86" si="890">+CK78/CK69</f>
        <v>-10.728187285348922</v>
      </c>
      <c r="CL86" s="13">
        <f t="shared" si="890"/>
        <v>-11.265698305084745</v>
      </c>
      <c r="CM86" s="60">
        <f t="shared" ref="CM86:CM87" si="891">+CL86</f>
        <v>-11.265698305084745</v>
      </c>
      <c r="CN86" s="60">
        <f t="shared" ref="CN86:CN87" si="892">+CM86</f>
        <v>-11.265698305084745</v>
      </c>
      <c r="CO86" s="60">
        <f t="shared" ref="CO86:CO87" si="893">+CN86</f>
        <v>-11.265698305084745</v>
      </c>
      <c r="CP86" s="60">
        <f t="shared" ref="CP86:CP87" si="894">+CO86</f>
        <v>-11.265698305084745</v>
      </c>
      <c r="CQ86" s="60">
        <f t="shared" ref="CQ86:CQ87" si="895">+CP86</f>
        <v>-11.265698305084745</v>
      </c>
      <c r="CR86" s="60">
        <f t="shared" ref="CR86:CR87" si="896">+CQ86</f>
        <v>-11.265698305084745</v>
      </c>
      <c r="CS86" s="60">
        <f t="shared" ref="CS86:CS87" si="897">+CR86</f>
        <v>-11.265698305084745</v>
      </c>
      <c r="CT86" s="60">
        <f t="shared" ref="CT86:CT87" si="898">+CS86</f>
        <v>-11.265698305084745</v>
      </c>
      <c r="CU86" s="60">
        <f t="shared" ref="CU86:CU87" si="899">+CT86</f>
        <v>-11.265698305084745</v>
      </c>
      <c r="CV86" s="60">
        <f t="shared" ref="CV86:CV87" si="900">+CU86</f>
        <v>-11.265698305084745</v>
      </c>
      <c r="CW86" s="60">
        <f t="shared" ref="CW86:CW87" si="901">+CV86</f>
        <v>-11.265698305084745</v>
      </c>
      <c r="CX86" s="60">
        <f t="shared" ref="CX86:CX87" si="902">+CW86</f>
        <v>-11.265698305084745</v>
      </c>
      <c r="CY86" s="60">
        <f t="shared" ref="CY86:CY87" si="903">+CX86</f>
        <v>-11.265698305084745</v>
      </c>
      <c r="CZ86" s="60">
        <f t="shared" ref="CZ86:CZ87" si="904">+CY86</f>
        <v>-11.265698305084745</v>
      </c>
      <c r="DA86" s="60">
        <f t="shared" ref="DA86:DA87" si="905">+CZ86</f>
        <v>-11.265698305084745</v>
      </c>
      <c r="DB86" s="60">
        <f t="shared" ref="DB86:DB87" si="906">+DA86</f>
        <v>-11.265698305084745</v>
      </c>
      <c r="DE86" s="136"/>
      <c r="DF86" s="13">
        <v>-18.231786130422289</v>
      </c>
    </row>
    <row r="87" spans="1:110" s="13" customFormat="1" x14ac:dyDescent="0.2">
      <c r="A87" s="13" t="s">
        <v>462</v>
      </c>
      <c r="B87" s="13">
        <f t="shared" ref="B87:D87" si="907">+B79/B69</f>
        <v>-4.814995397163111</v>
      </c>
      <c r="C87" s="13">
        <f t="shared" si="907"/>
        <v>-6.1836208282570757</v>
      </c>
      <c r="D87" s="13">
        <f t="shared" si="907"/>
        <v>-2.7462806469710888</v>
      </c>
      <c r="E87" s="13">
        <f t="shared" ref="E87:AE87" ca="1" si="908">+E79/E69</f>
        <v>-3.0077580542707358</v>
      </c>
      <c r="F87" s="13">
        <f t="shared" ca="1" si="908"/>
        <v>-5.7756568771666927</v>
      </c>
      <c r="G87" s="13">
        <f t="shared" ca="1" si="908"/>
        <v>-8.3829229605417392</v>
      </c>
      <c r="H87" s="13">
        <f t="shared" ca="1" si="908"/>
        <v>-9.1142326098525768</v>
      </c>
      <c r="I87" s="13">
        <f t="shared" ca="1" si="908"/>
        <v>-30.264597852557486</v>
      </c>
      <c r="J87" s="13">
        <f t="shared" ca="1" si="908"/>
        <v>-13.960738284557307</v>
      </c>
      <c r="K87" s="13">
        <f t="shared" ca="1" si="908"/>
        <v>-13.48886181840383</v>
      </c>
      <c r="L87" s="13">
        <f t="shared" ca="1" si="908"/>
        <v>32.883042563310092</v>
      </c>
      <c r="M87" s="13">
        <f t="shared" ca="1" si="908"/>
        <v>-4.2503540673805684</v>
      </c>
      <c r="N87" s="13">
        <f t="shared" ca="1" si="908"/>
        <v>-2.1320230361643397</v>
      </c>
      <c r="O87" s="13">
        <f t="shared" ca="1" si="908"/>
        <v>-1.687614564077532</v>
      </c>
      <c r="P87" s="13">
        <f t="shared" ca="1" si="908"/>
        <v>-2.2273968793173502</v>
      </c>
      <c r="Q87" s="13">
        <f t="shared" ca="1" si="908"/>
        <v>-3.0660006139420712</v>
      </c>
      <c r="R87" s="13">
        <f t="shared" ca="1" si="908"/>
        <v>-0.75810972704182045</v>
      </c>
      <c r="S87" s="13">
        <f t="shared" ca="1" si="908"/>
        <v>-0.38577647448850727</v>
      </c>
      <c r="T87" s="13">
        <f t="shared" ca="1" si="908"/>
        <v>-0.53047033673438737</v>
      </c>
      <c r="U87" s="13">
        <f t="shared" ca="1" si="908"/>
        <v>-0.27409189690223784</v>
      </c>
      <c r="V87" s="13">
        <f t="shared" ca="1" si="908"/>
        <v>-0.28917181644862266</v>
      </c>
      <c r="W87" s="13">
        <f t="shared" ca="1" si="908"/>
        <v>-1.6974906584362139</v>
      </c>
      <c r="X87" s="13">
        <f t="shared" ca="1" si="908"/>
        <v>-8.5440795120452862</v>
      </c>
      <c r="Y87" s="13">
        <f t="shared" ca="1" si="908"/>
        <v>-8.5203145615577487</v>
      </c>
      <c r="Z87" s="13">
        <f t="shared" ref="Z87:AA87" ca="1" si="909">+Z79/Z69</f>
        <v>-8.2791589012953608</v>
      </c>
      <c r="AA87" s="13">
        <f t="shared" ca="1" si="909"/>
        <v>-8.2791589012953608</v>
      </c>
      <c r="AB87" s="60">
        <f t="shared" ca="1" si="908"/>
        <v>-6.498117078016727</v>
      </c>
      <c r="AC87" s="60">
        <f t="shared" ca="1" si="908"/>
        <v>-6.2446207401943497</v>
      </c>
      <c r="AD87" s="60">
        <f t="shared" ca="1" si="908"/>
        <v>-6.2821540481079747</v>
      </c>
      <c r="AE87" s="60">
        <f t="shared" ca="1" si="908"/>
        <v>-6.3158622643186719</v>
      </c>
      <c r="AL87" s="13">
        <f t="shared" ref="AL87:BQ87" si="910">+AL79/AL69</f>
        <v>-2.1320554003491123</v>
      </c>
      <c r="AM87" s="13">
        <f t="shared" si="910"/>
        <v>-1.51719797275806</v>
      </c>
      <c r="AN87" s="13">
        <f t="shared" si="910"/>
        <v>-1.7495444740368229</v>
      </c>
      <c r="AO87" s="13">
        <f t="shared" si="910"/>
        <v>-2.2541812279363489</v>
      </c>
      <c r="AP87" s="13">
        <f t="shared" si="910"/>
        <v>-2.3734621221589376</v>
      </c>
      <c r="AQ87" s="13">
        <f t="shared" si="910"/>
        <v>-2.4642713312114499</v>
      </c>
      <c r="AR87" s="13">
        <f t="shared" si="910"/>
        <v>-3.4248401119470779</v>
      </c>
      <c r="AS87" s="13">
        <f t="shared" si="910"/>
        <v>-2.5731444481943968</v>
      </c>
      <c r="AT87" s="13">
        <f t="shared" si="910"/>
        <v>-2.3990185131005779</v>
      </c>
      <c r="AU87" s="13">
        <f t="shared" si="910"/>
        <v>-1.9078780606397385</v>
      </c>
      <c r="AV87" s="13">
        <f t="shared" si="910"/>
        <v>-1.898214647573373</v>
      </c>
      <c r="AW87" s="13">
        <f t="shared" si="910"/>
        <v>-2.4111780309845074</v>
      </c>
      <c r="AX87" s="13">
        <f t="shared" si="910"/>
        <v>-3.1259240686479703</v>
      </c>
      <c r="AY87" s="13">
        <f t="shared" si="910"/>
        <v>-3.1400191961137667</v>
      </c>
      <c r="AZ87" s="13">
        <f t="shared" si="910"/>
        <v>-1.5689925664869986</v>
      </c>
      <c r="BA87" s="13">
        <f t="shared" si="910"/>
        <v>-1.0885168818860322</v>
      </c>
      <c r="BB87" s="13">
        <f t="shared" si="910"/>
        <v>-0.81263680072118982</v>
      </c>
      <c r="BC87" s="13">
        <f t="shared" si="910"/>
        <v>-0.65567229609553646</v>
      </c>
      <c r="BD87" s="13">
        <f t="shared" si="910"/>
        <v>-0.64669948120049092</v>
      </c>
      <c r="BE87" s="13">
        <f t="shared" si="910"/>
        <v>-0.4158363822002894</v>
      </c>
      <c r="BF87" s="13">
        <f t="shared" si="910"/>
        <v>-0.55551812326345051</v>
      </c>
      <c r="BG87" s="13">
        <f t="shared" si="910"/>
        <v>-0.49448319704770566</v>
      </c>
      <c r="BH87" s="13">
        <f t="shared" si="910"/>
        <v>-0.46234289015103397</v>
      </c>
      <c r="BI87" s="13">
        <f t="shared" si="910"/>
        <v>-0.452333591801794</v>
      </c>
      <c r="BJ87" s="13">
        <f t="shared" si="910"/>
        <v>-0.53047033673438737</v>
      </c>
      <c r="BK87" s="13">
        <f t="shared" si="910"/>
        <v>-0.47674835507440416</v>
      </c>
      <c r="BL87" s="13">
        <f t="shared" si="910"/>
        <v>-0.45931845291885054</v>
      </c>
      <c r="BM87" s="13">
        <f t="shared" si="910"/>
        <v>-0.46805647581387799</v>
      </c>
      <c r="BN87" s="13">
        <f t="shared" si="910"/>
        <v>-0.27409189690223784</v>
      </c>
      <c r="BO87" s="13">
        <f t="shared" si="910"/>
        <v>-0.29941238534451958</v>
      </c>
      <c r="BP87" s="13">
        <f t="shared" si="910"/>
        <v>-0.44892708560317812</v>
      </c>
      <c r="BQ87" s="13">
        <f t="shared" si="910"/>
        <v>-0.44060988902912779</v>
      </c>
      <c r="BR87" s="13">
        <f t="shared" ref="BR87:CH87" si="911">+BR79/BR69</f>
        <v>-1.2129151189928342</v>
      </c>
      <c r="BS87" s="13">
        <f t="shared" si="911"/>
        <v>-1.6729268599331624</v>
      </c>
      <c r="BT87" s="13">
        <f t="shared" si="911"/>
        <v>-5.2711480152997572</v>
      </c>
      <c r="BU87" s="13">
        <f t="shared" si="911"/>
        <v>-5.5961584074198267</v>
      </c>
      <c r="BV87" s="13">
        <f t="shared" si="911"/>
        <v>-14.344198312757202</v>
      </c>
      <c r="BW87" s="13">
        <f t="shared" si="911"/>
        <v>-16.889190911761002</v>
      </c>
      <c r="BX87" s="13">
        <f t="shared" si="911"/>
        <v>-14.82748427726918</v>
      </c>
      <c r="BY87" s="13">
        <f t="shared" si="911"/>
        <v>-13.477557655293088</v>
      </c>
      <c r="BZ87" s="13">
        <f t="shared" si="911"/>
        <v>-8.5440795120452844</v>
      </c>
      <c r="CA87" s="13">
        <f t="shared" si="911"/>
        <v>-9.1369891840458131</v>
      </c>
      <c r="CB87" s="13">
        <f t="shared" si="911"/>
        <v>-11.83061715185702</v>
      </c>
      <c r="CC87" s="13">
        <f t="shared" si="911"/>
        <v>-13.646610013626823</v>
      </c>
      <c r="CD87" s="13">
        <f t="shared" si="911"/>
        <v>-11.672862777180814</v>
      </c>
      <c r="CE87" s="13">
        <f t="shared" si="911"/>
        <v>-10.20560181823997</v>
      </c>
      <c r="CF87" s="13">
        <f t="shared" si="911"/>
        <v>-11.400502219039675</v>
      </c>
      <c r="CG87" s="13">
        <f t="shared" si="911"/>
        <v>-10.080222516898235</v>
      </c>
      <c r="CH87" s="13">
        <f t="shared" si="911"/>
        <v>-8.2791589012953608</v>
      </c>
      <c r="CI87" s="13">
        <f t="shared" ref="CI87:CJ87" si="912">+CI79/CI69</f>
        <v>-7.6793692011625163</v>
      </c>
      <c r="CJ87" s="13">
        <f t="shared" si="912"/>
        <v>-8.4801875143447329</v>
      </c>
      <c r="CK87" s="13">
        <f t="shared" ref="CK87:CL87" si="913">+CK79/CK69</f>
        <v>-7.9640005480453055</v>
      </c>
      <c r="CL87" s="13">
        <f t="shared" si="913"/>
        <v>-6.7661581844297611</v>
      </c>
      <c r="CM87" s="60">
        <f t="shared" si="891"/>
        <v>-6.7661581844297611</v>
      </c>
      <c r="CN87" s="60">
        <f t="shared" si="892"/>
        <v>-6.7661581844297611</v>
      </c>
      <c r="CO87" s="60">
        <f t="shared" si="893"/>
        <v>-6.7661581844297611</v>
      </c>
      <c r="CP87" s="60">
        <f t="shared" si="894"/>
        <v>-6.7661581844297611</v>
      </c>
      <c r="CQ87" s="60">
        <f t="shared" si="895"/>
        <v>-6.7661581844297611</v>
      </c>
      <c r="CR87" s="60">
        <f t="shared" si="896"/>
        <v>-6.7661581844297611</v>
      </c>
      <c r="CS87" s="60">
        <f t="shared" si="897"/>
        <v>-6.7661581844297611</v>
      </c>
      <c r="CT87" s="60">
        <f t="shared" si="898"/>
        <v>-6.7661581844297611</v>
      </c>
      <c r="CU87" s="60">
        <f t="shared" si="899"/>
        <v>-6.7661581844297611</v>
      </c>
      <c r="CV87" s="60">
        <f t="shared" si="900"/>
        <v>-6.7661581844297611</v>
      </c>
      <c r="CW87" s="60">
        <f t="shared" si="901"/>
        <v>-6.7661581844297611</v>
      </c>
      <c r="CX87" s="60">
        <f t="shared" si="902"/>
        <v>-6.7661581844297611</v>
      </c>
      <c r="CY87" s="60">
        <f t="shared" si="903"/>
        <v>-6.7661581844297611</v>
      </c>
      <c r="CZ87" s="60">
        <f t="shared" si="904"/>
        <v>-6.7661581844297611</v>
      </c>
      <c r="DA87" s="60">
        <f t="shared" si="905"/>
        <v>-6.7661581844297611</v>
      </c>
      <c r="DB87" s="60">
        <f t="shared" si="906"/>
        <v>-6.7661581844297611</v>
      </c>
      <c r="DE87" s="136"/>
      <c r="DF87" s="13">
        <v>-6.7661581844297611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-11.013164102881259</v>
      </c>
      <c r="C89" s="13">
        <f t="shared" si="914"/>
        <v>-7.8792099514289884</v>
      </c>
      <c r="D89" s="13">
        <f t="shared" ca="1" si="914"/>
        <v>-6.0500880401997597</v>
      </c>
      <c r="E89" s="13">
        <f t="shared" ca="1" si="914"/>
        <v>-8.7076417138934712</v>
      </c>
      <c r="F89" s="13">
        <f t="shared" ca="1" si="914"/>
        <v>-14.08482101027959</v>
      </c>
      <c r="G89" s="13">
        <f t="shared" ca="1" si="914"/>
        <v>-19.850739632462052</v>
      </c>
      <c r="H89" s="13">
        <f t="shared" ca="1" si="914"/>
        <v>-42.566666306340224</v>
      </c>
      <c r="I89" s="13">
        <f t="shared" ca="1" si="914"/>
        <v>-72.595839079697981</v>
      </c>
      <c r="J89" s="13">
        <f t="shared" ca="1" si="914"/>
        <v>-22.8296002015021</v>
      </c>
      <c r="K89" s="13">
        <f t="shared" ca="1" si="914"/>
        <v>98.885696341464694</v>
      </c>
      <c r="L89" s="13">
        <f t="shared" ca="1" si="914"/>
        <v>-9.4065212966619214</v>
      </c>
      <c r="M89" s="13">
        <f t="shared" ca="1" si="914"/>
        <v>-6.7706136959272847</v>
      </c>
      <c r="N89" s="13">
        <f t="shared" ca="1" si="914"/>
        <v>-5.0831763978238893</v>
      </c>
      <c r="O89" s="13">
        <f t="shared" ca="1" si="914"/>
        <v>-3.2638337718900354</v>
      </c>
      <c r="P89" s="13">
        <f t="shared" ca="1" si="914"/>
        <v>-7.6650015348551781</v>
      </c>
      <c r="Q89" s="13">
        <f t="shared" ca="1" si="914"/>
        <v>-1.3148028476371056</v>
      </c>
      <c r="R89" s="13">
        <f t="shared" ca="1" si="914"/>
        <v>-1.0781166540372151</v>
      </c>
      <c r="S89" s="13">
        <f t="shared" ca="1" si="914"/>
        <v>-2.1512431736940654</v>
      </c>
      <c r="T89" s="13">
        <f t="shared" ca="1" si="914"/>
        <v>-1.0187082168199841</v>
      </c>
      <c r="U89" s="13">
        <f t="shared" ca="1" si="914"/>
        <v>-0.84663081815791186</v>
      </c>
      <c r="V89" s="13">
        <f t="shared" ca="1" si="914"/>
        <v>-3.7328704526748968</v>
      </c>
      <c r="W89" s="13">
        <f t="shared" ca="1" si="914"/>
        <v>-49.934826144192385</v>
      </c>
      <c r="X89" s="13">
        <f t="shared" ca="1" si="914"/>
        <v>-33.419239034873499</v>
      </c>
      <c r="Y89" s="13">
        <f t="shared" ca="1" si="914"/>
        <v>-16.723870322742524</v>
      </c>
      <c r="Z89" s="13">
        <f t="shared" ref="Z89:AA89" ca="1" si="915">+Z78/AA69</f>
        <v>-25.042872324044815</v>
      </c>
      <c r="AA89" s="13">
        <f t="shared" ca="1" si="915"/>
        <v>-25.042872324044815</v>
      </c>
      <c r="AB89" s="37">
        <f t="shared" ca="1" si="914"/>
        <v>-16.14314375818822</v>
      </c>
      <c r="AC89" s="37">
        <f t="shared" ca="1" si="914"/>
        <v>-10.22928532541196</v>
      </c>
      <c r="AD89" s="37">
        <f t="shared" ca="1" si="914"/>
        <v>-10.291838447081837</v>
      </c>
      <c r="AE89" s="37"/>
      <c r="AL89" s="13">
        <f t="shared" ref="AL89:BQ89" si="916">+AL78/AP69</f>
        <v>-4.5408898396530297</v>
      </c>
      <c r="AM89" s="13">
        <f t="shared" si="916"/>
        <v>-3.6109290035340917</v>
      </c>
      <c r="AN89" s="13">
        <f t="shared" si="916"/>
        <v>-2.6835249638388059</v>
      </c>
      <c r="AO89" s="13">
        <f t="shared" si="916"/>
        <v>-2.9447051175018197</v>
      </c>
      <c r="AP89" s="13">
        <f t="shared" si="916"/>
        <v>-2.7866744847539167</v>
      </c>
      <c r="AQ89" s="13">
        <f t="shared" si="916"/>
        <v>-4.498111086027853</v>
      </c>
      <c r="AR89" s="13">
        <f t="shared" si="916"/>
        <v>-4.6382462258097199</v>
      </c>
      <c r="AS89" s="13">
        <f t="shared" si="916"/>
        <v>-4.0095116041979004</v>
      </c>
      <c r="AT89" s="13">
        <f t="shared" si="916"/>
        <v>-6.1045532858936795</v>
      </c>
      <c r="AU89" s="13">
        <f t="shared" si="916"/>
        <v>-4.5594099872025913</v>
      </c>
      <c r="AV89" s="13">
        <f t="shared" si="916"/>
        <v>-2.5416521648996029</v>
      </c>
      <c r="AW89" s="13">
        <f t="shared" si="916"/>
        <v>-1.8141948031433872</v>
      </c>
      <c r="AX89" s="13">
        <f t="shared" si="916"/>
        <v>-1.2028703074358402</v>
      </c>
      <c r="AY89" s="13">
        <f t="shared" si="916"/>
        <v>-0.83449201321250088</v>
      </c>
      <c r="AZ89" s="13">
        <f t="shared" si="916"/>
        <v>-0.81791671315407799</v>
      </c>
      <c r="BA89" s="13">
        <f t="shared" si="916"/>
        <v>-0.90485996766782972</v>
      </c>
      <c r="BB89" s="13">
        <f t="shared" si="916"/>
        <v>-1.0781166540372151</v>
      </c>
      <c r="BC89" s="13">
        <f t="shared" si="916"/>
        <v>-1.0361122421509577</v>
      </c>
      <c r="BD89" s="13">
        <f t="shared" si="916"/>
        <v>-1.11742718975122</v>
      </c>
      <c r="BE89" s="13">
        <f t="shared" si="916"/>
        <v>-1.3327469635125244</v>
      </c>
      <c r="BF89" s="13">
        <f t="shared" si="916"/>
        <v>-1.5679215487979492</v>
      </c>
      <c r="BG89" s="13">
        <f t="shared" si="916"/>
        <v>-1.2507633315481428</v>
      </c>
      <c r="BH89" s="13">
        <f t="shared" si="916"/>
        <v>-1.1522219310400226</v>
      </c>
      <c r="BI89" s="13">
        <f t="shared" si="916"/>
        <v>-0.9784710037376092</v>
      </c>
      <c r="BJ89" s="13">
        <f t="shared" si="916"/>
        <v>-0.63345682839628303</v>
      </c>
      <c r="BK89" s="13">
        <f t="shared" si="916"/>
        <v>-0.87661292820312109</v>
      </c>
      <c r="BL89" s="13">
        <f t="shared" si="916"/>
        <v>-0.71435112891600605</v>
      </c>
      <c r="BM89" s="13">
        <f t="shared" si="916"/>
        <v>-0.51110747127378819</v>
      </c>
      <c r="BN89" s="13">
        <f t="shared" si="916"/>
        <v>-0.69240584938531324</v>
      </c>
      <c r="BO89" s="13">
        <f t="shared" si="916"/>
        <v>-0.72149926186690883</v>
      </c>
      <c r="BP89" s="13">
        <f t="shared" si="916"/>
        <v>-0.649867563530107</v>
      </c>
      <c r="BQ89" s="13">
        <f t="shared" si="916"/>
        <v>-1.4438088691143152</v>
      </c>
      <c r="BR89" s="13">
        <f t="shared" ref="BR89:CL89" si="917">+BR78/BV69</f>
        <v>-3.7328704526748968</v>
      </c>
      <c r="BS89" s="13">
        <f t="shared" si="917"/>
        <v>-7.4479773423404518</v>
      </c>
      <c r="BT89" s="13">
        <f t="shared" si="917"/>
        <v>-9.2420179149042063</v>
      </c>
      <c r="BU89" s="13">
        <f t="shared" si="917"/>
        <v>-35.395692344706909</v>
      </c>
      <c r="BV89" s="13">
        <f t="shared" si="917"/>
        <v>-49.934826144192378</v>
      </c>
      <c r="BW89" s="13">
        <f t="shared" si="917"/>
        <v>-35.838022574703409</v>
      </c>
      <c r="BX89" s="13">
        <f t="shared" si="917"/>
        <v>-24.932983813673211</v>
      </c>
      <c r="BY89" s="13">
        <f t="shared" si="917"/>
        <v>-18.672158012657061</v>
      </c>
      <c r="BZ89" s="13">
        <f t="shared" si="917"/>
        <v>-14.903389217218587</v>
      </c>
      <c r="CA89" s="13">
        <f t="shared" si="917"/>
        <v>-13.175527297586873</v>
      </c>
      <c r="CB89" s="13">
        <f t="shared" si="917"/>
        <v>-16.783089894713648</v>
      </c>
      <c r="CC89" s="13">
        <f t="shared" si="917"/>
        <v>-15.339801523970459</v>
      </c>
      <c r="CD89" s="13">
        <f t="shared" si="917"/>
        <v>-16.334515321644766</v>
      </c>
      <c r="CE89" s="13">
        <f t="shared" si="917"/>
        <v>-13.781711373811955</v>
      </c>
      <c r="CF89" s="13">
        <f t="shared" si="917"/>
        <v>-17.248153696390272</v>
      </c>
      <c r="CG89" s="13">
        <f t="shared" si="917"/>
        <v>-15.870860284983559</v>
      </c>
      <c r="CH89" s="13">
        <f t="shared" si="917"/>
        <v>-18.982083883941396</v>
      </c>
      <c r="CI89" s="13">
        <f t="shared" si="917"/>
        <v>-23.996919571011407</v>
      </c>
      <c r="CJ89" s="13">
        <f t="shared" si="917"/>
        <v>-29.162939372867402</v>
      </c>
      <c r="CK89" s="13">
        <f t="shared" si="917"/>
        <v>-29.30988527142982</v>
      </c>
      <c r="CL89" s="13">
        <f t="shared" si="917"/>
        <v>-23.496356171257919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-38.025209708061652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0.70504492761636428</v>
      </c>
      <c r="AP90" s="175">
        <f t="shared" si="918"/>
        <v>-5.4897468933401493E-2</v>
      </c>
      <c r="AQ90" s="175">
        <f t="shared" si="918"/>
        <v>-0.67528751121196384</v>
      </c>
      <c r="AR90" s="175">
        <f t="shared" si="918"/>
        <v>-0.93001301968323657</v>
      </c>
      <c r="AS90" s="175">
        <f t="shared" si="918"/>
        <v>-0.85943277737217871</v>
      </c>
      <c r="AT90" s="175">
        <f t="shared" si="918"/>
        <v>-0.70041542935977541</v>
      </c>
      <c r="AU90" s="175">
        <f t="shared" si="918"/>
        <v>-0.52189135786043828</v>
      </c>
      <c r="AV90" s="175">
        <f t="shared" si="918"/>
        <v>7.4395956549736131E-2</v>
      </c>
      <c r="AW90" s="175">
        <f t="shared" si="918"/>
        <v>-0.43694384877359754</v>
      </c>
      <c r="AX90" s="175">
        <f t="shared" si="918"/>
        <v>-0.99914313889599882</v>
      </c>
      <c r="AY90" s="175">
        <f t="shared" si="918"/>
        <v>-0.91600059814490664</v>
      </c>
      <c r="AZ90" s="175">
        <f t="shared" si="918"/>
        <v>-0.95615168446860699</v>
      </c>
      <c r="BA90" s="175">
        <f t="shared" si="918"/>
        <v>-0.93780963550563545</v>
      </c>
      <c r="BB90" s="175">
        <f t="shared" si="918"/>
        <v>-0.88145176831403405</v>
      </c>
      <c r="BC90" s="175">
        <f t="shared" si="918"/>
        <v>-0.96280773373289297</v>
      </c>
      <c r="BD90" s="175">
        <f t="shared" si="918"/>
        <v>-0.96028379036171774</v>
      </c>
      <c r="BE90" s="175">
        <f t="shared" si="918"/>
        <v>-0.9253507434885011</v>
      </c>
      <c r="BF90" s="175">
        <f t="shared" si="918"/>
        <v>-0.90891326687992635</v>
      </c>
      <c r="BG90" s="175">
        <f t="shared" si="918"/>
        <v>-0.48759641632552064</v>
      </c>
      <c r="BH90" s="175">
        <f t="shared" si="918"/>
        <v>0.14187221807002062</v>
      </c>
      <c r="BI90" s="175">
        <f t="shared" si="918"/>
        <v>0.92351726699854808</v>
      </c>
      <c r="BJ90" s="175">
        <f t="shared" si="918"/>
        <v>-0.57880263225929629</v>
      </c>
      <c r="BK90" s="175">
        <f t="shared" si="918"/>
        <v>-0.83368528819955867</v>
      </c>
      <c r="BL90" s="175">
        <f t="shared" si="918"/>
        <v>-0.88005324979274246</v>
      </c>
      <c r="BM90" s="175">
        <f t="shared" si="918"/>
        <v>0.97986817959714578</v>
      </c>
      <c r="BN90" s="175">
        <f t="shared" si="918"/>
        <v>-0.29084826123415036</v>
      </c>
      <c r="BO90" s="175">
        <f t="shared" si="918"/>
        <v>-0.33069008317984083</v>
      </c>
      <c r="BP90" s="175">
        <f t="shared" si="918"/>
        <v>-3.4516710269327053E-2</v>
      </c>
      <c r="BQ90" s="175">
        <f t="shared" si="918"/>
        <v>-5.3096922036767857E-2</v>
      </c>
      <c r="BR90" s="175">
        <f t="shared" si="918"/>
        <v>0.65959914180319579</v>
      </c>
      <c r="BS90" s="175">
        <f t="shared" si="918"/>
        <v>0.81419779299488682</v>
      </c>
      <c r="BT90" s="175">
        <f t="shared" si="918"/>
        <v>0.31051639553987309</v>
      </c>
      <c r="BU90" s="175">
        <f t="shared" si="918"/>
        <v>4.4032253616047824E-2</v>
      </c>
      <c r="BV90" s="175">
        <f t="shared" si="918"/>
        <v>-0.62430827220847362</v>
      </c>
      <c r="BW90" s="175">
        <f t="shared" si="918"/>
        <v>-0.21260075855656146</v>
      </c>
      <c r="BX90" s="175">
        <f t="shared" si="918"/>
        <v>0.69304050645132931</v>
      </c>
      <c r="BY90" s="175">
        <f t="shared" si="918"/>
        <v>0.98708208466520986</v>
      </c>
      <c r="BZ90" s="175">
        <f t="shared" si="918"/>
        <v>0.99176058906111952</v>
      </c>
      <c r="CA90" s="175">
        <f t="shared" si="918"/>
        <v>0.8461735246470935</v>
      </c>
      <c r="CB90" s="175">
        <f t="shared" si="918"/>
        <v>0.30053338311996231</v>
      </c>
      <c r="CC90" s="175">
        <f t="shared" si="918"/>
        <v>0.42649092213788997</v>
      </c>
      <c r="CD90" s="175">
        <f t="shared" si="918"/>
        <v>0.42063995368287255</v>
      </c>
      <c r="CE90" s="175">
        <f t="shared" si="918"/>
        <v>-0.85244944160288771</v>
      </c>
      <c r="CF90" s="175">
        <f t="shared" si="918"/>
        <v>-8.7086569890074447E-2</v>
      </c>
      <c r="CG90" s="175">
        <f t="shared" si="918"/>
        <v>-0.39635393408682795</v>
      </c>
      <c r="CH90" s="175">
        <f t="shared" si="918"/>
        <v>-6.8375915844972407E-2</v>
      </c>
      <c r="CI90" s="175">
        <f t="shared" si="918"/>
        <v>-0.58444259525704512</v>
      </c>
      <c r="CJ90" s="175">
        <f>+CORREL(CG69:CJ69,CG86:CJ86)</f>
        <v>0.99999953214362536</v>
      </c>
      <c r="CK90" s="175">
        <f>+CORREL(CH69:CK69,CH86:CK86)</f>
        <v>0.52139353010855949</v>
      </c>
      <c r="CL90" s="175">
        <f>+CORREL(CI69:CL69,CI86:CL86)</f>
        <v>0.13253636132376928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1.8271753975845686</v>
      </c>
      <c r="F92" s="162">
        <f t="shared" ca="1" si="919"/>
        <v>-0.2235374156619421</v>
      </c>
      <c r="G92" s="162">
        <f t="shared" ca="1" si="919"/>
        <v>-2.5454108331244605</v>
      </c>
      <c r="H92" s="162">
        <f t="shared" ca="1" si="919"/>
        <v>-1.643076734205317</v>
      </c>
      <c r="I92" s="162">
        <f t="shared" ca="1" si="919"/>
        <v>-1.0260725447970012</v>
      </c>
      <c r="J92" s="162">
        <f t="shared" ca="1" si="919"/>
        <v>-1.937000301801088</v>
      </c>
      <c r="K92" s="162">
        <f t="shared" ca="1" si="919"/>
        <v>-3.5636058580102619</v>
      </c>
      <c r="L92" s="162">
        <f t="shared" ca="1" si="919"/>
        <v>-3.153207531727479</v>
      </c>
      <c r="M92" s="162">
        <f t="shared" ca="1" si="919"/>
        <v>-5.800616901883954</v>
      </c>
      <c r="N92" s="162">
        <f t="shared" ca="1" si="919"/>
        <v>-9.1704050784427054</v>
      </c>
      <c r="O92" s="162">
        <f t="shared" ca="1" si="919"/>
        <v>-12.03536699523768</v>
      </c>
      <c r="P92" s="162">
        <f t="shared" ca="1" si="919"/>
        <v>-15.182538505215021</v>
      </c>
      <c r="Q92" s="162">
        <f t="shared" ca="1" si="919"/>
        <v>-20.390448762871305</v>
      </c>
      <c r="R92" s="162">
        <f t="shared" ca="1" si="919"/>
        <v>-30.225327761096306</v>
      </c>
      <c r="S92" s="162">
        <f t="shared" ca="1" si="919"/>
        <v>-77.543185689513194</v>
      </c>
      <c r="T92" s="162">
        <f t="shared" ca="1" si="919"/>
        <v>-75.807471367261229</v>
      </c>
      <c r="U92" s="162">
        <f t="shared" ca="1" si="919"/>
        <v>-89.410669435734277</v>
      </c>
      <c r="V92" s="162">
        <f t="shared" ca="1" si="919"/>
        <v>-94.585893101031758</v>
      </c>
      <c r="W92" s="162">
        <f t="shared" ca="1" si="919"/>
        <v>-96.333270244970407</v>
      </c>
      <c r="X92" s="162">
        <f t="shared" ca="1" si="919"/>
        <v>-97.469116541257222</v>
      </c>
      <c r="Y92" s="162">
        <f t="shared" ca="1" si="919"/>
        <v>-98.48408894436119</v>
      </c>
      <c r="Z92" s="162">
        <f t="shared" ca="1" si="919"/>
        <v>-100.10736957333512</v>
      </c>
      <c r="AA92" s="162">
        <f t="shared" ca="1" si="919"/>
        <v>-100.10736957333512</v>
      </c>
      <c r="AB92" s="21">
        <f t="shared" ca="1" si="919"/>
        <v>-104.35481106219065</v>
      </c>
      <c r="AC92" s="21">
        <f t="shared" ca="1" si="919"/>
        <v>-106.71505311965007</v>
      </c>
      <c r="AD92" s="21">
        <f t="shared" ca="1" si="919"/>
        <v>-109.31443070082427</v>
      </c>
      <c r="AE92" s="21">
        <f t="shared" ca="1" si="919"/>
        <v>-112.15977303310827</v>
      </c>
      <c r="AL92" s="162">
        <f t="shared" ref="AL92:BQ92" si="920">+AL$120/AL$65</f>
        <v>-9.1704050784427054</v>
      </c>
      <c r="AM92" s="162">
        <f t="shared" si="920"/>
        <v>-9.8194820274894745</v>
      </c>
      <c r="AN92" s="162">
        <f t="shared" si="920"/>
        <v>-10.664678530689079</v>
      </c>
      <c r="AO92" s="162">
        <f t="shared" si="920"/>
        <v>-11.464502565309242</v>
      </c>
      <c r="AP92" s="162">
        <f t="shared" si="920"/>
        <v>-12.03536699523768</v>
      </c>
      <c r="AQ92" s="162">
        <f t="shared" si="920"/>
        <v>-12.664085159059402</v>
      </c>
      <c r="AR92" s="162">
        <f t="shared" si="920"/>
        <v>-13.47935731714179</v>
      </c>
      <c r="AS92" s="162">
        <f t="shared" si="920"/>
        <v>-14.344196467392692</v>
      </c>
      <c r="AT92" s="162">
        <f t="shared" si="920"/>
        <v>-15.182538505215021</v>
      </c>
      <c r="AU92" s="162">
        <f t="shared" si="920"/>
        <v>-15.609817231307513</v>
      </c>
      <c r="AV92" s="162">
        <f t="shared" si="920"/>
        <v>-16.507291821190528</v>
      </c>
      <c r="AW92" s="162">
        <f t="shared" si="920"/>
        <v>-16.901883954924216</v>
      </c>
      <c r="AX92" s="162">
        <f t="shared" si="920"/>
        <v>-20.390448762871305</v>
      </c>
      <c r="AY92" s="162">
        <f t="shared" si="920"/>
        <v>-20.943256280276017</v>
      </c>
      <c r="AZ92" s="162">
        <f t="shared" si="920"/>
        <v>-20.627132429294143</v>
      </c>
      <c r="BA92" s="162">
        <f t="shared" si="920"/>
        <v>-22.74864061628805</v>
      </c>
      <c r="BB92" s="162">
        <f t="shared" si="920"/>
        <v>-30.225327761096306</v>
      </c>
      <c r="BC92" s="162">
        <f t="shared" si="920"/>
        <v>-32.687973482426486</v>
      </c>
      <c r="BD92" s="162">
        <f t="shared" si="920"/>
        <v>-74.260305995611091</v>
      </c>
      <c r="BE92" s="162">
        <f t="shared" si="920"/>
        <v>-76.719473331525933</v>
      </c>
      <c r="BF92" s="162">
        <f t="shared" si="920"/>
        <v>-77.543185689513194</v>
      </c>
      <c r="BG92" s="162">
        <f t="shared" si="920"/>
        <v>-79.872834321433515</v>
      </c>
      <c r="BH92" s="162">
        <f t="shared" si="920"/>
        <v>-78.577289212401482</v>
      </c>
      <c r="BI92" s="162">
        <f t="shared" si="920"/>
        <v>-80.671584148793045</v>
      </c>
      <c r="BJ92" s="162">
        <f t="shared" si="920"/>
        <v>-75.807471367261229</v>
      </c>
      <c r="BK92" s="162">
        <f t="shared" si="920"/>
        <v>-76.97810151770139</v>
      </c>
      <c r="BL92" s="162">
        <f t="shared" si="920"/>
        <v>-83.529640447484056</v>
      </c>
      <c r="BM92" s="162">
        <f t="shared" si="920"/>
        <v>-84.945803686065474</v>
      </c>
      <c r="BN92" s="162">
        <f t="shared" si="920"/>
        <v>-89.410669435734277</v>
      </c>
      <c r="BO92" s="162">
        <f t="shared" si="920"/>
        <v>-94.880225890441082</v>
      </c>
      <c r="BP92" s="162">
        <f t="shared" si="920"/>
        <v>-91.873928989784801</v>
      </c>
      <c r="BQ92" s="162">
        <f t="shared" si="920"/>
        <v>-93.398024481695003</v>
      </c>
      <c r="BR92" s="162">
        <f t="shared" ref="BR92:DB92" si="921">+BR$120/BR$65</f>
        <v>-94.585893101031758</v>
      </c>
      <c r="BS92" s="162">
        <f t="shared" si="921"/>
        <v>-96.21485168266895</v>
      </c>
      <c r="BT92" s="162">
        <f t="shared" si="921"/>
        <v>-95.555339577376188</v>
      </c>
      <c r="BU92" s="162">
        <f t="shared" si="921"/>
        <v>-97.101686505399172</v>
      </c>
      <c r="BV92" s="162">
        <f t="shared" si="921"/>
        <v>-96.333270244970407</v>
      </c>
      <c r="BW92" s="162">
        <f t="shared" si="921"/>
        <v>-97.842787209772212</v>
      </c>
      <c r="BX92" s="162">
        <f t="shared" si="921"/>
        <v>-94.939767664315355</v>
      </c>
      <c r="BY92" s="162">
        <f t="shared" si="921"/>
        <v>-96.370969804545439</v>
      </c>
      <c r="BZ92" s="162">
        <f t="shared" si="921"/>
        <v>-97.469116541257222</v>
      </c>
      <c r="CA92" s="162">
        <f t="shared" si="921"/>
        <v>-99.00973436389026</v>
      </c>
      <c r="CB92" s="162">
        <f t="shared" si="921"/>
        <v>-97.922329699784655</v>
      </c>
      <c r="CC92" s="162">
        <f t="shared" si="921"/>
        <v>-99.49624794749684</v>
      </c>
      <c r="CD92" s="162">
        <f t="shared" si="921"/>
        <v>-98.48408894436119</v>
      </c>
      <c r="CE92" s="162">
        <f t="shared" si="921"/>
        <v>-100.13836812571296</v>
      </c>
      <c r="CF92" s="162">
        <f t="shared" si="921"/>
        <v>-97.255093532760753</v>
      </c>
      <c r="CG92" s="162">
        <f t="shared" si="921"/>
        <v>-98.866967103681461</v>
      </c>
      <c r="CH92" s="162">
        <f t="shared" si="921"/>
        <v>-100.10736957333512</v>
      </c>
      <c r="CI92" s="162">
        <f t="shared" si="921"/>
        <v>-101.76973088550486</v>
      </c>
      <c r="CJ92" s="162">
        <f t="shared" si="921"/>
        <v>-100.99834776692772</v>
      </c>
      <c r="CK92" s="162">
        <f t="shared" si="921"/>
        <v>-101.7678382346171</v>
      </c>
      <c r="CL92" s="162">
        <f t="shared" si="921"/>
        <v>-102.22043756042417</v>
      </c>
      <c r="CM92" s="21">
        <f t="shared" si="921"/>
        <v>-102.79389555910633</v>
      </c>
      <c r="CN92" s="21">
        <f t="shared" si="921"/>
        <v>-103.3499701259019</v>
      </c>
      <c r="CO92" s="21">
        <f t="shared" si="921"/>
        <v>-103.85147056133923</v>
      </c>
      <c r="CP92" s="21">
        <f t="shared" si="921"/>
        <v>-104.35481106219065</v>
      </c>
      <c r="CQ92" s="21">
        <f t="shared" si="921"/>
        <v>-104.97220947109955</v>
      </c>
      <c r="CR92" s="21">
        <f t="shared" si="921"/>
        <v>-105.57799257487297</v>
      </c>
      <c r="CS92" s="21">
        <f t="shared" si="921"/>
        <v>-106.14954924218944</v>
      </c>
      <c r="CT92" s="21">
        <f t="shared" si="921"/>
        <v>-106.71505311965007</v>
      </c>
      <c r="CU92" s="21">
        <f t="shared" si="921"/>
        <v>-107.38564556718619</v>
      </c>
      <c r="CV92" s="21">
        <f t="shared" si="921"/>
        <v>-108.04889328135903</v>
      </c>
      <c r="CW92" s="21">
        <f t="shared" si="921"/>
        <v>-108.68425370158239</v>
      </c>
      <c r="CX92" s="21">
        <f t="shared" si="921"/>
        <v>-109.31443070082427</v>
      </c>
      <c r="CY92" s="21">
        <f t="shared" si="921"/>
        <v>-110.04162696396983</v>
      </c>
      <c r="CZ92" s="21">
        <f t="shared" si="921"/>
        <v>-110.76426786217046</v>
      </c>
      <c r="DA92" s="21">
        <f t="shared" si="921"/>
        <v>-111.46357042789204</v>
      </c>
      <c r="DB92" s="21">
        <f t="shared" si="921"/>
        <v>-112.15977303310827</v>
      </c>
      <c r="DE92" s="22"/>
      <c r="DF92" s="162">
        <v>-102.22043756042417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22">+E77/E$92</f>
        <v>8.4567977704154256</v>
      </c>
      <c r="F94" s="162">
        <f t="shared" ca="1" si="922"/>
        <v>-108.59472520754022</v>
      </c>
      <c r="G94" s="162">
        <f t="shared" ca="1" si="922"/>
        <v>-8.8997313188298328</v>
      </c>
      <c r="H94" s="162">
        <f t="shared" ca="1" si="922"/>
        <v>-12.467729879403224</v>
      </c>
      <c r="I94" s="162">
        <f t="shared" ca="1" si="922"/>
        <v>-26.588328024560582</v>
      </c>
      <c r="J94" s="162">
        <f t="shared" ca="1" si="922"/>
        <v>-11.427939535948639</v>
      </c>
      <c r="K94" s="162">
        <f t="shared" ca="1" si="922"/>
        <v>-6.4432392254973054</v>
      </c>
      <c r="L94" s="162">
        <f t="shared" ca="1" si="922"/>
        <v>-5.2650964392684472</v>
      </c>
      <c r="M94" s="162">
        <f t="shared" ca="1" si="922"/>
        <v>-2.4604011782882811</v>
      </c>
      <c r="N94" s="162">
        <f t="shared" ca="1" si="922"/>
        <v>-0.83637558504927501</v>
      </c>
      <c r="O94" s="162">
        <f t="shared" ca="1" si="922"/>
        <v>-0.61568542138616056</v>
      </c>
      <c r="P94" s="162">
        <f t="shared" ca="1" si="922"/>
        <v>-0.5203345934071858</v>
      </c>
      <c r="Q94" s="162">
        <f t="shared" ca="1" si="922"/>
        <v>-0.32515223559338619</v>
      </c>
      <c r="R94" s="162">
        <f t="shared" ca="1" si="922"/>
        <v>-0.23821081633620136</v>
      </c>
      <c r="S94" s="162">
        <f t="shared" ca="1" si="922"/>
        <v>-7.1057178667669349E-2</v>
      </c>
      <c r="T94" s="162">
        <f t="shared" ca="1" si="922"/>
        <v>-4.0497327567185319E-2</v>
      </c>
      <c r="U94" s="162">
        <f t="shared" ca="1" si="922"/>
        <v>-2.0131825556834539E-2</v>
      </c>
      <c r="V94" s="162">
        <f t="shared" ca="1" si="922"/>
        <v>-0.14907085547037241</v>
      </c>
      <c r="W94" s="162">
        <f t="shared" ca="1" si="922"/>
        <v>-1.7320080547012395</v>
      </c>
      <c r="X94" s="162">
        <f t="shared" ca="1" si="922"/>
        <v>-0.56930853555558714</v>
      </c>
      <c r="Y94" s="162">
        <f t="shared" ca="1" si="922"/>
        <v>-0.75098425332221797</v>
      </c>
      <c r="Z94" s="162">
        <f t="shared" ca="1" si="922"/>
        <v>-0.56269583588183913</v>
      </c>
      <c r="AA94" s="162">
        <f t="shared" ref="AA94" ca="1" si="923">+AA77/AA$92</f>
        <v>-0.56269583588183913</v>
      </c>
      <c r="AB94" s="21">
        <f t="shared" ca="1" si="922"/>
        <v>-0.2998424287439187</v>
      </c>
      <c r="AC94" s="21">
        <f t="shared" ca="1" si="922"/>
        <v>-0.29321074286415166</v>
      </c>
      <c r="AD94" s="21">
        <f t="shared" ca="1" si="922"/>
        <v>-0.28623851214699741</v>
      </c>
      <c r="AE94" s="21">
        <f t="shared" ca="1" si="922"/>
        <v>-0.27897702673456332</v>
      </c>
      <c r="AL94" s="162">
        <f t="shared" ref="AL94:CI96" si="924">+AL77/AL$92</f>
        <v>-0.83637558504927501</v>
      </c>
      <c r="AM94" s="162">
        <f t="shared" si="924"/>
        <v>-0.62487230109690906</v>
      </c>
      <c r="AN94" s="162">
        <f t="shared" si="924"/>
        <v>-0.64136954342476982</v>
      </c>
      <c r="AO94" s="162">
        <f t="shared" si="924"/>
        <v>-0.64634291438183511</v>
      </c>
      <c r="AP94" s="162">
        <f t="shared" si="924"/>
        <v>-0.61568542138616056</v>
      </c>
      <c r="AQ94" s="162">
        <f t="shared" si="924"/>
        <v>-0.93887555639929898</v>
      </c>
      <c r="AR94" s="162">
        <f t="shared" si="924"/>
        <v>-0.74558450848538216</v>
      </c>
      <c r="AS94" s="162">
        <f t="shared" si="924"/>
        <v>-0.52983100289210083</v>
      </c>
      <c r="AT94" s="162">
        <f t="shared" si="924"/>
        <v>-0.5203345934071858</v>
      </c>
      <c r="AU94" s="162">
        <f t="shared" si="924"/>
        <v>-0.42473271158503217</v>
      </c>
      <c r="AV94" s="162">
        <f t="shared" si="924"/>
        <v>-0.37498579821881223</v>
      </c>
      <c r="AW94" s="162">
        <f t="shared" si="924"/>
        <v>-0.48515301737182981</v>
      </c>
      <c r="AX94" s="162">
        <f t="shared" si="924"/>
        <v>-0.32515223559338619</v>
      </c>
      <c r="AY94" s="162">
        <f t="shared" si="924"/>
        <v>-0.33089410296366134</v>
      </c>
      <c r="AZ94" s="162">
        <f t="shared" si="924"/>
        <v>-0.27342627577210932</v>
      </c>
      <c r="BA94" s="162">
        <f t="shared" si="924"/>
        <v>-0.26463119715776218</v>
      </c>
      <c r="BB94" s="162">
        <f t="shared" si="924"/>
        <v>-0.23821081633620136</v>
      </c>
      <c r="BC94" s="162">
        <f t="shared" si="924"/>
        <v>-0.20955719398397873</v>
      </c>
      <c r="BD94" s="162">
        <f t="shared" si="924"/>
        <v>-8.0258220325031326E-2</v>
      </c>
      <c r="BE94" s="162">
        <f t="shared" si="924"/>
        <v>-9.2023572287726729E-2</v>
      </c>
      <c r="BF94" s="162">
        <f t="shared" si="924"/>
        <v>-7.1057178667669349E-2</v>
      </c>
      <c r="BG94" s="162">
        <f t="shared" si="924"/>
        <v>-5.7215948811943702E-2</v>
      </c>
      <c r="BH94" s="162">
        <f t="shared" si="924"/>
        <v>-5.5232243864618308E-2</v>
      </c>
      <c r="BI94" s="162">
        <f t="shared" si="924"/>
        <v>-4.95837542079536E-2</v>
      </c>
      <c r="BJ94" s="162">
        <f t="shared" si="924"/>
        <v>-4.0497327567185319E-2</v>
      </c>
      <c r="BK94" s="162">
        <f t="shared" si="924"/>
        <v>-4.7935710640401689E-2</v>
      </c>
      <c r="BL94" s="162">
        <f t="shared" si="924"/>
        <v>-3.3760470952499344E-2</v>
      </c>
      <c r="BM94" s="162">
        <f t="shared" si="924"/>
        <v>-2.6487476748296282E-2</v>
      </c>
      <c r="BN94" s="162">
        <f t="shared" si="924"/>
        <v>-2.0131825556834539E-2</v>
      </c>
      <c r="BO94" s="162">
        <f t="shared" si="924"/>
        <v>-4.1842227532048561E-2</v>
      </c>
      <c r="BP94" s="162">
        <f t="shared" si="924"/>
        <v>-3.1891528230231433E-2</v>
      </c>
      <c r="BQ94" s="162">
        <f t="shared" si="924"/>
        <v>-8.5333710688517111E-2</v>
      </c>
      <c r="BR94" s="162">
        <f t="shared" si="924"/>
        <v>-0.14907085547037241</v>
      </c>
      <c r="BS94" s="162">
        <f t="shared" si="924"/>
        <v>-0.47186062448795352</v>
      </c>
      <c r="BT94" s="162">
        <f t="shared" si="924"/>
        <v>-0.37046595361983675</v>
      </c>
      <c r="BU94" s="162">
        <f t="shared" si="924"/>
        <v>-2.1312709124623996</v>
      </c>
      <c r="BV94" s="162">
        <f t="shared" si="924"/>
        <v>-1.7320080547012395</v>
      </c>
      <c r="BW94" s="162">
        <f t="shared" si="924"/>
        <v>-1.2376998187956867</v>
      </c>
      <c r="BX94" s="162">
        <f t="shared" si="924"/>
        <v>-1.0896382258462527</v>
      </c>
      <c r="BY94" s="162">
        <f t="shared" si="924"/>
        <v>-0.96190792920325796</v>
      </c>
      <c r="BZ94" s="162">
        <f t="shared" si="924"/>
        <v>-0.56930853555558714</v>
      </c>
      <c r="CA94" s="162">
        <f t="shared" si="924"/>
        <v>-0.71861620937697468</v>
      </c>
      <c r="CB94" s="162">
        <f t="shared" si="924"/>
        <v>-1.015396593451541</v>
      </c>
      <c r="CC94" s="162">
        <f t="shared" si="924"/>
        <v>-0.92184380709913516</v>
      </c>
      <c r="CD94" s="162">
        <f t="shared" si="924"/>
        <v>-0.75098425332221797</v>
      </c>
      <c r="CE94" s="162">
        <f t="shared" si="924"/>
        <v>-0.77622595070071787</v>
      </c>
      <c r="CF94" s="162">
        <f t="shared" si="924"/>
        <v>-0.86792369359622445</v>
      </c>
      <c r="CG94" s="162">
        <f t="shared" si="924"/>
        <v>-0.76355128726497579</v>
      </c>
      <c r="CH94" s="162">
        <f t="shared" si="924"/>
        <v>-0.56269583588183913</v>
      </c>
      <c r="CI94" s="162">
        <f t="shared" si="924"/>
        <v>-0.65038984994925919</v>
      </c>
      <c r="CJ94" s="162">
        <f>+CJ77/CJ$92</f>
        <v>-0.5444643522971242</v>
      </c>
      <c r="CK94" s="162">
        <f>+CK77/CK$92</f>
        <v>-0.48728557921879478</v>
      </c>
      <c r="CL94" s="162">
        <f>+CL77/CL$92</f>
        <v>-0.30610317023446476</v>
      </c>
      <c r="CM94" s="21">
        <f t="shared" ref="CM94:DB94" si="925">+CM77/CM$92</f>
        <v>-0.30439550743563654</v>
      </c>
      <c r="CN94" s="21">
        <f t="shared" si="925"/>
        <v>-0.30275770725315382</v>
      </c>
      <c r="CO94" s="21">
        <f t="shared" si="925"/>
        <v>-0.3012956853751893</v>
      </c>
      <c r="CP94" s="21">
        <f t="shared" si="925"/>
        <v>-0.2998424287439187</v>
      </c>
      <c r="CQ94" s="21">
        <f t="shared" si="925"/>
        <v>-0.29807889304849411</v>
      </c>
      <c r="CR94" s="21">
        <f t="shared" si="925"/>
        <v>-0.29636858247527298</v>
      </c>
      <c r="CS94" s="21">
        <f t="shared" si="925"/>
        <v>-0.29477280142385853</v>
      </c>
      <c r="CT94" s="21">
        <f t="shared" si="925"/>
        <v>-0.29321074286415166</v>
      </c>
      <c r="CU94" s="21">
        <f t="shared" si="925"/>
        <v>-0.29137972617041547</v>
      </c>
      <c r="CV94" s="21">
        <f t="shared" si="925"/>
        <v>-0.28959111981388763</v>
      </c>
      <c r="CW94" s="21">
        <f t="shared" si="925"/>
        <v>-0.28789819071596046</v>
      </c>
      <c r="CX94" s="21">
        <f t="shared" si="925"/>
        <v>-0.28623851214699741</v>
      </c>
      <c r="CY94" s="21">
        <f t="shared" si="925"/>
        <v>-0.28434694091032536</v>
      </c>
      <c r="CZ94" s="21">
        <f t="shared" si="925"/>
        <v>-0.28249182343655915</v>
      </c>
      <c r="DA94" s="21">
        <f t="shared" si="925"/>
        <v>-0.28071952010762219</v>
      </c>
      <c r="DB94" s="21">
        <f t="shared" si="925"/>
        <v>-0.27897702673456332</v>
      </c>
      <c r="DE94" s="22"/>
      <c r="DF94" s="162">
        <v>-0.30610317023446476</v>
      </c>
    </row>
    <row r="95" spans="1:110" s="162" customFormat="1" x14ac:dyDescent="0.2">
      <c r="A95" s="49" t="s">
        <v>503</v>
      </c>
      <c r="E95" s="162">
        <f t="shared" ca="1" si="922"/>
        <v>12.867905249428349</v>
      </c>
      <c r="F95" s="162">
        <f t="shared" ca="1" si="922"/>
        <v>-159.15847741615917</v>
      </c>
      <c r="G95" s="162">
        <f t="shared" ca="1" si="922"/>
        <v>-12.609514058047308</v>
      </c>
      <c r="H95" s="162">
        <f t="shared" ca="1" si="922"/>
        <v>-16.663032350671578</v>
      </c>
      <c r="I95" s="162">
        <f t="shared" ca="1" si="922"/>
        <v>-61.50324987887673</v>
      </c>
      <c r="J95" s="162">
        <f t="shared" ca="1" si="922"/>
        <v>-19.171872247808569</v>
      </c>
      <c r="K95" s="162">
        <f t="shared" ca="1" si="922"/>
        <v>-11.388050724134777</v>
      </c>
      <c r="L95" s="162">
        <f t="shared" ca="1" si="922"/>
        <v>-7.8976446589026708</v>
      </c>
      <c r="M95" s="162">
        <f t="shared" ca="1" si="922"/>
        <v>-3.9332944006649284</v>
      </c>
      <c r="N95" s="162">
        <f t="shared" ca="1" si="922"/>
        <v>-1.5880549083214075</v>
      </c>
      <c r="O95" s="162">
        <f t="shared" ca="1" si="922"/>
        <v>-0.85347166100200389</v>
      </c>
      <c r="P95" s="162">
        <f t="shared" ca="1" si="922"/>
        <v>-0.92540519460391901</v>
      </c>
      <c r="Q95" s="162">
        <f t="shared" ca="1" si="922"/>
        <v>-0.46100015302833031</v>
      </c>
      <c r="R95" s="162">
        <f t="shared" ca="1" si="922"/>
        <v>-0.34672907711158196</v>
      </c>
      <c r="S95" s="162">
        <f t="shared" ca="1" si="922"/>
        <v>-0.14172747614477063</v>
      </c>
      <c r="T95" s="162">
        <f t="shared" ca="1" si="922"/>
        <v>-8.8249876685495054E-2</v>
      </c>
      <c r="U95" s="162">
        <f t="shared" ca="1" si="922"/>
        <v>-5.8941511491398889E-2</v>
      </c>
      <c r="V95" s="162">
        <f t="shared" ca="1" si="922"/>
        <v>-0.24527970545479716</v>
      </c>
      <c r="W95" s="162">
        <f t="shared" ca="1" si="922"/>
        <v>-3.0212822554437868</v>
      </c>
      <c r="X95" s="162">
        <f t="shared" ca="1" si="922"/>
        <v>-2.1545286081577455</v>
      </c>
      <c r="Y95" s="162">
        <f t="shared" ca="1" si="922"/>
        <v>-1.1077931589704433</v>
      </c>
      <c r="Z95" s="162">
        <f t="shared" ca="1" si="922"/>
        <v>-1.1136043277846162</v>
      </c>
      <c r="AA95" s="162">
        <f t="shared" ref="AA95" ca="1" si="926">+AA78/AA$92</f>
        <v>-1.1136043277846162</v>
      </c>
      <c r="AB95" s="21">
        <f t="shared" ca="1" si="922"/>
        <v>-0.3651171081607581</v>
      </c>
      <c r="AC95" s="21">
        <f t="shared" ca="1" si="922"/>
        <v>-0.24916611264296112</v>
      </c>
      <c r="AD95" s="21">
        <f t="shared" ca="1" si="922"/>
        <v>-0.26788598195836283</v>
      </c>
      <c r="AE95" s="21">
        <f t="shared" ca="1" si="922"/>
        <v>-0.28579558805575733</v>
      </c>
      <c r="AL95" s="162">
        <f t="shared" si="924"/>
        <v>-1.4186623847671269</v>
      </c>
      <c r="AM95" s="162">
        <f t="shared" si="924"/>
        <v>-1.0460678711400808</v>
      </c>
      <c r="AN95" s="162">
        <f t="shared" si="924"/>
        <v>-0.70826307952147727</v>
      </c>
      <c r="AO95" s="162">
        <f t="shared" si="924"/>
        <v>-0.73967448231551436</v>
      </c>
      <c r="AP95" s="162">
        <f t="shared" si="924"/>
        <v>-0.72868571465001719</v>
      </c>
      <c r="AQ95" s="162">
        <f t="shared" si="924"/>
        <v>-1.0462658639437099</v>
      </c>
      <c r="AR95" s="162">
        <f t="shared" si="924"/>
        <v>-1.0423345616138924</v>
      </c>
      <c r="AS95" s="162">
        <f t="shared" si="924"/>
        <v>-0.71527185390433612</v>
      </c>
      <c r="AT95" s="162">
        <f t="shared" si="924"/>
        <v>-0.73703089876283656</v>
      </c>
      <c r="AU95" s="162">
        <f t="shared" si="924"/>
        <v>-0.57207588453308256</v>
      </c>
      <c r="AV95" s="162">
        <f t="shared" si="924"/>
        <v>-0.53188615643960757</v>
      </c>
      <c r="AW95" s="162">
        <f t="shared" si="924"/>
        <v>-0.55615101991404881</v>
      </c>
      <c r="AX95" s="162">
        <f t="shared" si="924"/>
        <v>-0.42176609745145111</v>
      </c>
      <c r="AY95" s="162">
        <f t="shared" si="924"/>
        <v>-0.36097538505126692</v>
      </c>
      <c r="AZ95" s="162">
        <f t="shared" si="924"/>
        <v>-0.36359877097354965</v>
      </c>
      <c r="BA95" s="162">
        <f t="shared" si="924"/>
        <v>-0.35870275229357801</v>
      </c>
      <c r="BB95" s="162">
        <f t="shared" si="924"/>
        <v>-0.34672907711158196</v>
      </c>
      <c r="BC95" s="162">
        <f t="shared" si="924"/>
        <v>-0.28909715082461296</v>
      </c>
      <c r="BD95" s="162">
        <f t="shared" si="924"/>
        <v>-0.1272550641059641</v>
      </c>
      <c r="BE95" s="162">
        <f t="shared" si="924"/>
        <v>-0.14324915856120635</v>
      </c>
      <c r="BF95" s="162">
        <f t="shared" si="924"/>
        <v>-0.10329727788167541</v>
      </c>
      <c r="BG95" s="162">
        <f t="shared" si="924"/>
        <v>-8.3758139508075133E-2</v>
      </c>
      <c r="BH95" s="162">
        <f t="shared" si="924"/>
        <v>-7.4703518775416922E-2</v>
      </c>
      <c r="BI95" s="162">
        <f t="shared" si="924"/>
        <v>-5.726923611018641E-2</v>
      </c>
      <c r="BJ95" s="162">
        <f t="shared" si="924"/>
        <v>-5.4875857550322781E-2</v>
      </c>
      <c r="BK95" s="162">
        <f t="shared" si="924"/>
        <v>-6.8461028475587229E-2</v>
      </c>
      <c r="BL95" s="162">
        <f t="shared" si="924"/>
        <v>-5.2197040196062826E-2</v>
      </c>
      <c r="BM95" s="162">
        <f t="shared" si="924"/>
        <v>-3.7553355923140061E-2</v>
      </c>
      <c r="BN95" s="162">
        <f t="shared" si="924"/>
        <v>-4.8204537861087138E-2</v>
      </c>
      <c r="BO95" s="162">
        <f t="shared" si="924"/>
        <v>-4.7955197801214336E-2</v>
      </c>
      <c r="BP95" s="162">
        <f t="shared" si="924"/>
        <v>-4.4082146529842083E-2</v>
      </c>
      <c r="BQ95" s="162">
        <f t="shared" si="924"/>
        <v>-9.6682987141444104E-2</v>
      </c>
      <c r="BR95" s="162">
        <f t="shared" si="924"/>
        <v>-0.24527970545479716</v>
      </c>
      <c r="BS95" s="162">
        <f t="shared" si="924"/>
        <v>-0.47186062448795352</v>
      </c>
      <c r="BT95" s="162">
        <f t="shared" si="924"/>
        <v>-0.57662921029528269</v>
      </c>
      <c r="BU95" s="162">
        <f t="shared" si="924"/>
        <v>-2.1312709124623996</v>
      </c>
      <c r="BV95" s="162">
        <f t="shared" si="924"/>
        <v>-3.0212822554437868</v>
      </c>
      <c r="BW95" s="162">
        <f t="shared" si="924"/>
        <v>-2.1463002638075492</v>
      </c>
      <c r="BX95" s="162">
        <f t="shared" si="924"/>
        <v>-1.5694161010255354</v>
      </c>
      <c r="BY95" s="162">
        <f t="shared" si="924"/>
        <v>-1.1855229871787725</v>
      </c>
      <c r="BZ95" s="162">
        <f t="shared" si="924"/>
        <v>-0.96081716263796602</v>
      </c>
      <c r="CA95" s="162">
        <f t="shared" si="924"/>
        <v>-0.85133043272502029</v>
      </c>
      <c r="CB95" s="162">
        <f t="shared" si="924"/>
        <v>-1.1141483289305352</v>
      </c>
      <c r="CC95" s="162">
        <f t="shared" si="924"/>
        <v>-1.0080782146973752</v>
      </c>
      <c r="CD95" s="162">
        <f t="shared" si="924"/>
        <v>-1.082002190833093</v>
      </c>
      <c r="CE95" s="162">
        <f t="shared" si="924"/>
        <v>-0.89625986202739516</v>
      </c>
      <c r="CF95" s="162">
        <f t="shared" si="924"/>
        <v>-1.1462638711302822</v>
      </c>
      <c r="CG95" s="162">
        <f t="shared" si="924"/>
        <v>-0.89898580490278246</v>
      </c>
      <c r="CH95" s="162">
        <f t="shared" si="924"/>
        <v>-0.84409370019555141</v>
      </c>
      <c r="CI95" s="162">
        <f t="shared" si="924"/>
        <v>-0.79748663275240794</v>
      </c>
      <c r="CJ95" s="162">
        <f t="shared" ref="CJ95:CK96" si="927">+CJ78/CJ$92</f>
        <v>-0.66327817713010262</v>
      </c>
      <c r="CK95" s="162">
        <f t="shared" si="927"/>
        <v>-0.59036333130601304</v>
      </c>
      <c r="CL95" s="162">
        <f t="shared" ref="CL95" si="928">+CL78/CL$92</f>
        <v>-0.49060639141126267</v>
      </c>
      <c r="CM95" s="94">
        <f t="shared" ref="CM95:DB95" si="929">+CL95</f>
        <v>-0.49060639141126267</v>
      </c>
      <c r="CN95" s="94">
        <f t="shared" si="929"/>
        <v>-0.49060639141126267</v>
      </c>
      <c r="CO95" s="94">
        <f t="shared" si="929"/>
        <v>-0.49060639141126267</v>
      </c>
      <c r="CP95" s="94">
        <f t="shared" si="929"/>
        <v>-0.49060639141126267</v>
      </c>
      <c r="CQ95" s="94">
        <f t="shared" si="929"/>
        <v>-0.49060639141126267</v>
      </c>
      <c r="CR95" s="94">
        <f t="shared" si="929"/>
        <v>-0.49060639141126267</v>
      </c>
      <c r="CS95" s="94">
        <f t="shared" si="929"/>
        <v>-0.49060639141126267</v>
      </c>
      <c r="CT95" s="94">
        <f t="shared" si="929"/>
        <v>-0.49060639141126267</v>
      </c>
      <c r="CU95" s="94">
        <f t="shared" si="929"/>
        <v>-0.49060639141126267</v>
      </c>
      <c r="CV95" s="94">
        <f t="shared" si="929"/>
        <v>-0.49060639141126267</v>
      </c>
      <c r="CW95" s="94">
        <f t="shared" si="929"/>
        <v>-0.49060639141126267</v>
      </c>
      <c r="CX95" s="94">
        <f t="shared" si="929"/>
        <v>-0.49060639141126267</v>
      </c>
      <c r="CY95" s="94">
        <f t="shared" si="929"/>
        <v>-0.49060639141126267</v>
      </c>
      <c r="CZ95" s="94">
        <f t="shared" si="929"/>
        <v>-0.49060639141126267</v>
      </c>
      <c r="DA95" s="94">
        <f t="shared" si="929"/>
        <v>-0.49060639141126267</v>
      </c>
      <c r="DB95" s="94">
        <f t="shared" si="929"/>
        <v>-0.49060639141126267</v>
      </c>
      <c r="DC95" s="94"/>
      <c r="DE95" s="22"/>
      <c r="DF95" s="162">
        <v>-0.79397038338859582</v>
      </c>
    </row>
    <row r="96" spans="1:110" s="162" customFormat="1" x14ac:dyDescent="0.2">
      <c r="A96" s="49" t="s">
        <v>504</v>
      </c>
      <c r="E96" s="162">
        <f t="shared" ca="1" si="922"/>
        <v>2.2708068087226536</v>
      </c>
      <c r="F96" s="162">
        <f t="shared" ca="1" si="922"/>
        <v>-69.765177097968106</v>
      </c>
      <c r="G96" s="162">
        <f t="shared" ca="1" si="922"/>
        <v>-8.3189067485482902</v>
      </c>
      <c r="H96" s="162">
        <f t="shared" ca="1" si="922"/>
        <v>-8.9689542219989971</v>
      </c>
      <c r="I96" s="162">
        <f t="shared" ca="1" si="922"/>
        <v>-18.971387078022705</v>
      </c>
      <c r="J96" s="162">
        <f t="shared" ca="1" si="922"/>
        <v>-6.2653177280420209</v>
      </c>
      <c r="K96" s="162">
        <f t="shared" ca="1" si="922"/>
        <v>-6.1571757503695057</v>
      </c>
      <c r="L96" s="162">
        <f t="shared" ca="1" si="922"/>
        <v>-4.2798152342591642</v>
      </c>
      <c r="M96" s="162">
        <f t="shared" ca="1" si="922"/>
        <v>-1.9398673235619783</v>
      </c>
      <c r="N96" s="162">
        <f t="shared" ca="1" si="922"/>
        <v>-0.78344042143856174</v>
      </c>
      <c r="O96" s="162">
        <f t="shared" ca="1" si="922"/>
        <v>-0.40172862682324856</v>
      </c>
      <c r="P96" s="162">
        <f t="shared" ca="1" si="922"/>
        <v>-0.4617146202258699</v>
      </c>
      <c r="Q96" s="162">
        <f t="shared" ca="1" si="922"/>
        <v>-0.27561924042757618</v>
      </c>
      <c r="R96" s="162">
        <f t="shared" ca="1" si="922"/>
        <v>-0.179319808964196</v>
      </c>
      <c r="S96" s="162">
        <f t="shared" ca="1" si="922"/>
        <v>-4.8360148821009086E-2</v>
      </c>
      <c r="T96" s="162">
        <f t="shared" ca="1" si="922"/>
        <v>-3.5748455279176618E-2</v>
      </c>
      <c r="U96" s="162">
        <f t="shared" ca="1" si="922"/>
        <v>-2.0131825556834539E-2</v>
      </c>
      <c r="V96" s="162">
        <f t="shared" ca="1" si="922"/>
        <v>-1.9030321974941158E-2</v>
      </c>
      <c r="W96" s="162">
        <f t="shared" ca="1" si="922"/>
        <v>-0.10951564265566724</v>
      </c>
      <c r="X96" s="162">
        <f t="shared" ca="1" si="922"/>
        <v>-0.51093106993455106</v>
      </c>
      <c r="Y96" s="162">
        <f t="shared" ca="1" si="922"/>
        <v>-0.54364111577706264</v>
      </c>
      <c r="Z96" s="162">
        <f t="shared" ca="1" si="922"/>
        <v>-0.53952071890605602</v>
      </c>
      <c r="AA96" s="162">
        <f t="shared" ref="AA96" ca="1" si="930">+AA79/AA$92</f>
        <v>-0.53952071890605602</v>
      </c>
      <c r="AB96" s="21">
        <f t="shared" ca="1" si="922"/>
        <v>-0.13290627199190222</v>
      </c>
      <c r="AC96" s="21">
        <f t="shared" ca="1" si="922"/>
        <v>-0.13811375314937763</v>
      </c>
      <c r="AD96" s="21">
        <f t="shared" ca="1" si="922"/>
        <v>-0.14938275111020288</v>
      </c>
      <c r="AE96" s="21">
        <f t="shared" ca="1" si="922"/>
        <v>-0.16022491647015075</v>
      </c>
      <c r="AL96" s="162">
        <f t="shared" si="924"/>
        <v>-0.78344042143856174</v>
      </c>
      <c r="AM96" s="162">
        <f t="shared" si="924"/>
        <v>-0.49238355371243769</v>
      </c>
      <c r="AN96" s="162">
        <f t="shared" si="924"/>
        <v>-0.50728205115906511</v>
      </c>
      <c r="AO96" s="162">
        <f t="shared" si="924"/>
        <v>-0.56696746875599568</v>
      </c>
      <c r="AP96" s="162">
        <f t="shared" si="924"/>
        <v>-0.56500146631928361</v>
      </c>
      <c r="AQ96" s="162">
        <f t="shared" si="924"/>
        <v>-0.55353386462229481</v>
      </c>
      <c r="AR96" s="162">
        <f t="shared" si="924"/>
        <v>-0.71516762803970979</v>
      </c>
      <c r="AS96" s="162">
        <f t="shared" si="924"/>
        <v>-0.51658522781979832</v>
      </c>
      <c r="AT96" s="162">
        <f t="shared" si="924"/>
        <v>-0.49728179496509523</v>
      </c>
      <c r="AU96" s="162">
        <f t="shared" si="924"/>
        <v>-0.36002983998610572</v>
      </c>
      <c r="AV96" s="162">
        <f t="shared" si="924"/>
        <v>-0.34833091110794345</v>
      </c>
      <c r="AW96" s="162">
        <f t="shared" si="924"/>
        <v>-0.36504806307124271</v>
      </c>
      <c r="AX96" s="162">
        <f t="shared" si="924"/>
        <v>-0.2810139230693971</v>
      </c>
      <c r="AY96" s="162">
        <f t="shared" si="924"/>
        <v>-0.29365061085519734</v>
      </c>
      <c r="AZ96" s="162">
        <f t="shared" si="924"/>
        <v>-0.26276071182355187</v>
      </c>
      <c r="BA96" s="162">
        <f t="shared" si="924"/>
        <v>-0.24792690232056125</v>
      </c>
      <c r="BB96" s="162">
        <f t="shared" si="924"/>
        <v>-0.19222289484907357</v>
      </c>
      <c r="BC96" s="162">
        <f t="shared" si="924"/>
        <v>-0.18171820908975675</v>
      </c>
      <c r="BD96" s="162">
        <f t="shared" si="924"/>
        <v>-7.9854235994536199E-2</v>
      </c>
      <c r="BE96" s="162">
        <f t="shared" si="924"/>
        <v>-4.8879376215152301E-2</v>
      </c>
      <c r="BF96" s="162">
        <f t="shared" si="924"/>
        <v>-6.9638614302253085E-2</v>
      </c>
      <c r="BG96" s="162">
        <f t="shared" si="924"/>
        <v>-5.6464754735638091E-2</v>
      </c>
      <c r="BH96" s="162">
        <f t="shared" si="924"/>
        <v>-4.9759924772040921E-2</v>
      </c>
      <c r="BI96" s="162">
        <f t="shared" si="924"/>
        <v>-4.6236850798916734E-2</v>
      </c>
      <c r="BJ96" s="162">
        <f t="shared" si="924"/>
        <v>-3.5748455279176618E-2</v>
      </c>
      <c r="BK96" s="162">
        <f t="shared" si="924"/>
        <v>-3.3126304101090596E-2</v>
      </c>
      <c r="BL96" s="162">
        <f t="shared" si="924"/>
        <v>-2.8014007811648391E-2</v>
      </c>
      <c r="BM96" s="162">
        <f t="shared" si="924"/>
        <v>-2.6016588272771014E-2</v>
      </c>
      <c r="BN96" s="162">
        <f t="shared" si="924"/>
        <v>-2.0131825556834539E-2</v>
      </c>
      <c r="BO96" s="162">
        <f t="shared" si="924"/>
        <v>-1.897128704223864E-2</v>
      </c>
      <c r="BP96" s="162">
        <f t="shared" si="924"/>
        <v>-2.9823476911547485E-2</v>
      </c>
      <c r="BQ96" s="162">
        <f t="shared" si="924"/>
        <v>-2.9443877590140787E-2</v>
      </c>
      <c r="BR96" s="162">
        <f t="shared" si="924"/>
        <v>-7.9821628283780963E-2</v>
      </c>
      <c r="BS96" s="162">
        <f t="shared" si="924"/>
        <v>-0.10965043146140772</v>
      </c>
      <c r="BT96" s="162">
        <f t="shared" si="924"/>
        <v>-0.3437798467912892</v>
      </c>
      <c r="BU96" s="162">
        <f t="shared" si="924"/>
        <v>-0.36044688058073932</v>
      </c>
      <c r="BV96" s="162">
        <f t="shared" si="924"/>
        <v>-0.92543313201447719</v>
      </c>
      <c r="BW96" s="162">
        <f t="shared" si="924"/>
        <v>-1.0521981531380342</v>
      </c>
      <c r="BX96" s="162">
        <f t="shared" si="924"/>
        <v>-0.93111666664870696</v>
      </c>
      <c r="BY96" s="162">
        <f t="shared" si="924"/>
        <v>-0.81767362266684707</v>
      </c>
      <c r="BZ96" s="162">
        <f t="shared" si="924"/>
        <v>-0.51093106993455106</v>
      </c>
      <c r="CA96" s="162">
        <f t="shared" si="924"/>
        <v>-0.54075491004979925</v>
      </c>
      <c r="CB96" s="162">
        <f t="shared" si="924"/>
        <v>-0.72200079610805545</v>
      </c>
      <c r="CC96" s="162">
        <f t="shared" si="924"/>
        <v>-0.83922762639312898</v>
      </c>
      <c r="CD96" s="162">
        <f t="shared" si="924"/>
        <v>-0.74479035939946847</v>
      </c>
      <c r="CE96" s="162">
        <f t="shared" si="924"/>
        <v>-0.65199784280522155</v>
      </c>
      <c r="CF96" s="162">
        <f t="shared" si="924"/>
        <v>-0.76201664414662007</v>
      </c>
      <c r="CG96" s="162">
        <f t="shared" si="924"/>
        <v>-0.66665340235308723</v>
      </c>
      <c r="CH96" s="162">
        <f t="shared" si="924"/>
        <v>-0.53952071890605602</v>
      </c>
      <c r="CI96" s="162">
        <f t="shared" si="924"/>
        <v>-0.49140348082735241</v>
      </c>
      <c r="CJ96" s="162">
        <f t="shared" si="927"/>
        <v>-0.54268214492462952</v>
      </c>
      <c r="CK96" s="162">
        <f t="shared" si="927"/>
        <v>-0.43825240639560892</v>
      </c>
      <c r="CL96" s="162">
        <f t="shared" ref="CL96" si="931">+CL79/CL$92</f>
        <v>-0.2946573182314503</v>
      </c>
      <c r="CM96" s="94">
        <f t="shared" ref="CM96:DB96" si="932">+CL96</f>
        <v>-0.2946573182314503</v>
      </c>
      <c r="CN96" s="94">
        <f t="shared" si="932"/>
        <v>-0.2946573182314503</v>
      </c>
      <c r="CO96" s="94">
        <f t="shared" si="932"/>
        <v>-0.2946573182314503</v>
      </c>
      <c r="CP96" s="94">
        <f t="shared" si="932"/>
        <v>-0.2946573182314503</v>
      </c>
      <c r="CQ96" s="94">
        <f t="shared" si="932"/>
        <v>-0.2946573182314503</v>
      </c>
      <c r="CR96" s="94">
        <f t="shared" si="932"/>
        <v>-0.2946573182314503</v>
      </c>
      <c r="CS96" s="94">
        <f t="shared" si="932"/>
        <v>-0.2946573182314503</v>
      </c>
      <c r="CT96" s="94">
        <f t="shared" si="932"/>
        <v>-0.2946573182314503</v>
      </c>
      <c r="CU96" s="94">
        <f t="shared" si="932"/>
        <v>-0.2946573182314503</v>
      </c>
      <c r="CV96" s="94">
        <f t="shared" si="932"/>
        <v>-0.2946573182314503</v>
      </c>
      <c r="CW96" s="94">
        <f t="shared" si="932"/>
        <v>-0.2946573182314503</v>
      </c>
      <c r="CX96" s="94">
        <f t="shared" si="932"/>
        <v>-0.2946573182314503</v>
      </c>
      <c r="CY96" s="94">
        <f t="shared" si="932"/>
        <v>-0.2946573182314503</v>
      </c>
      <c r="CZ96" s="94">
        <f t="shared" si="932"/>
        <v>-0.2946573182314503</v>
      </c>
      <c r="DA96" s="94">
        <f t="shared" si="932"/>
        <v>-0.2946573182314503</v>
      </c>
      <c r="DB96" s="94">
        <f t="shared" si="932"/>
        <v>-0.2946573182314503</v>
      </c>
      <c r="DC96" s="94"/>
      <c r="DE96" s="22"/>
      <c r="DF96" s="162">
        <v>-0.2946573182314503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597.5</v>
      </c>
      <c r="F98" s="177">
        <f t="shared" si="933"/>
        <v>807.47</v>
      </c>
      <c r="G98" s="177">
        <f t="shared" si="933"/>
        <v>1095.1300000000001</v>
      </c>
      <c r="H98" s="177">
        <f t="shared" si="933"/>
        <v>1406.98</v>
      </c>
      <c r="I98" s="177">
        <f t="shared" si="933"/>
        <v>1707.19</v>
      </c>
      <c r="J98" s="177">
        <f t="shared" si="933"/>
        <v>1950.13</v>
      </c>
      <c r="K98" s="177">
        <f t="shared" si="933"/>
        <v>2098.27</v>
      </c>
      <c r="L98" s="177">
        <f t="shared" si="933"/>
        <v>2265.59</v>
      </c>
      <c r="M98" s="177">
        <f t="shared" si="933"/>
        <v>2488.44</v>
      </c>
      <c r="N98" s="177">
        <f t="shared" si="933"/>
        <v>2634.54</v>
      </c>
      <c r="O98" s="177">
        <f t="shared" si="933"/>
        <v>2731.18</v>
      </c>
      <c r="P98" s="177">
        <f t="shared" si="933"/>
        <v>2892.73</v>
      </c>
      <c r="Q98" s="177">
        <f t="shared" si="933"/>
        <v>2972.09</v>
      </c>
      <c r="R98" s="177">
        <f t="shared" si="933"/>
        <v>2702.91</v>
      </c>
      <c r="S98" s="177">
        <f t="shared" si="933"/>
        <v>1868.51</v>
      </c>
      <c r="T98" s="177">
        <f t="shared" si="933"/>
        <v>1277.2</v>
      </c>
      <c r="U98" s="177">
        <f t="shared" si="933"/>
        <v>1077.74</v>
      </c>
      <c r="V98" s="177">
        <f t="shared" si="933"/>
        <v>1043.6600000000001</v>
      </c>
      <c r="W98" s="177">
        <f t="shared" si="933"/>
        <v>1093.8</v>
      </c>
      <c r="X98" s="177">
        <f t="shared" si="933"/>
        <v>1106.17</v>
      </c>
      <c r="Y98" s="177">
        <f t="shared" si="933"/>
        <v>1191.6500000000001</v>
      </c>
      <c r="Z98" s="177">
        <f>+Z10</f>
        <v>1308.04</v>
      </c>
      <c r="AA98" s="177">
        <f>+AA10</f>
        <v>1160.23</v>
      </c>
      <c r="AB98" s="178">
        <f t="shared" ref="AA98:AE98" si="934">+AB10</f>
        <v>1043.4485832616642</v>
      </c>
      <c r="AC98" s="178">
        <f t="shared" si="934"/>
        <v>941.6624490887823</v>
      </c>
      <c r="AD98" s="178">
        <f t="shared" si="934"/>
        <v>850.44135750127225</v>
      </c>
      <c r="AE98" s="178">
        <f t="shared" si="934"/>
        <v>768.16246565032679</v>
      </c>
      <c r="AL98" s="177">
        <f t="shared" ref="AL98:BQ98" si="935">+SUM(AI8:AL8)</f>
        <v>2634.79</v>
      </c>
      <c r="AM98" s="177">
        <f t="shared" si="935"/>
        <v>2662.8</v>
      </c>
      <c r="AN98" s="177">
        <f t="shared" si="935"/>
        <v>2697.62</v>
      </c>
      <c r="AO98" s="177">
        <f t="shared" si="935"/>
        <v>2728.8799999999997</v>
      </c>
      <c r="AP98" s="177">
        <f t="shared" si="935"/>
        <v>2733.63</v>
      </c>
      <c r="AQ98" s="177">
        <f t="shared" si="935"/>
        <v>2753.7</v>
      </c>
      <c r="AR98" s="177">
        <f t="shared" si="935"/>
        <v>2776.25</v>
      </c>
      <c r="AS98" s="177">
        <f t="shared" si="935"/>
        <v>2832.65</v>
      </c>
      <c r="AT98" s="177">
        <f t="shared" si="935"/>
        <v>2892.75</v>
      </c>
      <c r="AU98" s="177">
        <f t="shared" si="935"/>
        <v>2935.67</v>
      </c>
      <c r="AV98" s="177">
        <f t="shared" si="935"/>
        <v>2981.97</v>
      </c>
      <c r="AW98" s="177">
        <f t="shared" si="935"/>
        <v>2985.29</v>
      </c>
      <c r="AX98" s="177">
        <f t="shared" si="935"/>
        <v>2972.09</v>
      </c>
      <c r="AY98" s="177">
        <f t="shared" si="935"/>
        <v>2956.27</v>
      </c>
      <c r="AZ98" s="177">
        <f t="shared" si="935"/>
        <v>2922.44</v>
      </c>
      <c r="BA98" s="177">
        <f t="shared" si="935"/>
        <v>2839.22</v>
      </c>
      <c r="BB98" s="177">
        <f t="shared" si="935"/>
        <v>2702.91</v>
      </c>
      <c r="BC98" s="177">
        <f t="shared" si="935"/>
        <v>2521.0899999999997</v>
      </c>
      <c r="BD98" s="177">
        <f t="shared" si="935"/>
        <v>2323.6000000000004</v>
      </c>
      <c r="BE98" s="177">
        <f t="shared" si="935"/>
        <v>2083.3200000000002</v>
      </c>
      <c r="BF98" s="177">
        <f t="shared" si="935"/>
        <v>1868.51</v>
      </c>
      <c r="BG98" s="177">
        <f t="shared" si="935"/>
        <v>1649.8700000000001</v>
      </c>
      <c r="BH98" s="177">
        <f t="shared" si="935"/>
        <v>1456.3899999999999</v>
      </c>
      <c r="BI98" s="177">
        <f t="shared" si="935"/>
        <v>1343.44</v>
      </c>
      <c r="BJ98" s="177">
        <f t="shared" si="935"/>
        <v>1277.2</v>
      </c>
      <c r="BK98" s="177">
        <f t="shared" si="935"/>
        <v>1236.2</v>
      </c>
      <c r="BL98" s="177">
        <f t="shared" si="935"/>
        <v>1184.71</v>
      </c>
      <c r="BM98" s="177">
        <f t="shared" si="935"/>
        <v>1134.3400000000001</v>
      </c>
      <c r="BN98" s="177">
        <f t="shared" si="935"/>
        <v>1077.7399999999998</v>
      </c>
      <c r="BO98" s="177">
        <f t="shared" si="935"/>
        <v>1027.5900000000001</v>
      </c>
      <c r="BP98" s="177">
        <f t="shared" si="935"/>
        <v>1013.9000000000001</v>
      </c>
      <c r="BQ98" s="177">
        <f t="shared" si="935"/>
        <v>1037.25</v>
      </c>
      <c r="BR98" s="177">
        <f t="shared" ref="BR98:CW98" si="936">+SUM(BO8:BR8)</f>
        <v>1043.6600000000001</v>
      </c>
      <c r="BS98" s="177">
        <f t="shared" si="936"/>
        <v>1068.3900000000001</v>
      </c>
      <c r="BT98" s="177">
        <f t="shared" si="936"/>
        <v>1080.5</v>
      </c>
      <c r="BU98" s="177">
        <f t="shared" si="936"/>
        <v>1086.31</v>
      </c>
      <c r="BV98" s="177">
        <f t="shared" si="936"/>
        <v>1093.8</v>
      </c>
      <c r="BW98" s="177">
        <f t="shared" si="936"/>
        <v>1092.25</v>
      </c>
      <c r="BX98" s="177">
        <f t="shared" si="936"/>
        <v>1101.1400000000001</v>
      </c>
      <c r="BY98" s="177">
        <f t="shared" si="936"/>
        <v>1098.8200000000002</v>
      </c>
      <c r="BZ98" s="177">
        <f t="shared" si="936"/>
        <v>1106.17</v>
      </c>
      <c r="CA98" s="177">
        <f t="shared" si="936"/>
        <v>1125.1999999999998</v>
      </c>
      <c r="CB98" s="177">
        <f t="shared" si="936"/>
        <v>1134.3599999999999</v>
      </c>
      <c r="CC98" s="177">
        <f t="shared" si="936"/>
        <v>1148.49</v>
      </c>
      <c r="CD98" s="177">
        <f t="shared" si="936"/>
        <v>1191.6499999999999</v>
      </c>
      <c r="CE98" s="177">
        <f t="shared" si="936"/>
        <v>1229.6399999999999</v>
      </c>
      <c r="CF98" s="177">
        <f t="shared" si="936"/>
        <v>1286.32</v>
      </c>
      <c r="CG98" s="177">
        <f t="shared" si="936"/>
        <v>1323.06</v>
      </c>
      <c r="CH98" s="177">
        <f t="shared" si="936"/>
        <v>1308.04</v>
      </c>
      <c r="CI98" s="177">
        <f t="shared" si="936"/>
        <v>1268.79</v>
      </c>
      <c r="CJ98" s="177">
        <f t="shared" si="936"/>
        <v>1211.42</v>
      </c>
      <c r="CK98" s="177">
        <f t="shared" si="936"/>
        <v>1172.96</v>
      </c>
      <c r="CL98" s="177">
        <f t="shared" si="936"/>
        <v>1160.23</v>
      </c>
      <c r="CM98" s="178">
        <f t="shared" si="936"/>
        <v>1128.5918725092074</v>
      </c>
      <c r="CN98" s="178">
        <f t="shared" si="936"/>
        <v>1097.4616308702753</v>
      </c>
      <c r="CO98" s="178">
        <f t="shared" si="936"/>
        <v>1069.724994517635</v>
      </c>
      <c r="CP98" s="178">
        <f t="shared" si="936"/>
        <v>1043.4485832616642</v>
      </c>
      <c r="CQ98" s="178">
        <f t="shared" si="936"/>
        <v>1017.9818846981275</v>
      </c>
      <c r="CR98" s="178">
        <f t="shared" si="936"/>
        <v>992.94321298090279</v>
      </c>
      <c r="CS98" s="178">
        <f t="shared" si="936"/>
        <v>967.47497593300591</v>
      </c>
      <c r="CT98" s="178">
        <f t="shared" si="936"/>
        <v>941.6624490887823</v>
      </c>
      <c r="CU98" s="178">
        <f t="shared" si="936"/>
        <v>919.49266903848388</v>
      </c>
      <c r="CV98" s="178">
        <f t="shared" si="936"/>
        <v>897.23269438802004</v>
      </c>
      <c r="CW98" s="178">
        <f t="shared" si="936"/>
        <v>873.97789901399938</v>
      </c>
      <c r="CX98" s="178">
        <f t="shared" ref="CX98:DB98" si="937">+SUM(CU8:CX8)</f>
        <v>850.44135750127225</v>
      </c>
      <c r="CY98" s="178">
        <f t="shared" si="937"/>
        <v>830.58281466366952</v>
      </c>
      <c r="CZ98" s="178">
        <f t="shared" si="937"/>
        <v>810.49754400422728</v>
      </c>
      <c r="DA98" s="178">
        <f t="shared" si="937"/>
        <v>789.43605058350931</v>
      </c>
      <c r="DB98" s="178">
        <f t="shared" si="937"/>
        <v>768.16246565032679</v>
      </c>
      <c r="DE98" s="179"/>
      <c r="DF98" s="177">
        <v>1160.23</v>
      </c>
    </row>
    <row r="99" spans="1:110" s="163" customFormat="1" x14ac:dyDescent="0.2">
      <c r="A99" s="163" t="s">
        <v>511</v>
      </c>
      <c r="E99" s="163">
        <f t="shared" ref="E99:AE99" ca="1" si="938">+E98/E65</f>
        <v>3.0563754200917681</v>
      </c>
      <c r="F99" s="163">
        <f t="shared" ca="1" si="938"/>
        <v>4.130429222529707</v>
      </c>
      <c r="G99" s="163">
        <f t="shared" ca="1" si="938"/>
        <v>5.6018885586696205</v>
      </c>
      <c r="H99" s="163">
        <f t="shared" ca="1" si="938"/>
        <v>7.1970863406873908</v>
      </c>
      <c r="I99" s="163">
        <f t="shared" ca="1" si="938"/>
        <v>8.7327423488309055</v>
      </c>
      <c r="J99" s="163">
        <f t="shared" ca="1" si="938"/>
        <v>9.9754466911858746</v>
      </c>
      <c r="K99" s="163">
        <f t="shared" ca="1" si="938"/>
        <v>10.733223184461847</v>
      </c>
      <c r="L99" s="163">
        <f t="shared" ca="1" si="938"/>
        <v>11.589110607540936</v>
      </c>
      <c r="M99" s="163">
        <f t="shared" ca="1" si="938"/>
        <v>12.729049121963447</v>
      </c>
      <c r="N99" s="163">
        <f t="shared" ca="1" si="938"/>
        <v>13.476390458993416</v>
      </c>
      <c r="O99" s="163">
        <f t="shared" ca="1" si="938"/>
        <v>13.970730409784492</v>
      </c>
      <c r="P99" s="163">
        <f t="shared" ca="1" si="938"/>
        <v>14.797102709559933</v>
      </c>
      <c r="Q99" s="163">
        <f t="shared" ca="1" si="938"/>
        <v>15.203050748620157</v>
      </c>
      <c r="R99" s="163">
        <f t="shared" ca="1" si="938"/>
        <v>13.826121651414628</v>
      </c>
      <c r="S99" s="163">
        <f t="shared" ca="1" si="938"/>
        <v>9.5579381358923339</v>
      </c>
      <c r="T99" s="163">
        <f t="shared" ca="1" si="938"/>
        <v>6.5332262536254495</v>
      </c>
      <c r="U99" s="163">
        <f t="shared" ca="1" si="938"/>
        <v>5.5129339669451083</v>
      </c>
      <c r="V99" s="163">
        <f t="shared" ca="1" si="938"/>
        <v>5.3386054743648117</v>
      </c>
      <c r="W99" s="163">
        <f t="shared" ca="1" si="938"/>
        <v>5.595085246019039</v>
      </c>
      <c r="X99" s="163">
        <f t="shared" ca="1" si="938"/>
        <v>5.6583611689421112</v>
      </c>
      <c r="Y99" s="163">
        <f t="shared" ca="1" si="938"/>
        <v>6.0956146767403441</v>
      </c>
      <c r="Z99" s="163">
        <f t="shared" ref="Z99:AA99" ca="1" si="939">+Z98/Z65</f>
        <v>6.6909812627562113</v>
      </c>
      <c r="AA99" s="163">
        <f t="shared" ca="1" si="939"/>
        <v>6.6909812627562113</v>
      </c>
      <c r="AB99" s="94">
        <f t="shared" ca="1" si="938"/>
        <v>5.3375240201013039</v>
      </c>
      <c r="AC99" s="94">
        <f t="shared" ca="1" si="938"/>
        <v>4.81686018982154</v>
      </c>
      <c r="AD99" s="94">
        <f t="shared" ca="1" si="938"/>
        <v>4.3502394331319909</v>
      </c>
      <c r="AE99" s="94">
        <f t="shared" ca="1" si="938"/>
        <v>3.9293604663610808</v>
      </c>
      <c r="AL99" s="163">
        <f t="shared" ref="AL99:BQ99" si="940">+AL98/AL65</f>
        <v>13.477669277160819</v>
      </c>
      <c r="AM99" s="163">
        <f t="shared" si="940"/>
        <v>13.620948064636586</v>
      </c>
      <c r="AN99" s="163">
        <f t="shared" si="940"/>
        <v>13.799061858992394</v>
      </c>
      <c r="AO99" s="163">
        <f t="shared" si="940"/>
        <v>13.958965282644391</v>
      </c>
      <c r="AP99" s="163">
        <f t="shared" si="940"/>
        <v>13.983262827825039</v>
      </c>
      <c r="AQ99" s="163">
        <f t="shared" si="940"/>
        <v>14.085926350304103</v>
      </c>
      <c r="AR99" s="163">
        <f t="shared" si="940"/>
        <v>14.2012757490038</v>
      </c>
      <c r="AS99" s="163">
        <f t="shared" si="940"/>
        <v>14.489777127569786</v>
      </c>
      <c r="AT99" s="163">
        <f t="shared" si="940"/>
        <v>14.797205015013326</v>
      </c>
      <c r="AU99" s="163">
        <f t="shared" si="940"/>
        <v>15.016752517992972</v>
      </c>
      <c r="AV99" s="163">
        <f t="shared" si="940"/>
        <v>15.253589642595898</v>
      </c>
      <c r="AW99" s="163">
        <f t="shared" si="940"/>
        <v>15.270572347859003</v>
      </c>
      <c r="AX99" s="163">
        <f t="shared" si="940"/>
        <v>15.203050748620157</v>
      </c>
      <c r="AY99" s="163">
        <f t="shared" si="940"/>
        <v>15.122127134986931</v>
      </c>
      <c r="AZ99" s="163">
        <f t="shared" si="940"/>
        <v>14.949077460574037</v>
      </c>
      <c r="BA99" s="163">
        <f t="shared" si="940"/>
        <v>14.52338446900912</v>
      </c>
      <c r="BB99" s="163">
        <f t="shared" si="940"/>
        <v>13.826121651414628</v>
      </c>
      <c r="BC99" s="163">
        <f t="shared" si="940"/>
        <v>12.8960627746262</v>
      </c>
      <c r="BD99" s="163">
        <f t="shared" si="940"/>
        <v>11.885847575104993</v>
      </c>
      <c r="BE99" s="163">
        <f t="shared" si="940"/>
        <v>10.656749858051185</v>
      </c>
      <c r="BF99" s="163">
        <f t="shared" si="940"/>
        <v>9.5579381358923339</v>
      </c>
      <c r="BG99" s="163">
        <f t="shared" si="940"/>
        <v>8.4395349194088798</v>
      </c>
      <c r="BH99" s="163">
        <f t="shared" si="940"/>
        <v>7.4498319632928025</v>
      </c>
      <c r="BI99" s="163">
        <f t="shared" si="940"/>
        <v>6.8720619152603932</v>
      </c>
      <c r="BJ99" s="163">
        <f t="shared" si="940"/>
        <v>6.5332262536254495</v>
      </c>
      <c r="BK99" s="163">
        <f t="shared" si="940"/>
        <v>6.323500074171454</v>
      </c>
      <c r="BL99" s="163">
        <f t="shared" si="940"/>
        <v>6.0601146844132527</v>
      </c>
      <c r="BM99" s="163">
        <f t="shared" si="940"/>
        <v>5.8024584000450155</v>
      </c>
      <c r="BN99" s="163">
        <f t="shared" si="940"/>
        <v>5.5129339669451074</v>
      </c>
      <c r="BO99" s="163">
        <f t="shared" si="940"/>
        <v>5.2564030425641848</v>
      </c>
      <c r="BP99" s="163">
        <f t="shared" si="940"/>
        <v>5.1863749597172282</v>
      </c>
      <c r="BQ99" s="163">
        <f t="shared" si="940"/>
        <v>5.3058165765526129</v>
      </c>
      <c r="BR99" s="163">
        <f t="shared" ref="BR99:CW99" si="941">+BR98/BR65</f>
        <v>5.3386054743648117</v>
      </c>
      <c r="BS99" s="163">
        <f t="shared" si="941"/>
        <v>5.465106167484258</v>
      </c>
      <c r="BT99" s="163">
        <f t="shared" si="941"/>
        <v>5.5270521195132307</v>
      </c>
      <c r="BU99" s="163">
        <f t="shared" si="941"/>
        <v>5.5567718537236628</v>
      </c>
      <c r="BV99" s="163">
        <f t="shared" si="941"/>
        <v>5.595085246019039</v>
      </c>
      <c r="BW99" s="163">
        <f t="shared" si="941"/>
        <v>5.5871565733811446</v>
      </c>
      <c r="BX99" s="163">
        <f t="shared" si="941"/>
        <v>5.6326313474139749</v>
      </c>
      <c r="BY99" s="163">
        <f t="shared" si="941"/>
        <v>5.6207639148204809</v>
      </c>
      <c r="BZ99" s="163">
        <f t="shared" si="941"/>
        <v>5.6583611689421112</v>
      </c>
      <c r="CA99" s="163">
        <f t="shared" si="941"/>
        <v>5.755704807844781</v>
      </c>
      <c r="CB99" s="163">
        <f t="shared" si="941"/>
        <v>5.8025607054984061</v>
      </c>
      <c r="CC99" s="163">
        <f t="shared" si="941"/>
        <v>5.8748395083199911</v>
      </c>
      <c r="CD99" s="163">
        <f t="shared" si="941"/>
        <v>6.0956146767403432</v>
      </c>
      <c r="CE99" s="163">
        <f t="shared" si="941"/>
        <v>6.2899438854588139</v>
      </c>
      <c r="CF99" s="163">
        <f t="shared" si="941"/>
        <v>6.5798775403722898</v>
      </c>
      <c r="CG99" s="163">
        <f t="shared" si="941"/>
        <v>6.7678126582537477</v>
      </c>
      <c r="CH99" s="163">
        <f t="shared" si="941"/>
        <v>6.6909812627562113</v>
      </c>
      <c r="CI99" s="163">
        <f t="shared" si="941"/>
        <v>6.4902068104740325</v>
      </c>
      <c r="CJ99" s="163">
        <f t="shared" si="941"/>
        <v>6.1967436174185266</v>
      </c>
      <c r="CK99" s="163">
        <f t="shared" ref="CK99:CL99" si="942">+CK98/CK65</f>
        <v>6.0000102305453398</v>
      </c>
      <c r="CL99" s="163">
        <f t="shared" si="942"/>
        <v>5.9348928094612088</v>
      </c>
      <c r="CM99" s="50">
        <f t="shared" si="941"/>
        <v>5.773055160589931</v>
      </c>
      <c r="CN99" s="50">
        <f t="shared" si="941"/>
        <v>5.6138154863359571</v>
      </c>
      <c r="CO99" s="50">
        <f t="shared" si="941"/>
        <v>5.4719350284543946</v>
      </c>
      <c r="CP99" s="50">
        <f t="shared" si="941"/>
        <v>5.3375240201013039</v>
      </c>
      <c r="CQ99" s="50">
        <f t="shared" si="941"/>
        <v>5.2072549129540571</v>
      </c>
      <c r="CR99" s="50">
        <f t="shared" si="941"/>
        <v>5.0791752798356091</v>
      </c>
      <c r="CS99" s="50">
        <f t="shared" si="941"/>
        <v>4.9488983029213625</v>
      </c>
      <c r="CT99" s="50">
        <f t="shared" si="941"/>
        <v>4.81686018982154</v>
      </c>
      <c r="CU99" s="50">
        <f t="shared" si="941"/>
        <v>4.703455719838991</v>
      </c>
      <c r="CV99" s="50">
        <f t="shared" si="941"/>
        <v>4.5895898798832695</v>
      </c>
      <c r="CW99" s="50">
        <f t="shared" si="941"/>
        <v>4.4706352606691766</v>
      </c>
      <c r="CX99" s="50">
        <f t="shared" ref="CX99:DB99" si="943">+CX98/CX65</f>
        <v>4.3502394331319909</v>
      </c>
      <c r="CY99" s="50">
        <f t="shared" si="943"/>
        <v>4.2486575716965289</v>
      </c>
      <c r="CZ99" s="50">
        <f t="shared" si="943"/>
        <v>4.1459159356305717</v>
      </c>
      <c r="DA99" s="50">
        <f t="shared" si="943"/>
        <v>4.0381806539544094</v>
      </c>
      <c r="DB99" s="50">
        <f t="shared" si="943"/>
        <v>3.9293604663610808</v>
      </c>
      <c r="DE99" s="164"/>
      <c r="DF99" s="163">
        <v>5.9348928094612088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44">+E77/E$99</f>
        <v>5.0556789348826623</v>
      </c>
      <c r="F102" s="163">
        <f t="shared" ca="1" si="944"/>
        <v>5.8771093558516263</v>
      </c>
      <c r="G102" s="163">
        <f t="shared" ca="1" si="944"/>
        <v>4.0438991732149736</v>
      </c>
      <c r="H102" s="163">
        <f t="shared" ca="1" si="944"/>
        <v>2.8463514154878604</v>
      </c>
      <c r="I102" s="163">
        <f t="shared" ca="1" si="944"/>
        <v>3.1240533967786894</v>
      </c>
      <c r="J102" s="163">
        <f t="shared" ca="1" si="944"/>
        <v>2.2190407121974802</v>
      </c>
      <c r="K102" s="163">
        <f t="shared" ca="1" si="944"/>
        <v>2.1392609334522983</v>
      </c>
      <c r="L102" s="163">
        <f t="shared" ca="1" si="944"/>
        <v>1.4325466646914264</v>
      </c>
      <c r="M102" s="163">
        <f t="shared" ca="1" si="944"/>
        <v>1.121202732698134</v>
      </c>
      <c r="N102" s="163">
        <f t="shared" ca="1" si="944"/>
        <v>0.56913629327969495</v>
      </c>
      <c r="O102" s="163">
        <f t="shared" ca="1" si="944"/>
        <v>0.53039460233305757</v>
      </c>
      <c r="P102" s="163">
        <f t="shared" ca="1" si="944"/>
        <v>0.53388829928821568</v>
      </c>
      <c r="Q102" s="163">
        <f t="shared" ca="1" si="944"/>
        <v>0.4360966828057023</v>
      </c>
      <c r="R102" s="163">
        <f t="shared" ca="1" si="944"/>
        <v>0.52075341021343668</v>
      </c>
      <c r="S102" s="163">
        <f t="shared" ca="1" si="944"/>
        <v>0.57648416652841028</v>
      </c>
      <c r="T102" s="163">
        <f t="shared" ca="1" si="944"/>
        <v>0.46990566082054491</v>
      </c>
      <c r="U102" s="163">
        <f t="shared" ca="1" si="944"/>
        <v>0.32650490841947039</v>
      </c>
      <c r="V102" s="163">
        <f t="shared" ca="1" si="944"/>
        <v>2.6411391640955864</v>
      </c>
      <c r="W102" s="163">
        <f t="shared" ca="1" si="944"/>
        <v>29.820814637045164</v>
      </c>
      <c r="X102" s="163">
        <f t="shared" ca="1" si="944"/>
        <v>9.8067264254138138</v>
      </c>
      <c r="Y102" s="163">
        <f t="shared" ca="1" si="944"/>
        <v>12.133312868711448</v>
      </c>
      <c r="Z102" s="163">
        <f ca="1">+Z77/Z$99</f>
        <v>8.4187950597841041</v>
      </c>
      <c r="AA102" s="163">
        <f ca="1">+AA77/AA$99</f>
        <v>8.4187950597841041</v>
      </c>
      <c r="AB102" s="50">
        <f t="shared" ref="AA102:AE102" ca="1" si="945">+AB77/AB$99</f>
        <v>5.8622687002739013</v>
      </c>
      <c r="AC102" s="50">
        <f t="shared" ca="1" si="945"/>
        <v>6.4959327792238168</v>
      </c>
      <c r="AD102" s="50">
        <f t="shared" ca="1" si="945"/>
        <v>7.1927075465527892</v>
      </c>
      <c r="AE102" s="50">
        <f t="shared" ca="1" si="945"/>
        <v>7.9631279104757668</v>
      </c>
      <c r="AL102" s="163">
        <f t="shared" ref="AL102:BQ102" si="946">+AL77/AL99</f>
        <v>0.56908229122514031</v>
      </c>
      <c r="AM102" s="163">
        <f t="shared" si="946"/>
        <v>0.45047689052038092</v>
      </c>
      <c r="AN102" s="163">
        <f t="shared" si="946"/>
        <v>0.49568587124947172</v>
      </c>
      <c r="AO102" s="163">
        <f t="shared" si="946"/>
        <v>0.53084163832781217</v>
      </c>
      <c r="AP102" s="163">
        <f t="shared" si="946"/>
        <v>0.52991923925330053</v>
      </c>
      <c r="AQ102" s="163">
        <f t="shared" si="946"/>
        <v>0.84410493880960169</v>
      </c>
      <c r="AR102" s="163">
        <f t="shared" si="946"/>
        <v>0.70768289959477715</v>
      </c>
      <c r="AS102" s="163">
        <f t="shared" si="946"/>
        <v>0.52450772245070865</v>
      </c>
      <c r="AT102" s="163">
        <f t="shared" si="946"/>
        <v>0.53388460807190385</v>
      </c>
      <c r="AU102" s="163">
        <f t="shared" si="946"/>
        <v>0.44150690983659607</v>
      </c>
      <c r="AV102" s="163">
        <f t="shared" si="946"/>
        <v>0.40580611810313322</v>
      </c>
      <c r="AW102" s="163">
        <f t="shared" si="946"/>
        <v>0.53698052785491523</v>
      </c>
      <c r="AX102" s="163">
        <f t="shared" si="946"/>
        <v>0.4360966828057023</v>
      </c>
      <c r="AY102" s="163">
        <f t="shared" si="946"/>
        <v>0.45826886245167048</v>
      </c>
      <c r="AZ102" s="163">
        <f t="shared" si="946"/>
        <v>0.37728080644940526</v>
      </c>
      <c r="BA102" s="163">
        <f t="shared" si="946"/>
        <v>0.41450393417910553</v>
      </c>
      <c r="BB102" s="163">
        <f t="shared" si="946"/>
        <v>0.52075341021343668</v>
      </c>
      <c r="BC102" s="163">
        <f t="shared" si="946"/>
        <v>0.53116987096850965</v>
      </c>
      <c r="BD102" s="163">
        <f t="shared" si="946"/>
        <v>0.50143668445515566</v>
      </c>
      <c r="BE102" s="163">
        <f t="shared" si="946"/>
        <v>0.66249091834187723</v>
      </c>
      <c r="BF102" s="163">
        <f t="shared" si="946"/>
        <v>0.57648416652841028</v>
      </c>
      <c r="BG102" s="163">
        <f t="shared" si="946"/>
        <v>0.54149903325716575</v>
      </c>
      <c r="BH102" s="163">
        <f t="shared" si="946"/>
        <v>0.58256347544270426</v>
      </c>
      <c r="BI102" s="163">
        <f t="shared" si="946"/>
        <v>0.58206693265050913</v>
      </c>
      <c r="BJ102" s="163">
        <f t="shared" si="946"/>
        <v>0.46990566082054491</v>
      </c>
      <c r="BK102" s="163">
        <f t="shared" si="946"/>
        <v>0.58353759100469171</v>
      </c>
      <c r="BL102" s="163">
        <f t="shared" si="946"/>
        <v>0.46533772822040836</v>
      </c>
      <c r="BM102" s="163">
        <f t="shared" si="946"/>
        <v>0.38776667489465233</v>
      </c>
      <c r="BN102" s="163">
        <f t="shared" si="946"/>
        <v>0.32650490841947044</v>
      </c>
      <c r="BO102" s="163">
        <f t="shared" si="946"/>
        <v>0.75526932920717393</v>
      </c>
      <c r="BP102" s="163">
        <f t="shared" si="946"/>
        <v>0.56494179899398356</v>
      </c>
      <c r="BQ102" s="163">
        <f t="shared" si="946"/>
        <v>1.5021250518197156</v>
      </c>
      <c r="BR102" s="163">
        <f t="shared" ref="BR102:DB102" si="947">+BR77/BR99</f>
        <v>2.6411391640955864</v>
      </c>
      <c r="BS102" s="163">
        <f t="shared" si="947"/>
        <v>8.3072494126676588</v>
      </c>
      <c r="BT102" s="163">
        <f t="shared" si="947"/>
        <v>6.4048608977325312</v>
      </c>
      <c r="BU102" s="163">
        <f t="shared" si="947"/>
        <v>37.242846286971485</v>
      </c>
      <c r="BV102" s="163">
        <f t="shared" si="947"/>
        <v>29.820814637045164</v>
      </c>
      <c r="BW102" s="163">
        <f t="shared" si="947"/>
        <v>21.674710276951245</v>
      </c>
      <c r="BX102" s="163">
        <f t="shared" si="947"/>
        <v>18.366193989865046</v>
      </c>
      <c r="BY102" s="163">
        <f t="shared" si="947"/>
        <v>16.492420141606448</v>
      </c>
      <c r="BZ102" s="163">
        <f t="shared" si="947"/>
        <v>9.8067264254138138</v>
      </c>
      <c r="CA102" s="163">
        <f t="shared" si="947"/>
        <v>12.361648551368649</v>
      </c>
      <c r="CB102" s="163">
        <f t="shared" si="947"/>
        <v>17.135538091963753</v>
      </c>
      <c r="CC102" s="163">
        <f t="shared" si="947"/>
        <v>15.612341387386916</v>
      </c>
      <c r="CD102" s="163">
        <f t="shared" si="947"/>
        <v>12.13331286871145</v>
      </c>
      <c r="CE102" s="163">
        <f t="shared" si="947"/>
        <v>12.35782089879965</v>
      </c>
      <c r="CF102" s="163">
        <f t="shared" si="947"/>
        <v>12.828506227066359</v>
      </c>
      <c r="CG102" s="163">
        <f t="shared" si="947"/>
        <v>11.15426856680725</v>
      </c>
      <c r="CH102" s="163">
        <f t="shared" si="947"/>
        <v>8.4187950597841041</v>
      </c>
      <c r="CI102" s="163">
        <f t="shared" si="947"/>
        <v>10.19844235058599</v>
      </c>
      <c r="CJ102" s="163">
        <f t="shared" si="947"/>
        <v>8.8740156758184607</v>
      </c>
      <c r="CK102" s="163">
        <f t="shared" ref="CK102:CL102" si="948">+CK77/CK99</f>
        <v>8.2649859074478247</v>
      </c>
      <c r="CL102" s="163">
        <f t="shared" si="948"/>
        <v>5.2722097946096893</v>
      </c>
      <c r="CM102" s="50">
        <f t="shared" si="947"/>
        <v>5.4200071070865308</v>
      </c>
      <c r="CN102" s="50">
        <f t="shared" si="947"/>
        <v>5.5737492755435136</v>
      </c>
      <c r="CO102" s="50">
        <f t="shared" si="947"/>
        <v>5.7182696500031707</v>
      </c>
      <c r="CP102" s="50">
        <f t="shared" si="947"/>
        <v>5.8622687002739013</v>
      </c>
      <c r="CQ102" s="50">
        <f t="shared" si="947"/>
        <v>6.0089241880899769</v>
      </c>
      <c r="CR102" s="50">
        <f t="shared" si="947"/>
        <v>6.1604489461550385</v>
      </c>
      <c r="CS102" s="50">
        <f t="shared" si="947"/>
        <v>6.3226193153998205</v>
      </c>
      <c r="CT102" s="50">
        <f t="shared" si="947"/>
        <v>6.4959327792238168</v>
      </c>
      <c r="CU102" s="50">
        <f t="shared" si="947"/>
        <v>6.6525554536465625</v>
      </c>
      <c r="CV102" s="50">
        <f t="shared" si="947"/>
        <v>6.8176026222185717</v>
      </c>
      <c r="CW102" s="50">
        <f t="shared" si="947"/>
        <v>6.9990053259939682</v>
      </c>
      <c r="CX102" s="50">
        <f t="shared" si="947"/>
        <v>7.1927075465527892</v>
      </c>
      <c r="CY102" s="50">
        <f t="shared" si="947"/>
        <v>7.3646791891269334</v>
      </c>
      <c r="CZ102" s="50">
        <f t="shared" si="947"/>
        <v>7.5471863119773932</v>
      </c>
      <c r="DA102" s="50">
        <f t="shared" si="947"/>
        <v>7.7485389291237139</v>
      </c>
      <c r="DB102" s="50">
        <f t="shared" si="947"/>
        <v>7.9631279104757668</v>
      </c>
      <c r="DE102" s="106"/>
      <c r="DF102" s="163">
        <v>5.2722097946096893</v>
      </c>
    </row>
    <row r="103" spans="1:110" s="163" customFormat="1" x14ac:dyDescent="0.2">
      <c r="A103" s="163" t="s">
        <v>508</v>
      </c>
      <c r="E103" s="163">
        <f t="shared" ca="1" si="944"/>
        <v>7.6927460336331501</v>
      </c>
      <c r="F103" s="163">
        <f t="shared" ca="1" si="944"/>
        <v>8.6136023172206571</v>
      </c>
      <c r="G103" s="163">
        <f t="shared" ca="1" si="944"/>
        <v>5.7295666180498408</v>
      </c>
      <c r="H103" s="163">
        <f t="shared" ca="1" si="944"/>
        <v>3.8041284320738158</v>
      </c>
      <c r="I103" s="163">
        <f t="shared" ca="1" si="944"/>
        <v>7.2264580352531889</v>
      </c>
      <c r="J103" s="163">
        <f t="shared" ca="1" si="944"/>
        <v>3.7227327737523508</v>
      </c>
      <c r="K103" s="163">
        <f t="shared" ca="1" si="944"/>
        <v>3.7810193242412731</v>
      </c>
      <c r="L103" s="163">
        <f t="shared" ca="1" si="944"/>
        <v>2.1488199970371396</v>
      </c>
      <c r="M103" s="163">
        <f t="shared" ca="1" si="944"/>
        <v>1.792398926422182</v>
      </c>
      <c r="N103" s="163">
        <f t="shared" ca="1" si="944"/>
        <v>1.0806385315437241</v>
      </c>
      <c r="O103" s="163">
        <f t="shared" ca="1" si="944"/>
        <v>0.73524034598794108</v>
      </c>
      <c r="P103" s="163">
        <f t="shared" ca="1" si="944"/>
        <v>0.94951020316448476</v>
      </c>
      <c r="Q103" s="163">
        <f t="shared" ca="1" si="944"/>
        <v>0.61829695601411794</v>
      </c>
      <c r="R103" s="163">
        <f t="shared" ca="1" si="944"/>
        <v>0.75798551931066893</v>
      </c>
      <c r="S103" s="163">
        <f t="shared" ca="1" si="944"/>
        <v>1.1498295807889709</v>
      </c>
      <c r="T103" s="163">
        <f t="shared" ca="1" si="944"/>
        <v>1.0239963748825556</v>
      </c>
      <c r="U103" s="163">
        <f t="shared" ca="1" si="944"/>
        <v>0.95593381520589371</v>
      </c>
      <c r="V103" s="163">
        <f t="shared" ca="1" si="944"/>
        <v>4.3457041565260708</v>
      </c>
      <c r="W103" s="163">
        <f t="shared" ca="1" si="944"/>
        <v>52.018867846041324</v>
      </c>
      <c r="X103" s="163">
        <f t="shared" ca="1" si="944"/>
        <v>37.113219487058949</v>
      </c>
      <c r="Y103" s="163">
        <f t="shared" ca="1" si="944"/>
        <v>17.898112952628704</v>
      </c>
      <c r="Z103" s="163">
        <f t="shared" ref="Z103:AA104" ca="1" si="949">+Z78/Z$99</f>
        <v>16.661233326197976</v>
      </c>
      <c r="AA103" s="163">
        <f t="shared" ca="1" si="949"/>
        <v>16.661233326197976</v>
      </c>
      <c r="AB103" s="94">
        <f t="shared" ca="1" si="944"/>
        <v>7.1384647065187705</v>
      </c>
      <c r="AC103" s="94">
        <f t="shared" ca="1" si="944"/>
        <v>5.5201467135161817</v>
      </c>
      <c r="AD103" s="94">
        <f t="shared" ca="1" si="944"/>
        <v>6.7315383579764481</v>
      </c>
      <c r="AE103" s="94">
        <f t="shared" ca="1" si="944"/>
        <v>8.1577571120327548</v>
      </c>
      <c r="AL103" s="163">
        <f t="shared" ref="AL103:BQ103" si="950">+AL78/AL99</f>
        <v>0.96527882309074597</v>
      </c>
      <c r="AM103" s="163">
        <f t="shared" si="950"/>
        <v>0.7541211236876012</v>
      </c>
      <c r="AN103" s="163">
        <f t="shared" si="950"/>
        <v>0.5473848972805444</v>
      </c>
      <c r="AO103" s="163">
        <f t="shared" si="950"/>
        <v>0.60749488434815757</v>
      </c>
      <c r="AP103" s="163">
        <f t="shared" si="950"/>
        <v>0.62717837088413564</v>
      </c>
      <c r="AQ103" s="163">
        <f t="shared" si="950"/>
        <v>0.94065520935468638</v>
      </c>
      <c r="AR103" s="163">
        <f t="shared" si="950"/>
        <v>0.98934773525439001</v>
      </c>
      <c r="AS103" s="163">
        <f t="shared" si="950"/>
        <v>0.70808542530845664</v>
      </c>
      <c r="AT103" s="163">
        <f t="shared" si="950"/>
        <v>0.75622389421830438</v>
      </c>
      <c r="AU103" s="163">
        <f t="shared" si="950"/>
        <v>0.59466918625049814</v>
      </c>
      <c r="AV103" s="163">
        <f t="shared" si="950"/>
        <v>0.57560221598473493</v>
      </c>
      <c r="AW103" s="163">
        <f t="shared" si="950"/>
        <v>0.61556304412636631</v>
      </c>
      <c r="AX103" s="163">
        <f t="shared" si="950"/>
        <v>0.56567593848100151</v>
      </c>
      <c r="AY103" s="163">
        <f t="shared" si="950"/>
        <v>0.49992966812909506</v>
      </c>
      <c r="AZ103" s="163">
        <f t="shared" si="950"/>
        <v>0.50170320006569846</v>
      </c>
      <c r="BA103" s="163">
        <f t="shared" si="950"/>
        <v>0.56185250878762483</v>
      </c>
      <c r="BB103" s="163">
        <f t="shared" si="950"/>
        <v>0.75798551931066893</v>
      </c>
      <c r="BC103" s="163">
        <f t="shared" si="950"/>
        <v>0.73278179279597322</v>
      </c>
      <c r="BD103" s="163">
        <f t="shared" si="950"/>
        <v>0.79506319934584246</v>
      </c>
      <c r="BE103" s="163">
        <f t="shared" si="950"/>
        <v>1.0312712737361518</v>
      </c>
      <c r="BF103" s="163">
        <f t="shared" si="950"/>
        <v>0.83804685551589231</v>
      </c>
      <c r="BG103" s="163">
        <f t="shared" si="950"/>
        <v>0.79269770951650731</v>
      </c>
      <c r="BH103" s="163">
        <f t="shared" si="950"/>
        <v>0.78793723521858849</v>
      </c>
      <c r="BI103" s="163">
        <f t="shared" si="950"/>
        <v>0.672287307211338</v>
      </c>
      <c r="BJ103" s="163">
        <f t="shared" si="950"/>
        <v>0.63674512997181332</v>
      </c>
      <c r="BK103" s="163">
        <f t="shared" si="950"/>
        <v>0.83339921533732397</v>
      </c>
      <c r="BL103" s="163">
        <f t="shared" si="950"/>
        <v>0.71945833157481587</v>
      </c>
      <c r="BM103" s="163">
        <f t="shared" si="950"/>
        <v>0.54976697462841817</v>
      </c>
      <c r="BN103" s="163">
        <f t="shared" si="950"/>
        <v>0.78179786404884299</v>
      </c>
      <c r="BO103" s="163">
        <f t="shared" si="950"/>
        <v>0.86561094405356209</v>
      </c>
      <c r="BP103" s="163">
        <f t="shared" si="950"/>
        <v>0.78089224775618882</v>
      </c>
      <c r="BQ103" s="163">
        <f t="shared" si="950"/>
        <v>1.7019057989877078</v>
      </c>
      <c r="BR103" s="163">
        <f t="shared" ref="BR103:CJ103" si="951">+BR78/BR99</f>
        <v>4.3457041565260708</v>
      </c>
      <c r="BS103" s="163">
        <f t="shared" si="951"/>
        <v>8.3072494126676588</v>
      </c>
      <c r="BT103" s="163">
        <f t="shared" si="951"/>
        <v>9.9691478944932896</v>
      </c>
      <c r="BU103" s="163">
        <f t="shared" si="951"/>
        <v>37.242846286971485</v>
      </c>
      <c r="BV103" s="163">
        <f t="shared" si="951"/>
        <v>52.018867846041324</v>
      </c>
      <c r="BW103" s="163">
        <f t="shared" si="951"/>
        <v>37.586202792401004</v>
      </c>
      <c r="BX103" s="163">
        <f t="shared" si="951"/>
        <v>26.453000526726843</v>
      </c>
      <c r="BY103" s="163">
        <f t="shared" si="951"/>
        <v>20.326418567190252</v>
      </c>
      <c r="BZ103" s="163">
        <f t="shared" si="951"/>
        <v>16.550728595062242</v>
      </c>
      <c r="CA103" s="163">
        <f t="shared" si="951"/>
        <v>14.644600933167441</v>
      </c>
      <c r="CB103" s="163">
        <f t="shared" si="951"/>
        <v>18.802043707465003</v>
      </c>
      <c r="CC103" s="163">
        <f t="shared" si="951"/>
        <v>17.072806815906102</v>
      </c>
      <c r="CD103" s="163">
        <f t="shared" si="951"/>
        <v>17.481419947132128</v>
      </c>
      <c r="CE103" s="163">
        <f t="shared" si="951"/>
        <v>14.268807740476889</v>
      </c>
      <c r="CF103" s="163">
        <f t="shared" si="951"/>
        <v>16.942564556253497</v>
      </c>
      <c r="CG103" s="163">
        <f t="shared" si="951"/>
        <v>13.132751228213385</v>
      </c>
      <c r="CH103" s="163">
        <f t="shared" si="951"/>
        <v>12.628939864224336</v>
      </c>
      <c r="CI103" s="163">
        <f t="shared" si="951"/>
        <v>12.504994427761883</v>
      </c>
      <c r="CJ103" s="163">
        <f t="shared" si="951"/>
        <v>10.81051664162718</v>
      </c>
      <c r="CK103" s="163">
        <f t="shared" ref="CK103:CL103" si="952">+CK78/CK99</f>
        <v>10.013316259719</v>
      </c>
      <c r="CL103" s="163">
        <f t="shared" si="952"/>
        <v>8.4500262447962893</v>
      </c>
      <c r="CM103" s="94">
        <f t="shared" ref="CM103:DB103" si="953">+CL103</f>
        <v>8.4500262447962893</v>
      </c>
      <c r="CN103" s="94">
        <f t="shared" si="953"/>
        <v>8.4500262447962893</v>
      </c>
      <c r="CO103" s="94">
        <f t="shared" si="953"/>
        <v>8.4500262447962893</v>
      </c>
      <c r="CP103" s="94">
        <f t="shared" si="953"/>
        <v>8.4500262447962893</v>
      </c>
      <c r="CQ103" s="94">
        <f t="shared" si="953"/>
        <v>8.4500262447962893</v>
      </c>
      <c r="CR103" s="94">
        <f t="shared" si="953"/>
        <v>8.4500262447962893</v>
      </c>
      <c r="CS103" s="94">
        <f t="shared" si="953"/>
        <v>8.4500262447962893</v>
      </c>
      <c r="CT103" s="94">
        <f t="shared" si="953"/>
        <v>8.4500262447962893</v>
      </c>
      <c r="CU103" s="94">
        <f t="shared" si="953"/>
        <v>8.4500262447962893</v>
      </c>
      <c r="CV103" s="94">
        <f t="shared" si="953"/>
        <v>8.4500262447962893</v>
      </c>
      <c r="CW103" s="94">
        <f t="shared" si="953"/>
        <v>8.4500262447962893</v>
      </c>
      <c r="CX103" s="94">
        <f t="shared" si="953"/>
        <v>8.4500262447962893</v>
      </c>
      <c r="CY103" s="94">
        <f t="shared" si="953"/>
        <v>8.4500262447962893</v>
      </c>
      <c r="CZ103" s="94">
        <f t="shared" si="953"/>
        <v>8.4500262447962893</v>
      </c>
      <c r="DA103" s="94">
        <f t="shared" si="953"/>
        <v>8.4500262447962893</v>
      </c>
      <c r="DB103" s="94">
        <f t="shared" si="953"/>
        <v>8.4500262447962893</v>
      </c>
      <c r="DE103" s="164"/>
      <c r="DF103" s="163">
        <v>13.675057428268531</v>
      </c>
    </row>
    <row r="104" spans="1:110" s="163" customFormat="1" x14ac:dyDescent="0.2">
      <c r="A104" s="163" t="s">
        <v>509</v>
      </c>
      <c r="E104" s="163">
        <f t="shared" ca="1" si="944"/>
        <v>1.3575434176999697</v>
      </c>
      <c r="F104" s="163">
        <f t="shared" ca="1" si="944"/>
        <v>3.7756675036610767</v>
      </c>
      <c r="G104" s="163">
        <f t="shared" ca="1" si="944"/>
        <v>3.7799815429630415</v>
      </c>
      <c r="H104" s="163">
        <f t="shared" ca="1" si="944"/>
        <v>2.0475897209969562</v>
      </c>
      <c r="I104" s="163">
        <f t="shared" ca="1" si="944"/>
        <v>2.2290843631819404</v>
      </c>
      <c r="J104" s="163">
        <f t="shared" ca="1" si="944"/>
        <v>1.2165793378275664</v>
      </c>
      <c r="K104" s="163">
        <f t="shared" ca="1" si="944"/>
        <v>2.0442831753074775</v>
      </c>
      <c r="L104" s="163">
        <f t="shared" ca="1" si="944"/>
        <v>1.1644677566790003</v>
      </c>
      <c r="M104" s="163">
        <f t="shared" ca="1" si="944"/>
        <v>0.88399589605247131</v>
      </c>
      <c r="N104" s="163">
        <f t="shared" ca="1" si="944"/>
        <v>0.53311500889490437</v>
      </c>
      <c r="O104" s="163">
        <f t="shared" ca="1" si="944"/>
        <v>0.34607721389602436</v>
      </c>
      <c r="P104" s="163">
        <f t="shared" ca="1" si="944"/>
        <v>0.47374138962156853</v>
      </c>
      <c r="Q104" s="163">
        <f t="shared" ca="1" si="944"/>
        <v>0.36966264817014288</v>
      </c>
      <c r="R104" s="163">
        <f t="shared" ca="1" si="944"/>
        <v>0.39201159491067039</v>
      </c>
      <c r="S104" s="163">
        <f t="shared" ca="1" si="944"/>
        <v>0.39234403348122299</v>
      </c>
      <c r="T104" s="163">
        <f t="shared" ca="1" si="944"/>
        <v>0.41480271688067649</v>
      </c>
      <c r="U104" s="163">
        <f t="shared" ca="1" si="944"/>
        <v>0.32650490841947039</v>
      </c>
      <c r="V104" s="163">
        <f t="shared" ca="1" si="944"/>
        <v>0.33716670179943659</v>
      </c>
      <c r="W104" s="163">
        <f t="shared" ca="1" si="944"/>
        <v>1.8855834247577254</v>
      </c>
      <c r="X104" s="163">
        <f t="shared" ca="1" si="944"/>
        <v>8.8011349069311215</v>
      </c>
      <c r="Y104" s="163">
        <f t="shared" ca="1" si="944"/>
        <v>8.783363588301933</v>
      </c>
      <c r="Z104" s="163">
        <f t="shared" ca="1" si="949"/>
        <v>8.0720596694290698</v>
      </c>
      <c r="AA104" s="163">
        <f t="shared" ca="1" si="949"/>
        <v>8.0720596694290698</v>
      </c>
      <c r="AB104" s="94">
        <f t="shared" ca="1" si="944"/>
        <v>2.598472409765725</v>
      </c>
      <c r="AC104" s="94">
        <f t="shared" ca="1" si="944"/>
        <v>3.0598389662698784</v>
      </c>
      <c r="AD104" s="94">
        <f t="shared" ca="1" si="944"/>
        <v>3.7537452007275052</v>
      </c>
      <c r="AE104" s="94">
        <f t="shared" ca="1" si="944"/>
        <v>4.5734644147278516</v>
      </c>
      <c r="AL104" s="163">
        <f t="shared" ref="AL104:BQ104" si="954">+AL79/AL99</f>
        <v>0.53306442469190385</v>
      </c>
      <c r="AM104" s="163">
        <f t="shared" si="954"/>
        <v>0.35496438525181906</v>
      </c>
      <c r="AN104" s="163">
        <f t="shared" si="954"/>
        <v>0.39205563793269621</v>
      </c>
      <c r="AO104" s="163">
        <f t="shared" si="954"/>
        <v>0.46565055993667737</v>
      </c>
      <c r="AP104" s="163">
        <f t="shared" si="954"/>
        <v>0.48629565815417591</v>
      </c>
      <c r="AQ104" s="163">
        <f t="shared" si="954"/>
        <v>0.49765985038312088</v>
      </c>
      <c r="AR104" s="163">
        <f t="shared" si="954"/>
        <v>0.67881225393966693</v>
      </c>
      <c r="AS104" s="163">
        <f t="shared" si="954"/>
        <v>0.51139502938944092</v>
      </c>
      <c r="AT104" s="163">
        <f t="shared" si="954"/>
        <v>0.51023149252441446</v>
      </c>
      <c r="AU104" s="163">
        <f t="shared" si="954"/>
        <v>0.37424869280266515</v>
      </c>
      <c r="AV104" s="163">
        <f t="shared" si="954"/>
        <v>0.37696044896494602</v>
      </c>
      <c r="AW104" s="163">
        <f t="shared" si="954"/>
        <v>0.40404510449571063</v>
      </c>
      <c r="AX104" s="163">
        <f t="shared" si="954"/>
        <v>0.37689803808094641</v>
      </c>
      <c r="AY104" s="163">
        <f t="shared" si="954"/>
        <v>0.4066888173272401</v>
      </c>
      <c r="AZ104" s="163">
        <f t="shared" si="954"/>
        <v>0.36256417924747814</v>
      </c>
      <c r="BA104" s="163">
        <f t="shared" si="954"/>
        <v>0.38833923401497594</v>
      </c>
      <c r="BB104" s="163">
        <f t="shared" si="954"/>
        <v>0.42021907129723152</v>
      </c>
      <c r="BC104" s="163">
        <f t="shared" si="954"/>
        <v>0.46060569832889747</v>
      </c>
      <c r="BD104" s="163">
        <f t="shared" si="954"/>
        <v>0.49891267429850222</v>
      </c>
      <c r="BE104" s="163">
        <f t="shared" si="954"/>
        <v>0.35188965209377332</v>
      </c>
      <c r="BF104" s="163">
        <f t="shared" si="954"/>
        <v>0.56497540821296111</v>
      </c>
      <c r="BG104" s="163">
        <f t="shared" si="954"/>
        <v>0.53438963675925977</v>
      </c>
      <c r="BH104" s="163">
        <f t="shared" si="954"/>
        <v>0.52484405276059309</v>
      </c>
      <c r="BI104" s="163">
        <f t="shared" si="954"/>
        <v>0.54277741469659979</v>
      </c>
      <c r="BJ104" s="163">
        <f t="shared" si="954"/>
        <v>0.41480271688067649</v>
      </c>
      <c r="BK104" s="163">
        <f t="shared" si="954"/>
        <v>0.40325768484064062</v>
      </c>
      <c r="BL104" s="163">
        <f t="shared" si="954"/>
        <v>0.38613130639565796</v>
      </c>
      <c r="BM104" s="163">
        <f t="shared" si="954"/>
        <v>0.38087304511874737</v>
      </c>
      <c r="BN104" s="163">
        <f t="shared" si="954"/>
        <v>0.32650490841947044</v>
      </c>
      <c r="BO104" s="163">
        <f t="shared" si="954"/>
        <v>0.34243949435085974</v>
      </c>
      <c r="BP104" s="163">
        <f t="shared" si="954"/>
        <v>0.52830734786468092</v>
      </c>
      <c r="BQ104" s="163">
        <f t="shared" si="954"/>
        <v>0.51829910821884795</v>
      </c>
      <c r="BR104" s="163">
        <f t="shared" ref="BR104:CJ104" si="955">+BR79/BR99</f>
        <v>1.4142269992143033</v>
      </c>
      <c r="BS104" s="163">
        <f t="shared" si="955"/>
        <v>1.9304291036044889</v>
      </c>
      <c r="BT104" s="163">
        <f t="shared" si="955"/>
        <v>5.9434937991670527</v>
      </c>
      <c r="BU104" s="163">
        <f t="shared" si="955"/>
        <v>6.2986210197825665</v>
      </c>
      <c r="BV104" s="163">
        <f t="shared" si="955"/>
        <v>15.933626759919548</v>
      </c>
      <c r="BW104" s="163">
        <f t="shared" si="955"/>
        <v>18.426188464179447</v>
      </c>
      <c r="BX104" s="163">
        <f t="shared" si="955"/>
        <v>15.694263399749349</v>
      </c>
      <c r="BY104" s="163">
        <f t="shared" si="955"/>
        <v>14.019446679164918</v>
      </c>
      <c r="BZ104" s="163">
        <f t="shared" si="955"/>
        <v>8.8011349069311215</v>
      </c>
      <c r="CA104" s="163">
        <f t="shared" si="955"/>
        <v>9.3020753821542854</v>
      </c>
      <c r="CB104" s="163">
        <f t="shared" si="955"/>
        <v>12.184275803096021</v>
      </c>
      <c r="CC104" s="163">
        <f t="shared" si="955"/>
        <v>14.213154228595808</v>
      </c>
      <c r="CD104" s="163">
        <f t="shared" si="955"/>
        <v>12.033240926446524</v>
      </c>
      <c r="CE104" s="163">
        <f t="shared" si="955"/>
        <v>10.380060806414887</v>
      </c>
      <c r="CF104" s="163">
        <f t="shared" si="955"/>
        <v>11.26312754990982</v>
      </c>
      <c r="CG104" s="163">
        <f t="shared" si="955"/>
        <v>9.7387447508049529</v>
      </c>
      <c r="CH104" s="163">
        <f t="shared" si="955"/>
        <v>8.0720596694290698</v>
      </c>
      <c r="CI104" s="163">
        <f t="shared" si="955"/>
        <v>7.7054555363771779</v>
      </c>
      <c r="CJ104" s="163">
        <f t="shared" si="955"/>
        <v>8.8449681613313302</v>
      </c>
      <c r="CK104" s="163">
        <f t="shared" ref="CK104:CL104" si="956">+CK79/CK99</f>
        <v>7.4333206588459957</v>
      </c>
      <c r="CL104" s="163">
        <f t="shared" si="956"/>
        <v>5.075070598071072</v>
      </c>
      <c r="CM104" s="94">
        <f t="shared" ref="CM104:DB104" si="957">+CL104</f>
        <v>5.075070598071072</v>
      </c>
      <c r="CN104" s="94">
        <f t="shared" si="957"/>
        <v>5.075070598071072</v>
      </c>
      <c r="CO104" s="94">
        <f t="shared" si="957"/>
        <v>5.075070598071072</v>
      </c>
      <c r="CP104" s="94">
        <f t="shared" si="957"/>
        <v>5.075070598071072</v>
      </c>
      <c r="CQ104" s="94">
        <f t="shared" si="957"/>
        <v>5.075070598071072</v>
      </c>
      <c r="CR104" s="94">
        <f t="shared" si="957"/>
        <v>5.075070598071072</v>
      </c>
      <c r="CS104" s="94">
        <f t="shared" si="957"/>
        <v>5.075070598071072</v>
      </c>
      <c r="CT104" s="94">
        <f t="shared" si="957"/>
        <v>5.075070598071072</v>
      </c>
      <c r="CU104" s="94">
        <f t="shared" si="957"/>
        <v>5.075070598071072</v>
      </c>
      <c r="CV104" s="94">
        <f t="shared" si="957"/>
        <v>5.075070598071072</v>
      </c>
      <c r="CW104" s="94">
        <f t="shared" si="957"/>
        <v>5.075070598071072</v>
      </c>
      <c r="CX104" s="94">
        <f t="shared" si="957"/>
        <v>5.075070598071072</v>
      </c>
      <c r="CY104" s="94">
        <f t="shared" si="957"/>
        <v>5.075070598071072</v>
      </c>
      <c r="CZ104" s="94">
        <f t="shared" si="957"/>
        <v>5.075070598071072</v>
      </c>
      <c r="DA104" s="94">
        <f t="shared" si="957"/>
        <v>5.075070598071072</v>
      </c>
      <c r="DB104" s="94">
        <f t="shared" si="957"/>
        <v>5.075070598071072</v>
      </c>
      <c r="DE104" s="164"/>
      <c r="DF104" s="163">
        <v>5.075070598071072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1635.3408975155614</v>
      </c>
      <c r="C107" s="162">
        <f t="shared" si="958"/>
        <v>1615.2380400429427</v>
      </c>
      <c r="D107" s="162">
        <f t="shared" si="958"/>
        <v>1172.8906929772368</v>
      </c>
      <c r="E107" s="162">
        <f t="shared" ca="1" si="958"/>
        <v>4596.4157550958071</v>
      </c>
      <c r="F107" s="162">
        <f t="shared" ca="1" si="958"/>
        <v>6955.2254630861635</v>
      </c>
      <c r="G107" s="162">
        <f t="shared" ca="1" si="958"/>
        <v>6274.620290424923</v>
      </c>
      <c r="H107" s="162">
        <f t="shared" ca="1" si="958"/>
        <v>5352.3326213592172</v>
      </c>
      <c r="I107" s="162">
        <f t="shared" ca="1" si="958"/>
        <v>12336.936893203892</v>
      </c>
      <c r="J107" s="162">
        <f t="shared" ca="1" si="958"/>
        <v>7259.8128640776722</v>
      </c>
      <c r="K107" s="162">
        <f t="shared" ca="1" si="958"/>
        <v>7933.5994174757352</v>
      </c>
      <c r="L107" s="162">
        <f t="shared" ca="1" si="958"/>
        <v>4868.3450970873737</v>
      </c>
      <c r="M107" s="162">
        <f t="shared" ca="1" si="958"/>
        <v>4460.2771844660147</v>
      </c>
      <c r="N107" s="162">
        <f t="shared" ca="1" si="958"/>
        <v>2846.9854368932029</v>
      </c>
      <c r="O107" s="162">
        <f t="shared" ca="1" si="958"/>
        <v>2008.0737281553445</v>
      </c>
      <c r="P107" s="162">
        <f t="shared" ca="1" si="958"/>
        <v>2746.6766499999999</v>
      </c>
      <c r="Q107" s="162">
        <f t="shared" ca="1" si="958"/>
        <v>1837.6342</v>
      </c>
      <c r="R107" s="162">
        <f t="shared" ca="1" si="958"/>
        <v>2048.7666399999998</v>
      </c>
      <c r="S107" s="162">
        <f t="shared" ca="1" si="958"/>
        <v>2148.4680699999999</v>
      </c>
      <c r="T107" s="162">
        <f t="shared" ca="1" si="958"/>
        <v>1307.84817</v>
      </c>
      <c r="U107" s="162">
        <f t="shared" ca="1" si="958"/>
        <v>1030.24811</v>
      </c>
      <c r="V107" s="162">
        <f t="shared" ca="1" si="958"/>
        <v>4535.4375999999993</v>
      </c>
      <c r="W107" s="162">
        <f t="shared" ca="1" si="958"/>
        <v>56898.237650000003</v>
      </c>
      <c r="X107" s="162">
        <f t="shared" ca="1" si="958"/>
        <v>41053.53</v>
      </c>
      <c r="Y107" s="162">
        <f t="shared" ca="1" si="958"/>
        <v>21328.2863</v>
      </c>
      <c r="Z107" s="162">
        <f t="shared" ca="1" si="958"/>
        <v>21793.559639999999</v>
      </c>
      <c r="AA107" s="162">
        <f t="shared" ref="AA107" ca="1" si="959">+AA78*AA65</f>
        <v>21793.559639999999</v>
      </c>
      <c r="AB107" s="21">
        <f t="shared" ca="1" si="958"/>
        <v>7448.620884680402</v>
      </c>
      <c r="AC107" s="21">
        <f t="shared" ca="1" si="958"/>
        <v>5198.1148735790402</v>
      </c>
      <c r="AD107" s="21">
        <f t="shared" ca="1" si="958"/>
        <v>5724.7786192293752</v>
      </c>
      <c r="AE107" s="21">
        <f t="shared" ca="1" si="958"/>
        <v>6266.4828173555698</v>
      </c>
      <c r="AL107" s="162">
        <f t="shared" ref="AL107:BQ107" si="960">+AL78*AL65</f>
        <v>2543.3069902912666</v>
      </c>
      <c r="AM107" s="162">
        <f t="shared" si="960"/>
        <v>2008.0737281553445</v>
      </c>
      <c r="AN107" s="162">
        <f t="shared" si="960"/>
        <v>1476.6364466019422</v>
      </c>
      <c r="AO107" s="162">
        <f t="shared" si="960"/>
        <v>1657.7806399999999</v>
      </c>
      <c r="AP107" s="162">
        <f t="shared" si="960"/>
        <v>1714.4736099999998</v>
      </c>
      <c r="AQ107" s="162">
        <f t="shared" si="960"/>
        <v>2590.2822499999997</v>
      </c>
      <c r="AR107" s="162">
        <f t="shared" si="960"/>
        <v>2746.6766499999999</v>
      </c>
      <c r="AS107" s="162">
        <f t="shared" si="960"/>
        <v>2005.7581799999998</v>
      </c>
      <c r="AT107" s="162">
        <f t="shared" si="960"/>
        <v>2187.5666699999997</v>
      </c>
      <c r="AU107" s="162">
        <f t="shared" si="960"/>
        <v>1745.7524899999999</v>
      </c>
      <c r="AV107" s="162">
        <f t="shared" si="960"/>
        <v>1716.4285399999999</v>
      </c>
      <c r="AW107" s="162">
        <f t="shared" si="960"/>
        <v>1837.6342</v>
      </c>
      <c r="AX107" s="162">
        <f t="shared" si="960"/>
        <v>1681.2397999999998</v>
      </c>
      <c r="AY107" s="162">
        <f t="shared" si="960"/>
        <v>1477.9270799999999</v>
      </c>
      <c r="AZ107" s="162">
        <f t="shared" si="960"/>
        <v>1466.1975</v>
      </c>
      <c r="BA107" s="162">
        <f t="shared" si="960"/>
        <v>1595.22288</v>
      </c>
      <c r="BB107" s="162">
        <f t="shared" si="960"/>
        <v>2048.7666399999998</v>
      </c>
      <c r="BC107" s="162">
        <f t="shared" si="960"/>
        <v>1847.4088499999998</v>
      </c>
      <c r="BD107" s="162">
        <f t="shared" si="960"/>
        <v>1847.4088499999998</v>
      </c>
      <c r="BE107" s="162">
        <f t="shared" si="960"/>
        <v>2148.4680699999999</v>
      </c>
      <c r="BF107" s="162">
        <f t="shared" si="960"/>
        <v>1565.8989299999998</v>
      </c>
      <c r="BG107" s="162">
        <f t="shared" si="960"/>
        <v>1307.84817</v>
      </c>
      <c r="BH107" s="162">
        <f t="shared" si="960"/>
        <v>1147.5439100000001</v>
      </c>
      <c r="BI107" s="162">
        <f t="shared" si="960"/>
        <v>903.17765999999995</v>
      </c>
      <c r="BJ107" s="162">
        <f t="shared" si="960"/>
        <v>813.25088000000005</v>
      </c>
      <c r="BK107" s="162">
        <f t="shared" si="960"/>
        <v>1030.24811</v>
      </c>
      <c r="BL107" s="162">
        <f t="shared" si="960"/>
        <v>852.34948000000009</v>
      </c>
      <c r="BM107" s="162">
        <f t="shared" si="960"/>
        <v>623.62266999999997</v>
      </c>
      <c r="BN107" s="162">
        <f t="shared" si="960"/>
        <v>842.57482999999991</v>
      </c>
      <c r="BO107" s="162">
        <f t="shared" si="960"/>
        <v>889.4931499999999</v>
      </c>
      <c r="BP107" s="162">
        <f t="shared" si="960"/>
        <v>791.74664999999993</v>
      </c>
      <c r="BQ107" s="162">
        <f t="shared" si="960"/>
        <v>1765.3017899999998</v>
      </c>
      <c r="BR107" s="162">
        <f t="shared" ref="BR107:CJ107" si="961">+BR78*BR65</f>
        <v>4535.4375999999993</v>
      </c>
      <c r="BS107" s="162">
        <f t="shared" si="961"/>
        <v>8875.3822</v>
      </c>
      <c r="BT107" s="162">
        <f t="shared" si="961"/>
        <v>10771.6643</v>
      </c>
      <c r="BU107" s="162">
        <f t="shared" si="961"/>
        <v>40457.27635</v>
      </c>
      <c r="BV107" s="162">
        <f t="shared" si="961"/>
        <v>56898.237650000003</v>
      </c>
      <c r="BW107" s="162">
        <f t="shared" si="961"/>
        <v>41053.53</v>
      </c>
      <c r="BX107" s="162">
        <f t="shared" si="961"/>
        <v>29128.456999999999</v>
      </c>
      <c r="BY107" s="162">
        <f t="shared" si="961"/>
        <v>22335.075249999998</v>
      </c>
      <c r="BZ107" s="162">
        <f t="shared" si="961"/>
        <v>18307.919450000001</v>
      </c>
      <c r="CA107" s="162">
        <f t="shared" si="961"/>
        <v>16478.10497</v>
      </c>
      <c r="CB107" s="162">
        <f t="shared" si="961"/>
        <v>21328.2863</v>
      </c>
      <c r="CC107" s="162">
        <f t="shared" si="961"/>
        <v>19607.947899999999</v>
      </c>
      <c r="CD107" s="162">
        <f t="shared" si="961"/>
        <v>20831.734079999998</v>
      </c>
      <c r="CE107" s="162">
        <f t="shared" si="961"/>
        <v>17545.496749999998</v>
      </c>
      <c r="CF107" s="162">
        <f t="shared" si="961"/>
        <v>21793.559639999999</v>
      </c>
      <c r="CG107" s="162">
        <f t="shared" si="961"/>
        <v>17375.417839999998</v>
      </c>
      <c r="CH107" s="162">
        <f t="shared" si="961"/>
        <v>16519.158500000001</v>
      </c>
      <c r="CI107" s="162">
        <f t="shared" si="961"/>
        <v>15866.211879999999</v>
      </c>
      <c r="CJ107" s="162">
        <f t="shared" si="961"/>
        <v>13096.076069999999</v>
      </c>
      <c r="CK107" s="162">
        <f t="shared" ref="CK107:CL107" si="962">+CK78*CK65</f>
        <v>11745.219439999999</v>
      </c>
      <c r="CL107" s="162">
        <f t="shared" si="962"/>
        <v>9803.9739499999996</v>
      </c>
      <c r="CM107" s="21">
        <f t="shared" ref="CM107:DB107" si="963">+CM78*CM65</f>
        <v>7448.620884680402</v>
      </c>
      <c r="CN107" s="21">
        <f t="shared" si="963"/>
        <v>5059.0388060239475</v>
      </c>
      <c r="CO107" s="21">
        <f t="shared" si="963"/>
        <v>4514.4529742337527</v>
      </c>
      <c r="CP107" s="21">
        <f t="shared" si="963"/>
        <v>4700.6698360623686</v>
      </c>
      <c r="CQ107" s="21">
        <f t="shared" si="963"/>
        <v>4797.4426646071825</v>
      </c>
      <c r="CR107" s="21">
        <f t="shared" si="963"/>
        <v>4906.9190145399461</v>
      </c>
      <c r="CS107" s="21">
        <f t="shared" si="963"/>
        <v>5061.2084187842875</v>
      </c>
      <c r="CT107" s="21">
        <f t="shared" si="963"/>
        <v>5198.1148735790402</v>
      </c>
      <c r="CU107" s="21">
        <f t="shared" si="963"/>
        <v>5315.2675709051246</v>
      </c>
      <c r="CV107" s="21">
        <f t="shared" si="963"/>
        <v>5441.8256267103106</v>
      </c>
      <c r="CW107" s="21">
        <f t="shared" si="963"/>
        <v>5582.3447891103269</v>
      </c>
      <c r="CX107" s="21">
        <f t="shared" si="963"/>
        <v>5724.7786192293752</v>
      </c>
      <c r="CY107" s="21">
        <f t="shared" si="963"/>
        <v>5849.4408905802111</v>
      </c>
      <c r="CZ107" s="21">
        <f t="shared" si="963"/>
        <v>5980.2463697505555</v>
      </c>
      <c r="DA107" s="21">
        <f t="shared" si="963"/>
        <v>6121.0703231719544</v>
      </c>
      <c r="DB107" s="21">
        <f t="shared" si="963"/>
        <v>6266.4828173555698</v>
      </c>
      <c r="DE107" s="22"/>
      <c r="DF107" s="162">
        <v>15866.211879999999</v>
      </c>
    </row>
    <row r="108" spans="1:110" s="162" customFormat="1" x14ac:dyDescent="0.2">
      <c r="A108" s="49" t="s">
        <v>341</v>
      </c>
      <c r="B108" s="162">
        <f t="shared" ref="B108:AE108" si="964">+B79*B65</f>
        <v>1005.3325189644804</v>
      </c>
      <c r="C108" s="162">
        <f t="shared" si="964"/>
        <v>918.20585678789337</v>
      </c>
      <c r="D108" s="162">
        <f t="shared" si="964"/>
        <v>562.98753262907314</v>
      </c>
      <c r="E108" s="162">
        <f t="shared" ca="1" si="964"/>
        <v>811.13219207573195</v>
      </c>
      <c r="F108" s="162">
        <f t="shared" ca="1" si="964"/>
        <v>3048.7382391812098</v>
      </c>
      <c r="G108" s="162">
        <f t="shared" ca="1" si="964"/>
        <v>4139.5711871451158</v>
      </c>
      <c r="H108" s="162">
        <f t="shared" ca="1" si="964"/>
        <v>2880.9177856482979</v>
      </c>
      <c r="I108" s="162">
        <f t="shared" ca="1" si="964"/>
        <v>3805.4705339805769</v>
      </c>
      <c r="J108" s="162">
        <f t="shared" ca="1" si="964"/>
        <v>2372.4878640776724</v>
      </c>
      <c r="K108" s="162">
        <f t="shared" ca="1" si="964"/>
        <v>4289.4580582524204</v>
      </c>
      <c r="L108" s="162">
        <f t="shared" ca="1" si="964"/>
        <v>2638.2065048543764</v>
      </c>
      <c r="M108" s="162">
        <f t="shared" ca="1" si="964"/>
        <v>2199.7707475728116</v>
      </c>
      <c r="N108" s="162">
        <f t="shared" ca="1" si="964"/>
        <v>1404.5128155339812</v>
      </c>
      <c r="O108" s="162">
        <f t="shared" ca="1" si="964"/>
        <v>945.19916504854382</v>
      </c>
      <c r="P108" s="162">
        <f t="shared" ca="1" si="964"/>
        <v>1370.4059299999999</v>
      </c>
      <c r="Q108" s="162">
        <f t="shared" ca="1" si="964"/>
        <v>1098.67066</v>
      </c>
      <c r="R108" s="162">
        <f t="shared" ca="1" si="964"/>
        <v>1059.57206</v>
      </c>
      <c r="S108" s="162">
        <f t="shared" ca="1" si="964"/>
        <v>733.09875</v>
      </c>
      <c r="T108" s="162">
        <f t="shared" ca="1" si="964"/>
        <v>529.78602999999998</v>
      </c>
      <c r="U108" s="162">
        <f t="shared" ca="1" si="964"/>
        <v>351.88740000000001</v>
      </c>
      <c r="V108" s="162">
        <f t="shared" ca="1" si="964"/>
        <v>351.88740000000001</v>
      </c>
      <c r="W108" s="162">
        <f t="shared" ca="1" si="964"/>
        <v>2062.4511499999999</v>
      </c>
      <c r="X108" s="162">
        <f t="shared" ca="1" si="964"/>
        <v>9735.5513999999985</v>
      </c>
      <c r="Y108" s="162">
        <f t="shared" ca="1" si="964"/>
        <v>10466.69522</v>
      </c>
      <c r="Z108" s="162">
        <f t="shared" ca="1" si="964"/>
        <v>10558.576929999999</v>
      </c>
      <c r="AA108" s="162">
        <f t="shared" ref="AA108" ca="1" si="965">+AA79*AA65</f>
        <v>10558.576929999999</v>
      </c>
      <c r="AB108" s="21">
        <f t="shared" ca="1" si="964"/>
        <v>2711.3723546145684</v>
      </c>
      <c r="AC108" s="21">
        <f t="shared" ca="1" si="964"/>
        <v>2881.3354547949816</v>
      </c>
      <c r="AD108" s="21">
        <f t="shared" ca="1" si="964"/>
        <v>3192.3401642205854</v>
      </c>
      <c r="AE108" s="21">
        <f t="shared" ca="1" si="964"/>
        <v>3513.1637013813752</v>
      </c>
      <c r="AL108" s="162">
        <f t="shared" ref="AL108:BQ108" si="966">+AL79*AL65</f>
        <v>1404.5128155339812</v>
      </c>
      <c r="AM108" s="162">
        <f t="shared" si="966"/>
        <v>945.19916504854382</v>
      </c>
      <c r="AN108" s="162">
        <f t="shared" si="966"/>
        <v>1057.6171300000001</v>
      </c>
      <c r="AO108" s="162">
        <f t="shared" si="966"/>
        <v>1270.7045000000001</v>
      </c>
      <c r="AP108" s="162">
        <f t="shared" si="966"/>
        <v>1329.3524</v>
      </c>
      <c r="AQ108" s="162">
        <f t="shared" si="966"/>
        <v>1370.4059299999999</v>
      </c>
      <c r="AR108" s="162">
        <f t="shared" si="966"/>
        <v>1884.55252</v>
      </c>
      <c r="AS108" s="162">
        <f t="shared" si="966"/>
        <v>1448.60313</v>
      </c>
      <c r="AT108" s="162">
        <f t="shared" si="966"/>
        <v>1475.9721499999998</v>
      </c>
      <c r="AU108" s="162">
        <f t="shared" si="966"/>
        <v>1098.67066</v>
      </c>
      <c r="AV108" s="162">
        <f t="shared" si="966"/>
        <v>1124.08475</v>
      </c>
      <c r="AW108" s="162">
        <f t="shared" si="966"/>
        <v>1206.19181</v>
      </c>
      <c r="AX108" s="162">
        <f t="shared" si="966"/>
        <v>1120.17489</v>
      </c>
      <c r="AY108" s="162">
        <f t="shared" si="966"/>
        <v>1202.2819500000001</v>
      </c>
      <c r="AZ108" s="162">
        <f t="shared" si="966"/>
        <v>1059.57206</v>
      </c>
      <c r="BA108" s="162">
        <f t="shared" si="966"/>
        <v>1102.58052</v>
      </c>
      <c r="BB108" s="162">
        <f t="shared" si="966"/>
        <v>1135.8143299999999</v>
      </c>
      <c r="BC108" s="162">
        <f t="shared" si="966"/>
        <v>1161.2284200000001</v>
      </c>
      <c r="BD108" s="162">
        <f t="shared" si="966"/>
        <v>1159.2734899999998</v>
      </c>
      <c r="BE108" s="162">
        <f t="shared" si="966"/>
        <v>733.09875</v>
      </c>
      <c r="BF108" s="162">
        <f t="shared" si="966"/>
        <v>1055.6622</v>
      </c>
      <c r="BG108" s="162">
        <f t="shared" si="966"/>
        <v>881.67342999999994</v>
      </c>
      <c r="BH108" s="162">
        <f t="shared" si="966"/>
        <v>764.37762999999995</v>
      </c>
      <c r="BI108" s="162">
        <f t="shared" si="966"/>
        <v>729.18889000000001</v>
      </c>
      <c r="BJ108" s="162">
        <f t="shared" si="966"/>
        <v>529.78602999999998</v>
      </c>
      <c r="BK108" s="162">
        <f t="shared" si="966"/>
        <v>498.50714999999997</v>
      </c>
      <c r="BL108" s="162">
        <f t="shared" si="966"/>
        <v>457.45361999999994</v>
      </c>
      <c r="BM108" s="162">
        <f t="shared" si="966"/>
        <v>432.03952999999996</v>
      </c>
      <c r="BN108" s="162">
        <f t="shared" si="966"/>
        <v>351.88740000000001</v>
      </c>
      <c r="BO108" s="162">
        <f t="shared" si="966"/>
        <v>351.88740000000001</v>
      </c>
      <c r="BP108" s="162">
        <f t="shared" si="966"/>
        <v>535.65082000000007</v>
      </c>
      <c r="BQ108" s="162">
        <f t="shared" si="966"/>
        <v>537.60574999999994</v>
      </c>
      <c r="BR108" s="162">
        <f t="shared" ref="BR108:CJ108" si="967">+BR79*BR65</f>
        <v>1475.9721499999998</v>
      </c>
      <c r="BS108" s="162">
        <f t="shared" si="967"/>
        <v>2062.4511499999999</v>
      </c>
      <c r="BT108" s="162">
        <f t="shared" si="967"/>
        <v>6421.9450500000003</v>
      </c>
      <c r="BU108" s="162">
        <f t="shared" si="967"/>
        <v>6842.2550000000001</v>
      </c>
      <c r="BV108" s="162">
        <f t="shared" si="967"/>
        <v>17428.200950000002</v>
      </c>
      <c r="BW108" s="162">
        <f t="shared" si="967"/>
        <v>20126.004349999999</v>
      </c>
      <c r="BX108" s="162">
        <f t="shared" si="967"/>
        <v>17281.581200000001</v>
      </c>
      <c r="BY108" s="162">
        <f t="shared" si="967"/>
        <v>15404.848399999999</v>
      </c>
      <c r="BZ108" s="162">
        <f t="shared" si="967"/>
        <v>9735.5513999999985</v>
      </c>
      <c r="CA108" s="162">
        <f t="shared" si="967"/>
        <v>10466.69522</v>
      </c>
      <c r="CB108" s="162">
        <f t="shared" si="967"/>
        <v>13821.355100000001</v>
      </c>
      <c r="CC108" s="162">
        <f t="shared" si="967"/>
        <v>16323.665499999999</v>
      </c>
      <c r="CD108" s="162">
        <f t="shared" si="967"/>
        <v>14339.411549999999</v>
      </c>
      <c r="CE108" s="162">
        <f t="shared" si="967"/>
        <v>12763.73797</v>
      </c>
      <c r="CF108" s="162">
        <f t="shared" si="967"/>
        <v>14487.986229999999</v>
      </c>
      <c r="CG108" s="162">
        <f t="shared" si="967"/>
        <v>12884.94363</v>
      </c>
      <c r="CH108" s="162">
        <f t="shared" si="967"/>
        <v>10558.576929999999</v>
      </c>
      <c r="CI108" s="162">
        <f t="shared" si="967"/>
        <v>9776.6049299999995</v>
      </c>
      <c r="CJ108" s="162">
        <f t="shared" si="967"/>
        <v>10714.97133</v>
      </c>
      <c r="CK108" s="162">
        <f t="shared" ref="CK108:CL108" si="968">+CK79*CK65</f>
        <v>8718.9878000000008</v>
      </c>
      <c r="CL108" s="162">
        <f t="shared" si="968"/>
        <v>5888.2491600000003</v>
      </c>
      <c r="CM108" s="21">
        <f t="shared" ref="CM108:DB108" si="969">+CM79*CM65</f>
        <v>4473.6283359237032</v>
      </c>
      <c r="CN108" s="21">
        <f t="shared" si="969"/>
        <v>3038.44962786523</v>
      </c>
      <c r="CO108" s="21">
        <f t="shared" si="969"/>
        <v>2711.3723546145684</v>
      </c>
      <c r="CP108" s="21">
        <f t="shared" si="969"/>
        <v>2823.2138676410477</v>
      </c>
      <c r="CQ108" s="21">
        <f t="shared" si="969"/>
        <v>2881.3354547949816</v>
      </c>
      <c r="CR108" s="21">
        <f t="shared" si="969"/>
        <v>2947.0867540965737</v>
      </c>
      <c r="CS108" s="21">
        <f t="shared" si="969"/>
        <v>3039.7526933954682</v>
      </c>
      <c r="CT108" s="21">
        <f t="shared" si="969"/>
        <v>3121.9784644506622</v>
      </c>
      <c r="CU108" s="21">
        <f t="shared" si="969"/>
        <v>3192.3401642205854</v>
      </c>
      <c r="CV108" s="21">
        <f t="shared" si="969"/>
        <v>3268.3507054140491</v>
      </c>
      <c r="CW108" s="21">
        <f t="shared" si="969"/>
        <v>3352.7462621735403</v>
      </c>
      <c r="CX108" s="21">
        <f t="shared" si="969"/>
        <v>3438.2917649289889</v>
      </c>
      <c r="CY108" s="21">
        <f t="shared" si="969"/>
        <v>3513.1637013813752</v>
      </c>
      <c r="CZ108" s="21">
        <f t="shared" si="969"/>
        <v>3591.7252374254581</v>
      </c>
      <c r="DA108" s="21">
        <f t="shared" si="969"/>
        <v>3676.303851125409</v>
      </c>
      <c r="DB108" s="21">
        <f t="shared" si="969"/>
        <v>3763.6383341724782</v>
      </c>
      <c r="DE108" s="22"/>
      <c r="DF108" s="162">
        <v>5888.2491600000003</v>
      </c>
    </row>
    <row r="109" spans="1:110" s="162" customFormat="1" x14ac:dyDescent="0.2">
      <c r="A109" s="49" t="s">
        <v>80</v>
      </c>
      <c r="B109" s="162">
        <f>+B168</f>
        <v>248.99800000000002</v>
      </c>
      <c r="C109" s="162">
        <f t="shared" ref="C109:W109" si="970">+C168</f>
        <v>250.29999999999995</v>
      </c>
      <c r="D109" s="162">
        <f t="shared" si="970"/>
        <v>531.84999999999991</v>
      </c>
      <c r="E109" s="162">
        <f t="shared" si="970"/>
        <v>1372</v>
      </c>
      <c r="F109" s="162">
        <f t="shared" si="970"/>
        <v>1800.8200000000002</v>
      </c>
      <c r="G109" s="162">
        <f t="shared" si="970"/>
        <v>2084.46</v>
      </c>
      <c r="H109" s="162">
        <f t="shared" si="970"/>
        <v>1945.26</v>
      </c>
      <c r="I109" s="162">
        <f t="shared" si="970"/>
        <v>2592.41</v>
      </c>
      <c r="J109" s="162">
        <f t="shared" si="970"/>
        <v>3306.8</v>
      </c>
      <c r="K109" s="162">
        <f t="shared" si="970"/>
        <v>3916.95</v>
      </c>
      <c r="L109" s="162">
        <f t="shared" si="970"/>
        <v>4577.92</v>
      </c>
      <c r="M109" s="162">
        <f t="shared" si="970"/>
        <v>5310.65</v>
      </c>
      <c r="N109" s="162">
        <f t="shared" si="970"/>
        <v>6110.2499999999991</v>
      </c>
      <c r="O109" s="162">
        <f t="shared" si="970"/>
        <v>6498.3000000000011</v>
      </c>
      <c r="P109" s="162">
        <f t="shared" si="970"/>
        <v>7360.6900000000005</v>
      </c>
      <c r="Q109" s="162">
        <f t="shared" si="970"/>
        <v>10994.54</v>
      </c>
      <c r="R109" s="162">
        <f t="shared" si="970"/>
        <v>15502.87</v>
      </c>
      <c r="S109" s="162">
        <f t="shared" si="970"/>
        <v>15161.059999999998</v>
      </c>
      <c r="T109" s="162">
        <f t="shared" si="970"/>
        <v>15765.449999999999</v>
      </c>
      <c r="U109" s="162">
        <f t="shared" si="970"/>
        <v>16616.84</v>
      </c>
      <c r="V109" s="162">
        <f t="shared" si="970"/>
        <v>19315.7</v>
      </c>
      <c r="W109" s="162">
        <f t="shared" si="970"/>
        <v>19586.320000000003</v>
      </c>
      <c r="X109" s="162">
        <f t="shared" ref="X109:Y109" si="971">+X168</f>
        <v>19744.48</v>
      </c>
      <c r="Y109" s="162">
        <f t="shared" si="971"/>
        <v>19887.579999999998</v>
      </c>
      <c r="Z109" s="162">
        <f t="shared" ref="Z109:AA109" si="972">+Z168</f>
        <v>20241.73</v>
      </c>
      <c r="AA109" s="162">
        <f t="shared" si="972"/>
        <v>20624.280000000002</v>
      </c>
      <c r="AB109" s="21">
        <f t="shared" ref="AA109:AD109" si="973">+AB168</f>
        <v>20923.566263834258</v>
      </c>
      <c r="AC109" s="21">
        <f t="shared" si="973"/>
        <v>21289.434750437093</v>
      </c>
      <c r="AD109" s="21">
        <f t="shared" si="973"/>
        <v>21719.894660688427</v>
      </c>
      <c r="AE109" s="21">
        <f t="shared" ref="AE109" si="974">+AE168</f>
        <v>22212.962303622422</v>
      </c>
      <c r="AL109" s="162">
        <f t="shared" ref="AL109:AM109" si="975">+AL168</f>
        <v>5832.0999999999995</v>
      </c>
      <c r="AM109" s="162">
        <f t="shared" si="975"/>
        <v>5955.1667707981615</v>
      </c>
      <c r="AN109" s="162">
        <f t="shared" ref="AN109:AO109" si="976">+AN168</f>
        <v>6112.2400000000007</v>
      </c>
      <c r="AO109" s="162">
        <f t="shared" si="976"/>
        <v>6265.9412754688028</v>
      </c>
      <c r="AP109" s="162">
        <f t="shared" ref="AP109:CD109" si="977">+AP168</f>
        <v>6114.5700000000006</v>
      </c>
      <c r="AQ109" s="162">
        <f t="shared" si="977"/>
        <v>6223.1513463276669</v>
      </c>
      <c r="AR109" s="162">
        <f t="shared" si="977"/>
        <v>6094.56</v>
      </c>
      <c r="AS109" s="162">
        <f t="shared" si="977"/>
        <v>6234.5232275751778</v>
      </c>
      <c r="AT109" s="162">
        <f t="shared" si="977"/>
        <v>6721.7300000000005</v>
      </c>
      <c r="AU109" s="162">
        <f t="shared" si="977"/>
        <v>6802.1679092273862</v>
      </c>
      <c r="AV109" s="162">
        <f t="shared" si="977"/>
        <v>9845.4000000000015</v>
      </c>
      <c r="AW109" s="162">
        <f t="shared" si="977"/>
        <v>9925.7763205828796</v>
      </c>
      <c r="AX109" s="162">
        <f t="shared" si="977"/>
        <v>10000.390000000001</v>
      </c>
      <c r="AY109" s="162">
        <f t="shared" si="977"/>
        <v>10107.577162682168</v>
      </c>
      <c r="AZ109" s="162">
        <f t="shared" si="977"/>
        <v>9326.02</v>
      </c>
      <c r="BA109" s="162">
        <f t="shared" si="977"/>
        <v>9789.4704378445877</v>
      </c>
      <c r="BB109" s="162">
        <f t="shared" si="977"/>
        <v>14251.13</v>
      </c>
      <c r="BC109" s="162">
        <f t="shared" si="977"/>
        <v>14753.845621846343</v>
      </c>
      <c r="BD109" s="162">
        <f t="shared" si="977"/>
        <v>13932.26</v>
      </c>
      <c r="BE109" s="162">
        <f t="shared" si="977"/>
        <v>14480.628340060544</v>
      </c>
      <c r="BF109" s="162">
        <f t="shared" si="977"/>
        <v>12751.699999999999</v>
      </c>
      <c r="BG109" s="162">
        <f t="shared" si="977"/>
        <v>13247.27457874882</v>
      </c>
      <c r="BH109" s="162">
        <f t="shared" si="977"/>
        <v>12780.080000000002</v>
      </c>
      <c r="BI109" s="162">
        <f t="shared" si="977"/>
        <v>13203.504892803878</v>
      </c>
      <c r="BJ109" s="162">
        <f t="shared" si="977"/>
        <v>11859.67</v>
      </c>
      <c r="BK109" s="162">
        <f t="shared" si="977"/>
        <v>12096.853524153668</v>
      </c>
      <c r="BL109" s="162">
        <f t="shared" si="977"/>
        <v>11940.8</v>
      </c>
      <c r="BM109" s="162">
        <f t="shared" si="977"/>
        <v>12225.939459219529</v>
      </c>
      <c r="BN109" s="162">
        <f t="shared" si="977"/>
        <v>10392.049999999999</v>
      </c>
      <c r="BO109" s="162">
        <f t="shared" si="977"/>
        <v>11471.501876545117</v>
      </c>
      <c r="BP109" s="162">
        <f t="shared" si="977"/>
        <v>14516.31</v>
      </c>
      <c r="BQ109" s="162">
        <f t="shared" si="977"/>
        <v>14792.93625457804</v>
      </c>
      <c r="BR109" s="162">
        <f t="shared" si="977"/>
        <v>19315.7</v>
      </c>
      <c r="BS109" s="162">
        <f t="shared" si="977"/>
        <v>19632.28594481511</v>
      </c>
      <c r="BT109" s="162">
        <f t="shared" si="977"/>
        <v>19463.87</v>
      </c>
      <c r="BU109" s="162">
        <f t="shared" si="977"/>
        <v>19756.467834579751</v>
      </c>
      <c r="BV109" s="162">
        <f t="shared" si="977"/>
        <v>19586.32</v>
      </c>
      <c r="BW109" s="162">
        <f t="shared" si="977"/>
        <v>19883.798147224868</v>
      </c>
      <c r="BX109" s="162">
        <f t="shared" si="977"/>
        <v>19250.939999999999</v>
      </c>
      <c r="BY109" s="162">
        <f t="shared" si="977"/>
        <v>19527.802802708349</v>
      </c>
      <c r="BZ109" s="162">
        <f t="shared" si="977"/>
        <v>19744.480000000003</v>
      </c>
      <c r="CA109" s="162">
        <f t="shared" si="977"/>
        <v>20043.750986327777</v>
      </c>
      <c r="CB109" s="162">
        <f t="shared" si="977"/>
        <v>19801.29</v>
      </c>
      <c r="CC109" s="162">
        <f t="shared" si="977"/>
        <v>20105.07854612649</v>
      </c>
      <c r="CD109" s="162">
        <f t="shared" si="977"/>
        <v>19887.579999999998</v>
      </c>
      <c r="CE109" s="162">
        <f t="shared" ref="CE109:CF109" si="978">+CE168</f>
        <v>20210.907735160381</v>
      </c>
      <c r="CF109" s="162">
        <f t="shared" si="978"/>
        <v>19683.55</v>
      </c>
      <c r="CG109" s="162">
        <f t="shared" ref="CG109:CH109" si="979">+CG168</f>
        <v>20002.206678893741</v>
      </c>
      <c r="CH109" s="162">
        <f t="shared" si="979"/>
        <v>20241.73</v>
      </c>
      <c r="CI109" s="162">
        <f t="shared" ref="CI109:CJ109" si="980">+CI168</f>
        <v>20542.344650468745</v>
      </c>
      <c r="CJ109" s="162">
        <f t="shared" si="980"/>
        <v>20372.240000000002</v>
      </c>
      <c r="CK109" s="162">
        <f t="shared" ref="CK109:CL109" si="981">+CK168</f>
        <v>20484.439622549191</v>
      </c>
      <c r="CL109" s="162">
        <f t="shared" si="981"/>
        <v>20624.280000000002</v>
      </c>
      <c r="CM109" s="21">
        <f t="shared" ref="CM109:DB109" si="982">+CM168</f>
        <v>20715.262890701593</v>
      </c>
      <c r="CN109" s="21">
        <f t="shared" si="982"/>
        <v>20791.096820204395</v>
      </c>
      <c r="CO109" s="21">
        <f t="shared" si="982"/>
        <v>20855.101503511032</v>
      </c>
      <c r="CP109" s="21">
        <f t="shared" si="982"/>
        <v>20923.566263834258</v>
      </c>
      <c r="CQ109" s="21">
        <f t="shared" si="982"/>
        <v>21028.966004388931</v>
      </c>
      <c r="CR109" s="21">
        <f t="shared" si="982"/>
        <v>21120.164462684756</v>
      </c>
      <c r="CS109" s="21">
        <f t="shared" si="982"/>
        <v>21203.486207245034</v>
      </c>
      <c r="CT109" s="21">
        <f t="shared" si="982"/>
        <v>21289.434750437093</v>
      </c>
      <c r="CU109" s="21">
        <f t="shared" si="982"/>
        <v>21409.135189766992</v>
      </c>
      <c r="CV109" s="21">
        <f t="shared" si="982"/>
        <v>21516.33137753683</v>
      </c>
      <c r="CW109" s="21">
        <f t="shared" si="982"/>
        <v>21616.92868590232</v>
      </c>
      <c r="CX109" s="21">
        <f t="shared" si="982"/>
        <v>21719.894660688427</v>
      </c>
      <c r="CY109" s="21">
        <f t="shared" si="982"/>
        <v>21853.658736543235</v>
      </c>
      <c r="CZ109" s="21">
        <f t="shared" si="982"/>
        <v>21976.419848589143</v>
      </c>
      <c r="DA109" s="21">
        <f t="shared" si="982"/>
        <v>22093.505155338455</v>
      </c>
      <c r="DB109" s="21">
        <f t="shared" si="982"/>
        <v>22212.962303622422</v>
      </c>
      <c r="DE109" s="22"/>
      <c r="DF109" s="162">
        <v>20624.280000000002</v>
      </c>
    </row>
    <row r="110" spans="1:110" s="162" customFormat="1" x14ac:dyDescent="0.2">
      <c r="A110" s="49" t="s">
        <v>342</v>
      </c>
      <c r="B110" s="162">
        <f>+B107+B109</f>
        <v>1884.3388975155615</v>
      </c>
      <c r="C110" s="162">
        <f t="shared" ref="C110:W110" si="983">+C107+C109</f>
        <v>1865.5380400429426</v>
      </c>
      <c r="D110" s="162">
        <f t="shared" si="983"/>
        <v>1704.7406929772367</v>
      </c>
      <c r="E110" s="162">
        <f t="shared" ca="1" si="983"/>
        <v>5968.4157550958071</v>
      </c>
      <c r="F110" s="162">
        <f t="shared" ca="1" si="983"/>
        <v>8756.0454630861641</v>
      </c>
      <c r="G110" s="162">
        <f t="shared" ca="1" si="983"/>
        <v>8359.0802904249231</v>
      </c>
      <c r="H110" s="162">
        <f t="shared" ca="1" si="983"/>
        <v>7297.5926213592174</v>
      </c>
      <c r="I110" s="162">
        <f t="shared" ca="1" si="983"/>
        <v>14929.346893203892</v>
      </c>
      <c r="J110" s="162">
        <f t="shared" ca="1" si="983"/>
        <v>10566.612864077673</v>
      </c>
      <c r="K110" s="162">
        <f t="shared" ca="1" si="983"/>
        <v>11850.549417475735</v>
      </c>
      <c r="L110" s="162">
        <f t="shared" ca="1" si="983"/>
        <v>9446.2650970873729</v>
      </c>
      <c r="M110" s="162">
        <f t="shared" ca="1" si="983"/>
        <v>9770.9271844660143</v>
      </c>
      <c r="N110" s="162">
        <f t="shared" ca="1" si="983"/>
        <v>8957.2354368932029</v>
      </c>
      <c r="O110" s="162">
        <f t="shared" ca="1" si="983"/>
        <v>8506.3737281553458</v>
      </c>
      <c r="P110" s="162">
        <f t="shared" ca="1" si="983"/>
        <v>10107.36665</v>
      </c>
      <c r="Q110" s="162">
        <f t="shared" ca="1" si="983"/>
        <v>12832.174200000001</v>
      </c>
      <c r="R110" s="162">
        <f t="shared" ca="1" si="983"/>
        <v>17551.636640000001</v>
      </c>
      <c r="S110" s="162">
        <f t="shared" ca="1" si="983"/>
        <v>17309.528069999997</v>
      </c>
      <c r="T110" s="162">
        <f t="shared" ca="1" si="983"/>
        <v>17073.298169999998</v>
      </c>
      <c r="U110" s="162">
        <f t="shared" ca="1" si="983"/>
        <v>17647.088110000001</v>
      </c>
      <c r="V110" s="162">
        <f t="shared" ca="1" si="983"/>
        <v>23851.137600000002</v>
      </c>
      <c r="W110" s="162">
        <f t="shared" ca="1" si="983"/>
        <v>76484.557650000002</v>
      </c>
      <c r="X110" s="162">
        <f t="shared" ref="X110:Y110" ca="1" si="984">+X107+X109</f>
        <v>60798.009999999995</v>
      </c>
      <c r="Y110" s="162">
        <f t="shared" ca="1" si="984"/>
        <v>41215.866299999994</v>
      </c>
      <c r="Z110" s="162">
        <f t="shared" ref="Z110:AA110" ca="1" si="985">+Z107+Z109</f>
        <v>42035.289640000003</v>
      </c>
      <c r="AA110" s="162">
        <f t="shared" ca="1" si="985"/>
        <v>42035.289640000003</v>
      </c>
      <c r="AB110" s="21">
        <f t="shared" ref="AA110:AD110" ca="1" si="986">+AB107+AB109</f>
        <v>28372.187148514662</v>
      </c>
      <c r="AC110" s="21">
        <f t="shared" ca="1" si="986"/>
        <v>26487.549624016134</v>
      </c>
      <c r="AD110" s="21">
        <f t="shared" ca="1" si="986"/>
        <v>27444.673279917803</v>
      </c>
      <c r="AE110" s="21">
        <f t="shared" ref="AE110" ca="1" si="987">+AE107+AE109</f>
        <v>28479.445120977991</v>
      </c>
      <c r="AL110" s="162">
        <f t="shared" ref="AL110" si="988">+AL107+AL109</f>
        <v>8375.406990291267</v>
      </c>
      <c r="AM110" s="162">
        <f t="shared" ref="AM110:AO110" si="989">+AM107+AM109</f>
        <v>7963.2404989535062</v>
      </c>
      <c r="AN110" s="162">
        <f t="shared" si="989"/>
        <v>7588.8764466019429</v>
      </c>
      <c r="AO110" s="162">
        <f t="shared" si="989"/>
        <v>7923.7219154688028</v>
      </c>
      <c r="AP110" s="162">
        <f t="shared" ref="AP110:CD110" si="990">+AP107+AP109</f>
        <v>7829.0436100000006</v>
      </c>
      <c r="AQ110" s="162">
        <f t="shared" si="990"/>
        <v>8813.4335963276662</v>
      </c>
      <c r="AR110" s="162">
        <f t="shared" si="990"/>
        <v>8841.2366500000007</v>
      </c>
      <c r="AS110" s="162">
        <f t="shared" si="990"/>
        <v>8240.2814075751776</v>
      </c>
      <c r="AT110" s="162">
        <f t="shared" si="990"/>
        <v>8909.2966699999997</v>
      </c>
      <c r="AU110" s="162">
        <f t="shared" si="990"/>
        <v>8547.920399227387</v>
      </c>
      <c r="AV110" s="162">
        <f t="shared" si="990"/>
        <v>11561.828540000002</v>
      </c>
      <c r="AW110" s="162">
        <f t="shared" si="990"/>
        <v>11763.41052058288</v>
      </c>
      <c r="AX110" s="162">
        <f t="shared" si="990"/>
        <v>11681.629800000001</v>
      </c>
      <c r="AY110" s="162">
        <f t="shared" si="990"/>
        <v>11585.504242682167</v>
      </c>
      <c r="AZ110" s="162">
        <f t="shared" si="990"/>
        <v>10792.217500000001</v>
      </c>
      <c r="BA110" s="162">
        <f t="shared" si="990"/>
        <v>11384.693317844587</v>
      </c>
      <c r="BB110" s="162">
        <f t="shared" si="990"/>
        <v>16299.896639999999</v>
      </c>
      <c r="BC110" s="162">
        <f t="shared" si="990"/>
        <v>16601.254471846343</v>
      </c>
      <c r="BD110" s="162">
        <f t="shared" si="990"/>
        <v>15779.66885</v>
      </c>
      <c r="BE110" s="162">
        <f t="shared" si="990"/>
        <v>16629.096410060545</v>
      </c>
      <c r="BF110" s="162">
        <f t="shared" si="990"/>
        <v>14317.598929999998</v>
      </c>
      <c r="BG110" s="162">
        <f t="shared" si="990"/>
        <v>14555.12274874882</v>
      </c>
      <c r="BH110" s="162">
        <f t="shared" si="990"/>
        <v>13927.623910000002</v>
      </c>
      <c r="BI110" s="162">
        <f t="shared" si="990"/>
        <v>14106.682552803877</v>
      </c>
      <c r="BJ110" s="162">
        <f t="shared" si="990"/>
        <v>12672.92088</v>
      </c>
      <c r="BK110" s="162">
        <f t="shared" si="990"/>
        <v>13127.101634153669</v>
      </c>
      <c r="BL110" s="162">
        <f t="shared" si="990"/>
        <v>12793.14948</v>
      </c>
      <c r="BM110" s="162">
        <f t="shared" si="990"/>
        <v>12849.56212921953</v>
      </c>
      <c r="BN110" s="162">
        <f t="shared" si="990"/>
        <v>11234.624829999999</v>
      </c>
      <c r="BO110" s="162">
        <f t="shared" si="990"/>
        <v>12360.995026545117</v>
      </c>
      <c r="BP110" s="162">
        <f t="shared" si="990"/>
        <v>15308.056649999999</v>
      </c>
      <c r="BQ110" s="162">
        <f t="shared" si="990"/>
        <v>16558.23804457804</v>
      </c>
      <c r="BR110" s="162">
        <f t="shared" si="990"/>
        <v>23851.137600000002</v>
      </c>
      <c r="BS110" s="162">
        <f t="shared" si="990"/>
        <v>28507.66814481511</v>
      </c>
      <c r="BT110" s="162">
        <f t="shared" si="990"/>
        <v>30235.534299999999</v>
      </c>
      <c r="BU110" s="162">
        <f t="shared" si="990"/>
        <v>60213.744184579751</v>
      </c>
      <c r="BV110" s="162">
        <f t="shared" si="990"/>
        <v>76484.557650000002</v>
      </c>
      <c r="BW110" s="162">
        <f t="shared" si="990"/>
        <v>60937.328147224864</v>
      </c>
      <c r="BX110" s="162">
        <f t="shared" si="990"/>
        <v>48379.396999999997</v>
      </c>
      <c r="BY110" s="162">
        <f t="shared" si="990"/>
        <v>41862.878052708344</v>
      </c>
      <c r="BZ110" s="162">
        <f t="shared" si="990"/>
        <v>38052.399450000004</v>
      </c>
      <c r="CA110" s="162">
        <f t="shared" si="990"/>
        <v>36521.855956327781</v>
      </c>
      <c r="CB110" s="162">
        <f t="shared" si="990"/>
        <v>41129.576300000001</v>
      </c>
      <c r="CC110" s="162">
        <f t="shared" si="990"/>
        <v>39713.026446126489</v>
      </c>
      <c r="CD110" s="162">
        <f t="shared" si="990"/>
        <v>40719.314079999996</v>
      </c>
      <c r="CE110" s="162">
        <f t="shared" ref="CE110:CF110" si="991">+CE107+CE109</f>
        <v>37756.404485160383</v>
      </c>
      <c r="CF110" s="162">
        <f t="shared" si="991"/>
        <v>41477.109639999995</v>
      </c>
      <c r="CG110" s="162">
        <f t="shared" ref="CG110:CH110" si="992">+CG107+CG109</f>
        <v>37377.624518893739</v>
      </c>
      <c r="CH110" s="162">
        <f t="shared" si="992"/>
        <v>36760.888500000001</v>
      </c>
      <c r="CI110" s="162">
        <f t="shared" ref="CI110:CJ110" si="993">+CI107+CI109</f>
        <v>36408.556530468748</v>
      </c>
      <c r="CJ110" s="162">
        <f t="shared" si="993"/>
        <v>33468.316070000001</v>
      </c>
      <c r="CK110" s="162">
        <f t="shared" ref="CK110:CL110" si="994">+CK107+CK109</f>
        <v>32229.659062549188</v>
      </c>
      <c r="CL110" s="162">
        <f t="shared" si="994"/>
        <v>30428.253950000002</v>
      </c>
      <c r="CM110" s="21">
        <f t="shared" ref="CM110:DB110" si="995">+CM107+CM109</f>
        <v>28163.883775381997</v>
      </c>
      <c r="CN110" s="21">
        <f t="shared" si="995"/>
        <v>25850.135626228344</v>
      </c>
      <c r="CO110" s="21">
        <f t="shared" si="995"/>
        <v>25369.554477744787</v>
      </c>
      <c r="CP110" s="21">
        <f t="shared" si="995"/>
        <v>25624.236099896625</v>
      </c>
      <c r="CQ110" s="21">
        <f t="shared" si="995"/>
        <v>25826.408668996111</v>
      </c>
      <c r="CR110" s="21">
        <f t="shared" si="995"/>
        <v>26027.083477224704</v>
      </c>
      <c r="CS110" s="21">
        <f t="shared" si="995"/>
        <v>26264.694626029323</v>
      </c>
      <c r="CT110" s="21">
        <f t="shared" si="995"/>
        <v>26487.549624016134</v>
      </c>
      <c r="CU110" s="21">
        <f t="shared" si="995"/>
        <v>26724.402760672117</v>
      </c>
      <c r="CV110" s="21">
        <f t="shared" si="995"/>
        <v>26958.157004247139</v>
      </c>
      <c r="CW110" s="21">
        <f t="shared" si="995"/>
        <v>27199.273475012647</v>
      </c>
      <c r="CX110" s="21">
        <f t="shared" si="995"/>
        <v>27444.673279917803</v>
      </c>
      <c r="CY110" s="21">
        <f t="shared" si="995"/>
        <v>27703.099627123447</v>
      </c>
      <c r="CZ110" s="21">
        <f t="shared" si="995"/>
        <v>27956.666218339698</v>
      </c>
      <c r="DA110" s="21">
        <f t="shared" si="995"/>
        <v>28214.575478510407</v>
      </c>
      <c r="DB110" s="21">
        <f t="shared" si="995"/>
        <v>28479.445120977991</v>
      </c>
      <c r="DE110" s="22"/>
      <c r="DF110" s="162">
        <v>36490.491880000001</v>
      </c>
    </row>
    <row r="111" spans="1:110" s="162" customFormat="1" x14ac:dyDescent="0.2">
      <c r="A111" s="49" t="s">
        <v>345</v>
      </c>
      <c r="B111" s="162">
        <f>+B108+B109</f>
        <v>1254.3305189644805</v>
      </c>
      <c r="C111" s="162">
        <f t="shared" ref="C111:W111" si="996">+C108+C109</f>
        <v>1168.5058567878932</v>
      </c>
      <c r="D111" s="162">
        <f t="shared" si="996"/>
        <v>1094.8375326290729</v>
      </c>
      <c r="E111" s="162">
        <f t="shared" ca="1" si="996"/>
        <v>2183.1321920757318</v>
      </c>
      <c r="F111" s="162">
        <f t="shared" ca="1" si="996"/>
        <v>4849.5582391812095</v>
      </c>
      <c r="G111" s="162">
        <f t="shared" ca="1" si="996"/>
        <v>6224.0311871451158</v>
      </c>
      <c r="H111" s="162">
        <f t="shared" ca="1" si="996"/>
        <v>4826.1777856482977</v>
      </c>
      <c r="I111" s="162">
        <f t="shared" ca="1" si="996"/>
        <v>6397.8805339805767</v>
      </c>
      <c r="J111" s="162">
        <f t="shared" ca="1" si="996"/>
        <v>5679.2878640776726</v>
      </c>
      <c r="K111" s="162">
        <f t="shared" ca="1" si="996"/>
        <v>8206.4080582524202</v>
      </c>
      <c r="L111" s="162">
        <f t="shared" ca="1" si="996"/>
        <v>7216.1265048543764</v>
      </c>
      <c r="M111" s="162">
        <f t="shared" ca="1" si="996"/>
        <v>7510.4207475728108</v>
      </c>
      <c r="N111" s="162">
        <f t="shared" ca="1" si="996"/>
        <v>7514.7628155339808</v>
      </c>
      <c r="O111" s="162">
        <f t="shared" ca="1" si="996"/>
        <v>7443.4991650485445</v>
      </c>
      <c r="P111" s="162">
        <f t="shared" ca="1" si="996"/>
        <v>8731.0959299999995</v>
      </c>
      <c r="Q111" s="162">
        <f t="shared" ca="1" si="996"/>
        <v>12093.210660000001</v>
      </c>
      <c r="R111" s="162">
        <f t="shared" ca="1" si="996"/>
        <v>16562.442060000001</v>
      </c>
      <c r="S111" s="162">
        <f t="shared" ca="1" si="996"/>
        <v>15894.158749999997</v>
      </c>
      <c r="T111" s="162">
        <f t="shared" ca="1" si="996"/>
        <v>16295.236029999998</v>
      </c>
      <c r="U111" s="162">
        <f t="shared" ca="1" si="996"/>
        <v>16968.7274</v>
      </c>
      <c r="V111" s="162">
        <f t="shared" ca="1" si="996"/>
        <v>19667.5874</v>
      </c>
      <c r="W111" s="162">
        <f t="shared" ca="1" si="996"/>
        <v>21648.771150000004</v>
      </c>
      <c r="X111" s="162">
        <f t="shared" ref="X111:Y111" ca="1" si="997">+X108+X109</f>
        <v>29480.0314</v>
      </c>
      <c r="Y111" s="162">
        <f t="shared" ca="1" si="997"/>
        <v>30354.275219999996</v>
      </c>
      <c r="Z111" s="162">
        <f t="shared" ref="Z111:AA111" ca="1" si="998">+Z108+Z109</f>
        <v>30800.306929999999</v>
      </c>
      <c r="AA111" s="162">
        <f t="shared" ca="1" si="998"/>
        <v>30800.306929999999</v>
      </c>
      <c r="AB111" s="21">
        <f t="shared" ref="AA111:AD111" ca="1" si="999">+AB108+AB109</f>
        <v>23634.938618448825</v>
      </c>
      <c r="AC111" s="21">
        <f t="shared" ca="1" si="999"/>
        <v>24170.770205232075</v>
      </c>
      <c r="AD111" s="21">
        <f t="shared" ca="1" si="999"/>
        <v>24912.234824909014</v>
      </c>
      <c r="AE111" s="21">
        <f t="shared" ref="AE111" ca="1" si="1000">+AE108+AE109</f>
        <v>25726.126005003796</v>
      </c>
      <c r="AL111" s="162">
        <f t="shared" ref="AL111:AM111" si="1001">+AL108+AL109</f>
        <v>7236.6128155339811</v>
      </c>
      <c r="AM111" s="162">
        <f t="shared" si="1001"/>
        <v>6900.3659358467048</v>
      </c>
      <c r="AN111" s="162">
        <f t="shared" ref="AN111:AO111" si="1002">+AN108+AN109</f>
        <v>7169.8571300000003</v>
      </c>
      <c r="AO111" s="162">
        <f t="shared" si="1002"/>
        <v>7536.6457754688026</v>
      </c>
      <c r="AP111" s="162">
        <f t="shared" ref="AP111:CD111" si="1003">+AP108+AP109</f>
        <v>7443.9224000000004</v>
      </c>
      <c r="AQ111" s="162">
        <f t="shared" si="1003"/>
        <v>7593.5572763276668</v>
      </c>
      <c r="AR111" s="162">
        <f t="shared" si="1003"/>
        <v>7979.1125200000006</v>
      </c>
      <c r="AS111" s="162">
        <f t="shared" si="1003"/>
        <v>7683.1263575751782</v>
      </c>
      <c r="AT111" s="162">
        <f t="shared" si="1003"/>
        <v>8197.702150000001</v>
      </c>
      <c r="AU111" s="162">
        <f t="shared" si="1003"/>
        <v>7900.838569227386</v>
      </c>
      <c r="AV111" s="162">
        <f t="shared" si="1003"/>
        <v>10969.484750000001</v>
      </c>
      <c r="AW111" s="162">
        <f t="shared" si="1003"/>
        <v>11131.96813058288</v>
      </c>
      <c r="AX111" s="162">
        <f t="shared" si="1003"/>
        <v>11120.564890000001</v>
      </c>
      <c r="AY111" s="162">
        <f t="shared" si="1003"/>
        <v>11309.859112682168</v>
      </c>
      <c r="AZ111" s="162">
        <f t="shared" si="1003"/>
        <v>10385.592060000001</v>
      </c>
      <c r="BA111" s="162">
        <f t="shared" si="1003"/>
        <v>10892.050957844587</v>
      </c>
      <c r="BB111" s="162">
        <f t="shared" si="1003"/>
        <v>15386.944329999998</v>
      </c>
      <c r="BC111" s="162">
        <f t="shared" si="1003"/>
        <v>15915.074041846343</v>
      </c>
      <c r="BD111" s="162">
        <f t="shared" si="1003"/>
        <v>15091.53349</v>
      </c>
      <c r="BE111" s="162">
        <f t="shared" si="1003"/>
        <v>15213.727090060544</v>
      </c>
      <c r="BF111" s="162">
        <f t="shared" si="1003"/>
        <v>13807.3622</v>
      </c>
      <c r="BG111" s="162">
        <f t="shared" si="1003"/>
        <v>14128.948008748821</v>
      </c>
      <c r="BH111" s="162">
        <f t="shared" si="1003"/>
        <v>13544.457630000001</v>
      </c>
      <c r="BI111" s="162">
        <f t="shared" si="1003"/>
        <v>13932.693782803877</v>
      </c>
      <c r="BJ111" s="162">
        <f t="shared" si="1003"/>
        <v>12389.456029999999</v>
      </c>
      <c r="BK111" s="162">
        <f t="shared" si="1003"/>
        <v>12595.360674153668</v>
      </c>
      <c r="BL111" s="162">
        <f t="shared" si="1003"/>
        <v>12398.25362</v>
      </c>
      <c r="BM111" s="162">
        <f t="shared" si="1003"/>
        <v>12657.978989219529</v>
      </c>
      <c r="BN111" s="162">
        <f t="shared" si="1003"/>
        <v>10743.937399999999</v>
      </c>
      <c r="BO111" s="162">
        <f t="shared" si="1003"/>
        <v>11823.389276545116</v>
      </c>
      <c r="BP111" s="162">
        <f t="shared" si="1003"/>
        <v>15051.96082</v>
      </c>
      <c r="BQ111" s="162">
        <f t="shared" si="1003"/>
        <v>15330.542004578041</v>
      </c>
      <c r="BR111" s="162">
        <f t="shared" si="1003"/>
        <v>20791.672150000002</v>
      </c>
      <c r="BS111" s="162">
        <f t="shared" si="1003"/>
        <v>21694.737094815111</v>
      </c>
      <c r="BT111" s="162">
        <f t="shared" si="1003"/>
        <v>25885.815049999997</v>
      </c>
      <c r="BU111" s="162">
        <f t="shared" si="1003"/>
        <v>26598.722834579752</v>
      </c>
      <c r="BV111" s="162">
        <f t="shared" si="1003"/>
        <v>37014.520950000006</v>
      </c>
      <c r="BW111" s="162">
        <f t="shared" si="1003"/>
        <v>40009.802497224868</v>
      </c>
      <c r="BX111" s="162">
        <f t="shared" si="1003"/>
        <v>36532.521200000003</v>
      </c>
      <c r="BY111" s="162">
        <f t="shared" si="1003"/>
        <v>34932.651202708352</v>
      </c>
      <c r="BZ111" s="162">
        <f t="shared" si="1003"/>
        <v>29480.0314</v>
      </c>
      <c r="CA111" s="162">
        <f t="shared" si="1003"/>
        <v>30510.446206327775</v>
      </c>
      <c r="CB111" s="162">
        <f t="shared" si="1003"/>
        <v>33622.645100000002</v>
      </c>
      <c r="CC111" s="162">
        <f t="shared" si="1003"/>
        <v>36428.744046126492</v>
      </c>
      <c r="CD111" s="162">
        <f t="shared" si="1003"/>
        <v>34226.991549999999</v>
      </c>
      <c r="CE111" s="162">
        <f t="shared" ref="CE111:CF111" si="1004">+CE108+CE109</f>
        <v>32974.645705160379</v>
      </c>
      <c r="CF111" s="162">
        <f t="shared" si="1004"/>
        <v>34171.536229999998</v>
      </c>
      <c r="CG111" s="162">
        <f t="shared" ref="CG111:CH111" si="1005">+CG108+CG109</f>
        <v>32887.150308893739</v>
      </c>
      <c r="CH111" s="162">
        <f t="shared" si="1005"/>
        <v>30800.306929999999</v>
      </c>
      <c r="CI111" s="162">
        <f t="shared" ref="CI111:CJ111" si="1006">+CI108+CI109</f>
        <v>30318.949580468747</v>
      </c>
      <c r="CJ111" s="162">
        <f t="shared" si="1006"/>
        <v>31087.211330000002</v>
      </c>
      <c r="CK111" s="162">
        <f t="shared" ref="CK111:CL111" si="1007">+CK108+CK109</f>
        <v>29203.42742254919</v>
      </c>
      <c r="CL111" s="162">
        <f t="shared" si="1007"/>
        <v>26512.529160000002</v>
      </c>
      <c r="CM111" s="21">
        <f t="shared" ref="CM111:DB111" si="1008">+CM108+CM109</f>
        <v>25188.891226625296</v>
      </c>
      <c r="CN111" s="21">
        <f t="shared" si="1008"/>
        <v>23829.546448069625</v>
      </c>
      <c r="CO111" s="21">
        <f t="shared" si="1008"/>
        <v>23566.473858125602</v>
      </c>
      <c r="CP111" s="21">
        <f t="shared" si="1008"/>
        <v>23746.780131475305</v>
      </c>
      <c r="CQ111" s="21">
        <f t="shared" si="1008"/>
        <v>23910.301459183913</v>
      </c>
      <c r="CR111" s="21">
        <f t="shared" si="1008"/>
        <v>24067.251216781329</v>
      </c>
      <c r="CS111" s="21">
        <f t="shared" si="1008"/>
        <v>24243.238900640503</v>
      </c>
      <c r="CT111" s="21">
        <f t="shared" si="1008"/>
        <v>24411.413214887754</v>
      </c>
      <c r="CU111" s="21">
        <f t="shared" si="1008"/>
        <v>24601.475353987578</v>
      </c>
      <c r="CV111" s="21">
        <f t="shared" si="1008"/>
        <v>24784.68208295088</v>
      </c>
      <c r="CW111" s="21">
        <f t="shared" si="1008"/>
        <v>24969.674948075859</v>
      </c>
      <c r="CX111" s="21">
        <f t="shared" si="1008"/>
        <v>25158.186425617416</v>
      </c>
      <c r="CY111" s="21">
        <f t="shared" si="1008"/>
        <v>25366.822437924609</v>
      </c>
      <c r="CZ111" s="21">
        <f t="shared" si="1008"/>
        <v>25568.1450860146</v>
      </c>
      <c r="DA111" s="21">
        <f t="shared" si="1008"/>
        <v>25769.809006463864</v>
      </c>
      <c r="DB111" s="21">
        <f t="shared" si="1008"/>
        <v>25976.600637794902</v>
      </c>
      <c r="DE111" s="22"/>
      <c r="DF111" s="162">
        <v>26512.529160000002</v>
      </c>
    </row>
    <row r="112" spans="1:110" s="162" customFormat="1" x14ac:dyDescent="0.2">
      <c r="A112" s="49" t="s">
        <v>13</v>
      </c>
      <c r="B112" s="162">
        <f t="shared" ref="B112:AE112" si="1009">+B28</f>
        <v>-63.550299999999993</v>
      </c>
      <c r="C112" s="162">
        <f t="shared" si="1009"/>
        <v>13.509999999999991</v>
      </c>
      <c r="D112" s="162">
        <f t="shared" si="1009"/>
        <v>63.350000000000023</v>
      </c>
      <c r="E112" s="162">
        <f t="shared" si="1009"/>
        <v>-0.41999999999995907</v>
      </c>
      <c r="F112" s="162">
        <f t="shared" si="1009"/>
        <v>-95.129999999999882</v>
      </c>
      <c r="G112" s="162">
        <f t="shared" si="1009"/>
        <v>122.70000000000005</v>
      </c>
      <c r="H112" s="162">
        <f t="shared" si="1009"/>
        <v>285.16000000000031</v>
      </c>
      <c r="I112" s="162">
        <f t="shared" si="1009"/>
        <v>391.41000000000008</v>
      </c>
      <c r="J112" s="162">
        <f t="shared" si="1009"/>
        <v>484.50999999999976</v>
      </c>
      <c r="K112" s="162">
        <f t="shared" si="1009"/>
        <v>381.74999999999977</v>
      </c>
      <c r="L112" s="162">
        <f t="shared" si="1009"/>
        <v>14.660000000000309</v>
      </c>
      <c r="M112" s="162">
        <f t="shared" si="1009"/>
        <v>529.80000000000041</v>
      </c>
      <c r="N112" s="162">
        <f t="shared" si="1009"/>
        <v>449.62000000000035</v>
      </c>
      <c r="O112" s="162">
        <f t="shared" si="1009"/>
        <v>410.84000000000015</v>
      </c>
      <c r="P112" s="162">
        <f t="shared" si="1009"/>
        <v>592.92999999999984</v>
      </c>
      <c r="Q112" s="162">
        <f t="shared" si="1009"/>
        <v>715.8400000000006</v>
      </c>
      <c r="R112" s="162">
        <f t="shared" si="1009"/>
        <v>576.44000000000005</v>
      </c>
      <c r="S112" s="162">
        <f t="shared" si="1009"/>
        <v>-9.0099999999999909</v>
      </c>
      <c r="T112" s="162">
        <f t="shared" si="1009"/>
        <v>199.1400000000001</v>
      </c>
      <c r="U112" s="162">
        <f t="shared" si="1009"/>
        <v>421.69999999999993</v>
      </c>
      <c r="V112" s="162">
        <f t="shared" si="1009"/>
        <v>488.8900000000001</v>
      </c>
      <c r="W112" s="162">
        <f t="shared" si="1009"/>
        <v>467.63</v>
      </c>
      <c r="X112" s="162">
        <f t="shared" si="1009"/>
        <v>492.5</v>
      </c>
      <c r="Y112" s="162">
        <f t="shared" si="1009"/>
        <v>527.42000000000007</v>
      </c>
      <c r="Z112" s="162">
        <f t="shared" si="1009"/>
        <v>570.77999999999986</v>
      </c>
      <c r="AA112" s="162">
        <f t="shared" ref="AA112" si="1010">+AA28</f>
        <v>617.41</v>
      </c>
      <c r="AB112" s="21">
        <f t="shared" si="1009"/>
        <v>563.8753186185163</v>
      </c>
      <c r="AC112" s="21">
        <f t="shared" si="1009"/>
        <v>510.45776170569957</v>
      </c>
      <c r="AD112" s="21">
        <f t="shared" si="1009"/>
        <v>461.22959868062816</v>
      </c>
      <c r="AE112" s="21">
        <f t="shared" si="1009"/>
        <v>416.6277905759556</v>
      </c>
      <c r="AL112" s="162">
        <f t="shared" ref="AL112:BQ112" si="1011">+SUM(AI28:AL28)</f>
        <v>436.30999999999995</v>
      </c>
      <c r="AM112" s="162">
        <f t="shared" si="1011"/>
        <v>471.79999999999995</v>
      </c>
      <c r="AN112" s="162">
        <f t="shared" si="1011"/>
        <v>493.4899999999999</v>
      </c>
      <c r="AO112" s="162">
        <f t="shared" si="1011"/>
        <v>537.02999999999963</v>
      </c>
      <c r="AP112" s="162">
        <f t="shared" si="1011"/>
        <v>526.80999999999972</v>
      </c>
      <c r="AQ112" s="162">
        <f t="shared" si="1011"/>
        <v>535.17999999999972</v>
      </c>
      <c r="AR112" s="162">
        <f t="shared" si="1011"/>
        <v>542.2099999999997</v>
      </c>
      <c r="AS112" s="162">
        <f t="shared" si="1011"/>
        <v>571.94999999999982</v>
      </c>
      <c r="AT112" s="162">
        <f t="shared" si="1011"/>
        <v>600.19999999999982</v>
      </c>
      <c r="AU112" s="162">
        <f t="shared" si="1011"/>
        <v>647.4899999999999</v>
      </c>
      <c r="AV112" s="162">
        <f t="shared" si="1011"/>
        <v>705.97</v>
      </c>
      <c r="AW112" s="162">
        <f t="shared" si="1011"/>
        <v>765.46</v>
      </c>
      <c r="AX112" s="162">
        <f t="shared" si="1011"/>
        <v>721.55000000000007</v>
      </c>
      <c r="AY112" s="162">
        <f t="shared" si="1011"/>
        <v>726.13</v>
      </c>
      <c r="AZ112" s="162">
        <f t="shared" si="1011"/>
        <v>706.79</v>
      </c>
      <c r="BA112" s="162">
        <f t="shared" si="1011"/>
        <v>652.4799999999999</v>
      </c>
      <c r="BB112" s="162">
        <f t="shared" si="1011"/>
        <v>645.53999999999985</v>
      </c>
      <c r="BC112" s="162">
        <f t="shared" si="1011"/>
        <v>549.71</v>
      </c>
      <c r="BD112" s="162">
        <f t="shared" si="1011"/>
        <v>505.13000000000011</v>
      </c>
      <c r="BE112" s="162">
        <f t="shared" si="1011"/>
        <v>384.61000000000013</v>
      </c>
      <c r="BF112" s="162">
        <f t="shared" si="1011"/>
        <v>134.94000000000011</v>
      </c>
      <c r="BG112" s="162">
        <f t="shared" si="1011"/>
        <v>52.360000000000014</v>
      </c>
      <c r="BH112" s="162">
        <f t="shared" si="1011"/>
        <v>-31.35000000000008</v>
      </c>
      <c r="BI112" s="162">
        <f t="shared" si="1011"/>
        <v>5.5399999999999352</v>
      </c>
      <c r="BJ112" s="162">
        <f t="shared" si="1011"/>
        <v>654.2299999999999</v>
      </c>
      <c r="BK112" s="162">
        <f t="shared" si="1011"/>
        <v>668.68999999999994</v>
      </c>
      <c r="BL112" s="162">
        <f t="shared" si="1011"/>
        <v>751.64</v>
      </c>
      <c r="BM112" s="162">
        <f t="shared" si="1011"/>
        <v>811.69</v>
      </c>
      <c r="BN112" s="162">
        <f t="shared" si="1011"/>
        <v>421.61</v>
      </c>
      <c r="BO112" s="162">
        <f t="shared" si="1011"/>
        <v>488.66</v>
      </c>
      <c r="BP112" s="162">
        <f t="shared" si="1011"/>
        <v>484.47000000000008</v>
      </c>
      <c r="BQ112" s="162">
        <f t="shared" si="1011"/>
        <v>482.24000000000007</v>
      </c>
      <c r="BR112" s="162">
        <f t="shared" ref="BR112:CW112" si="1012">+SUM(BO28:BR28)</f>
        <v>488.8900000000001</v>
      </c>
      <c r="BS112" s="162">
        <f t="shared" si="1012"/>
        <v>488.15000000000003</v>
      </c>
      <c r="BT112" s="162">
        <f t="shared" si="1012"/>
        <v>483.75</v>
      </c>
      <c r="BU112" s="162">
        <f t="shared" si="1012"/>
        <v>471.63</v>
      </c>
      <c r="BV112" s="162">
        <f t="shared" si="1012"/>
        <v>467.62999999999994</v>
      </c>
      <c r="BW112" s="162">
        <f t="shared" si="1012"/>
        <v>467.71999999999991</v>
      </c>
      <c r="BX112" s="162">
        <f t="shared" si="1012"/>
        <v>472.85</v>
      </c>
      <c r="BY112" s="162">
        <f t="shared" si="1012"/>
        <v>482.23</v>
      </c>
      <c r="BZ112" s="162">
        <f t="shared" si="1012"/>
        <v>492.5</v>
      </c>
      <c r="CA112" s="162">
        <f t="shared" si="1012"/>
        <v>500.25</v>
      </c>
      <c r="CB112" s="162">
        <f t="shared" si="1012"/>
        <v>506.89</v>
      </c>
      <c r="CC112" s="162">
        <f t="shared" si="1012"/>
        <v>517.19999999999993</v>
      </c>
      <c r="CD112" s="162">
        <f t="shared" si="1012"/>
        <v>527.41999999999996</v>
      </c>
      <c r="CE112" s="162">
        <f t="shared" si="1012"/>
        <v>537.52</v>
      </c>
      <c r="CF112" s="162">
        <f t="shared" si="1012"/>
        <v>549.21</v>
      </c>
      <c r="CG112" s="162">
        <f t="shared" si="1012"/>
        <v>561.74</v>
      </c>
      <c r="CH112" s="162">
        <f t="shared" si="1012"/>
        <v>570.78</v>
      </c>
      <c r="CI112" s="162">
        <f t="shared" si="1012"/>
        <v>580.61999999999989</v>
      </c>
      <c r="CJ112" s="162">
        <f t="shared" si="1012"/>
        <v>581.31999999999994</v>
      </c>
      <c r="CK112" s="162">
        <f t="shared" si="1012"/>
        <v>606.29</v>
      </c>
      <c r="CL112" s="162">
        <f t="shared" si="1012"/>
        <v>617.41000000000008</v>
      </c>
      <c r="CM112" s="21">
        <f t="shared" si="1012"/>
        <v>606.99480511649278</v>
      </c>
      <c r="CN112" s="21">
        <f t="shared" si="1012"/>
        <v>606.07504249543229</v>
      </c>
      <c r="CO112" s="21">
        <f t="shared" si="1012"/>
        <v>579.16375798846127</v>
      </c>
      <c r="CP112" s="21">
        <f t="shared" si="1012"/>
        <v>563.8753186185163</v>
      </c>
      <c r="CQ112" s="21">
        <f t="shared" si="1012"/>
        <v>552.30435887963642</v>
      </c>
      <c r="CR112" s="21">
        <f t="shared" si="1012"/>
        <v>540.04703455785977</v>
      </c>
      <c r="CS112" s="21">
        <f t="shared" si="1012"/>
        <v>524.24879101012471</v>
      </c>
      <c r="CT112" s="21">
        <f t="shared" si="1012"/>
        <v>510.45776170569962</v>
      </c>
      <c r="CU112" s="21">
        <f t="shared" si="1012"/>
        <v>498.8527043072425</v>
      </c>
      <c r="CV112" s="21">
        <f t="shared" si="1012"/>
        <v>486.80032547809265</v>
      </c>
      <c r="CW112" s="21">
        <f t="shared" si="1012"/>
        <v>473.90214112660601</v>
      </c>
      <c r="CX112" s="21">
        <f t="shared" ref="CX112:DB112" si="1013">+SUM(CU28:CX28)</f>
        <v>461.22959868062821</v>
      </c>
      <c r="CY112" s="21">
        <f t="shared" si="1013"/>
        <v>450.51699103730908</v>
      </c>
      <c r="CZ112" s="21">
        <f t="shared" si="1013"/>
        <v>439.60108773412679</v>
      </c>
      <c r="DA112" s="21">
        <f t="shared" si="1013"/>
        <v>428.14386916837464</v>
      </c>
      <c r="DB112" s="21">
        <f t="shared" si="1013"/>
        <v>416.6277905759556</v>
      </c>
      <c r="DE112" s="22"/>
      <c r="DF112" s="162">
        <v>617.41000000000008</v>
      </c>
    </row>
    <row r="113" spans="1:110" s="162" customFormat="1" x14ac:dyDescent="0.2">
      <c r="A113" s="49" t="s">
        <v>343</v>
      </c>
      <c r="B113" s="162">
        <f>+B110/B112</f>
        <v>-29.651140868187273</v>
      </c>
      <c r="C113" s="162">
        <f t="shared" ref="C113:W113" si="1014">+C110/C112</f>
        <v>138.08571724966276</v>
      </c>
      <c r="D113" s="162">
        <f t="shared" si="1014"/>
        <v>26.909876763650136</v>
      </c>
      <c r="E113" s="162">
        <f t="shared" ca="1" si="1014"/>
        <v>-14210.513702610449</v>
      </c>
      <c r="F113" s="162">
        <f t="shared" ca="1" si="1014"/>
        <v>-92.042946106235419</v>
      </c>
      <c r="G113" s="162">
        <f t="shared" ca="1" si="1014"/>
        <v>68.12616373614442</v>
      </c>
      <c r="H113" s="162">
        <f t="shared" ca="1" si="1014"/>
        <v>25.59122114377616</v>
      </c>
      <c r="I113" s="162">
        <f t="shared" ca="1" si="1014"/>
        <v>38.142476924973529</v>
      </c>
      <c r="J113" s="162">
        <f t="shared" ca="1" si="1014"/>
        <v>21.808864345581473</v>
      </c>
      <c r="K113" s="162">
        <f t="shared" ca="1" si="1014"/>
        <v>31.042696574920082</v>
      </c>
      <c r="L113" s="162">
        <f t="shared" ca="1" si="1014"/>
        <v>644.35641862804732</v>
      </c>
      <c r="M113" s="162">
        <f t="shared" ca="1" si="1014"/>
        <v>18.442671167357506</v>
      </c>
      <c r="N113" s="162">
        <f t="shared" ca="1" si="1014"/>
        <v>19.921790482837054</v>
      </c>
      <c r="O113" s="162">
        <f t="shared" ca="1" si="1014"/>
        <v>20.704833336956828</v>
      </c>
      <c r="P113" s="162">
        <f t="shared" ca="1" si="1014"/>
        <v>17.046475384952696</v>
      </c>
      <c r="Q113" s="162">
        <f t="shared" ca="1" si="1014"/>
        <v>17.926036823871243</v>
      </c>
      <c r="R113" s="162">
        <f t="shared" ca="1" si="1014"/>
        <v>30.448332246200817</v>
      </c>
      <c r="S113" s="162">
        <f t="shared" ca="1" si="1014"/>
        <v>-1921.146289678137</v>
      </c>
      <c r="T113" s="162">
        <f t="shared" ca="1" si="1014"/>
        <v>85.735152003615497</v>
      </c>
      <c r="U113" s="162">
        <f t="shared" ca="1" si="1014"/>
        <v>41.847493739625335</v>
      </c>
      <c r="V113" s="162">
        <f t="shared" ca="1" si="1014"/>
        <v>48.786306940211496</v>
      </c>
      <c r="W113" s="162">
        <f t="shared" ca="1" si="1014"/>
        <v>163.5578505442337</v>
      </c>
      <c r="X113" s="162">
        <f t="shared" ref="X113:Y113" ca="1" si="1015">+X110/X112</f>
        <v>123.44773604060913</v>
      </c>
      <c r="Y113" s="162">
        <f t="shared" ca="1" si="1015"/>
        <v>78.146195252360528</v>
      </c>
      <c r="Z113" s="162">
        <f t="shared" ref="Z113:AA113" ca="1" si="1016">+Z110/Z112</f>
        <v>73.645344335821179</v>
      </c>
      <c r="AA113" s="162">
        <f t="shared" ca="1" si="1016"/>
        <v>73.645344335821179</v>
      </c>
      <c r="AB113" s="21">
        <f t="shared" ref="AA113:AD113" ca="1" si="1017">+AB110/AB112</f>
        <v>50.31641962628543</v>
      </c>
      <c r="AC113" s="21">
        <f t="shared" ca="1" si="1017"/>
        <v>51.889796984392461</v>
      </c>
      <c r="AD113" s="21">
        <f t="shared" ca="1" si="1017"/>
        <v>59.503278537250758</v>
      </c>
      <c r="AE113" s="21">
        <f t="shared" ref="AE113" ca="1" si="1018">+AE110/AE112</f>
        <v>68.357046181694614</v>
      </c>
      <c r="AL113" s="162">
        <f t="shared" ref="AL113" si="1019">+AL110/AL112</f>
        <v>19.196000527815698</v>
      </c>
      <c r="AM113" s="162">
        <f t="shared" ref="AM113:AO113" si="1020">+AM110/AM112</f>
        <v>16.87842411817191</v>
      </c>
      <c r="AN113" s="162">
        <f t="shared" si="1020"/>
        <v>15.377974116196771</v>
      </c>
      <c r="AO113" s="162">
        <f t="shared" si="1020"/>
        <v>14.754710007762711</v>
      </c>
      <c r="AP113" s="162">
        <f t="shared" ref="AP113:CD113" si="1021">+AP110/AP112</f>
        <v>14.861228165752367</v>
      </c>
      <c r="AQ113" s="162">
        <f t="shared" si="1021"/>
        <v>16.468166964998076</v>
      </c>
      <c r="AR113" s="162">
        <f t="shared" si="1021"/>
        <v>16.305926947123819</v>
      </c>
      <c r="AS113" s="162">
        <f t="shared" si="1021"/>
        <v>14.407345760250337</v>
      </c>
      <c r="AT113" s="162">
        <f t="shared" si="1021"/>
        <v>14.843879823392207</v>
      </c>
      <c r="AU113" s="162">
        <f t="shared" si="1021"/>
        <v>13.201625352094068</v>
      </c>
      <c r="AV113" s="162">
        <f t="shared" si="1021"/>
        <v>16.377223593070529</v>
      </c>
      <c r="AW113" s="162">
        <f t="shared" si="1021"/>
        <v>15.367766467983801</v>
      </c>
      <c r="AX113" s="162">
        <f t="shared" si="1021"/>
        <v>16.189633150855794</v>
      </c>
      <c r="AY113" s="162">
        <f t="shared" si="1021"/>
        <v>15.955137844025405</v>
      </c>
      <c r="AZ113" s="162">
        <f t="shared" si="1021"/>
        <v>15.269340964077026</v>
      </c>
      <c r="BA113" s="162">
        <f t="shared" si="1021"/>
        <v>17.448340666142393</v>
      </c>
      <c r="BB113" s="162">
        <f t="shared" si="1021"/>
        <v>25.250018031415564</v>
      </c>
      <c r="BC113" s="162">
        <f t="shared" si="1021"/>
        <v>30.200022688047046</v>
      </c>
      <c r="BD113" s="162">
        <f t="shared" si="1021"/>
        <v>31.238827331578001</v>
      </c>
      <c r="BE113" s="162">
        <f t="shared" si="1021"/>
        <v>43.236255973741038</v>
      </c>
      <c r="BF113" s="162">
        <f t="shared" si="1021"/>
        <v>106.10344545724016</v>
      </c>
      <c r="BG113" s="162">
        <f t="shared" si="1021"/>
        <v>277.98171789054271</v>
      </c>
      <c r="BH113" s="162">
        <f t="shared" si="1021"/>
        <v>-444.26232567782989</v>
      </c>
      <c r="BI113" s="162">
        <f t="shared" si="1021"/>
        <v>2546.3325907588523</v>
      </c>
      <c r="BJ113" s="162">
        <f t="shared" si="1021"/>
        <v>19.370742521743122</v>
      </c>
      <c r="BK113" s="162">
        <f t="shared" si="1021"/>
        <v>19.631072147263559</v>
      </c>
      <c r="BL113" s="162">
        <f t="shared" si="1021"/>
        <v>17.020314884785272</v>
      </c>
      <c r="BM113" s="162">
        <f t="shared" si="1021"/>
        <v>15.83062761549302</v>
      </c>
      <c r="BN113" s="162">
        <f t="shared" si="1021"/>
        <v>26.646960057873386</v>
      </c>
      <c r="BO113" s="162">
        <f t="shared" si="1021"/>
        <v>25.295696448543193</v>
      </c>
      <c r="BP113" s="162">
        <f t="shared" si="1021"/>
        <v>31.597532664561264</v>
      </c>
      <c r="BQ113" s="162">
        <f t="shared" si="1021"/>
        <v>34.33609415348797</v>
      </c>
      <c r="BR113" s="162">
        <f t="shared" si="1021"/>
        <v>48.786306940211496</v>
      </c>
      <c r="BS113" s="162">
        <f t="shared" si="1021"/>
        <v>58.399402119871162</v>
      </c>
      <c r="BT113" s="162">
        <f t="shared" si="1021"/>
        <v>62.502396485788111</v>
      </c>
      <c r="BU113" s="162">
        <f t="shared" si="1021"/>
        <v>127.67157344651476</v>
      </c>
      <c r="BV113" s="162">
        <f t="shared" si="1021"/>
        <v>163.5578505442337</v>
      </c>
      <c r="BW113" s="162">
        <f t="shared" si="1021"/>
        <v>130.28591496456187</v>
      </c>
      <c r="BX113" s="162">
        <f t="shared" si="1021"/>
        <v>102.31446970498043</v>
      </c>
      <c r="BY113" s="162">
        <f t="shared" si="1021"/>
        <v>86.81101974723336</v>
      </c>
      <c r="BZ113" s="162">
        <f t="shared" si="1021"/>
        <v>77.263755228426405</v>
      </c>
      <c r="CA113" s="162">
        <f t="shared" si="1021"/>
        <v>73.007208308501319</v>
      </c>
      <c r="CB113" s="162">
        <f t="shared" si="1021"/>
        <v>81.141029217384443</v>
      </c>
      <c r="CC113" s="162">
        <f t="shared" si="1021"/>
        <v>76.784660568690043</v>
      </c>
      <c r="CD113" s="162">
        <f t="shared" si="1021"/>
        <v>77.204721246824164</v>
      </c>
      <c r="CE113" s="162">
        <f t="shared" ref="CE113:CF113" si="1022">+CE110/CE112</f>
        <v>70.24185981016592</v>
      </c>
      <c r="CF113" s="162">
        <f t="shared" si="1022"/>
        <v>75.521402814952367</v>
      </c>
      <c r="CG113" s="162">
        <f t="shared" ref="CG113:CH113" si="1023">+CG110/CG112</f>
        <v>66.539011854049448</v>
      </c>
      <c r="CH113" s="162">
        <f t="shared" si="1023"/>
        <v>64.404654157468727</v>
      </c>
      <c r="CI113" s="162">
        <f t="shared" ref="CI113:CJ113" si="1024">+CI110/CI112</f>
        <v>62.706342410645092</v>
      </c>
      <c r="CJ113" s="162">
        <f t="shared" si="1024"/>
        <v>57.572965096676533</v>
      </c>
      <c r="CK113" s="162">
        <f t="shared" ref="CK113:CL113" si="1025">+CK110/CK112</f>
        <v>53.158816841031836</v>
      </c>
      <c r="CL113" s="162">
        <f t="shared" si="1025"/>
        <v>49.283707665894624</v>
      </c>
      <c r="CM113" s="21">
        <f t="shared" ref="CM113:DB113" si="1026">+CM110/CM112</f>
        <v>46.398887664247574</v>
      </c>
      <c r="CN113" s="21">
        <f t="shared" si="1026"/>
        <v>42.651707814586615</v>
      </c>
      <c r="CO113" s="21">
        <f t="shared" si="1026"/>
        <v>43.803767290028233</v>
      </c>
      <c r="CP113" s="21">
        <f t="shared" si="1026"/>
        <v>45.443088664840857</v>
      </c>
      <c r="CQ113" s="21">
        <f t="shared" si="1026"/>
        <v>46.761189285895995</v>
      </c>
      <c r="CR113" s="21">
        <f t="shared" si="1026"/>
        <v>48.194104979269547</v>
      </c>
      <c r="CS113" s="21">
        <f t="shared" si="1026"/>
        <v>50.099676101154955</v>
      </c>
      <c r="CT113" s="21">
        <f t="shared" si="1026"/>
        <v>51.889796984392454</v>
      </c>
      <c r="CU113" s="21">
        <f t="shared" si="1026"/>
        <v>53.571730753237745</v>
      </c>
      <c r="CV113" s="21">
        <f t="shared" si="1026"/>
        <v>55.378264132775996</v>
      </c>
      <c r="CW113" s="21">
        <f t="shared" si="1026"/>
        <v>57.394282731772222</v>
      </c>
      <c r="CX113" s="21">
        <f t="shared" si="1026"/>
        <v>59.50327853725075</v>
      </c>
      <c r="CY113" s="21">
        <f t="shared" si="1026"/>
        <v>61.491797597549976</v>
      </c>
      <c r="CZ113" s="21">
        <f t="shared" si="1026"/>
        <v>63.59553467540109</v>
      </c>
      <c r="DA113" s="21">
        <f t="shared" si="1026"/>
        <v>65.899753588237317</v>
      </c>
      <c r="DB113" s="21">
        <f t="shared" si="1026"/>
        <v>68.357046181694614</v>
      </c>
      <c r="DE113" s="22"/>
      <c r="DF113" s="162">
        <v>59.102528109360065</v>
      </c>
    </row>
    <row r="114" spans="1:110" s="162" customFormat="1" x14ac:dyDescent="0.2">
      <c r="A114" s="49" t="s">
        <v>344</v>
      </c>
      <c r="B114" s="162">
        <f>+B111/B112</f>
        <v>-19.737601851832022</v>
      </c>
      <c r="C114" s="162">
        <f t="shared" ref="C114:W114" si="1027">+C111/C112</f>
        <v>86.491921301842638</v>
      </c>
      <c r="D114" s="162">
        <f t="shared" si="1027"/>
        <v>17.282360420348422</v>
      </c>
      <c r="E114" s="162">
        <f t="shared" ca="1" si="1027"/>
        <v>-5197.9337906570108</v>
      </c>
      <c r="F114" s="162">
        <f t="shared" ca="1" si="1027"/>
        <v>-50.978221793137976</v>
      </c>
      <c r="G114" s="162">
        <f t="shared" ca="1" si="1027"/>
        <v>50.725600547229938</v>
      </c>
      <c r="H114" s="162">
        <f t="shared" ca="1" si="1027"/>
        <v>16.924455693815023</v>
      </c>
      <c r="I114" s="162">
        <f t="shared" ca="1" si="1027"/>
        <v>16.345725796429768</v>
      </c>
      <c r="J114" s="162">
        <f t="shared" ca="1" si="1027"/>
        <v>11.721714441554715</v>
      </c>
      <c r="K114" s="162">
        <f t="shared" ca="1" si="1027"/>
        <v>21.496812202363916</v>
      </c>
      <c r="L114" s="162">
        <f t="shared" ca="1" si="1027"/>
        <v>492.23236731611354</v>
      </c>
      <c r="M114" s="162">
        <f t="shared" ca="1" si="1027"/>
        <v>14.175954600930172</v>
      </c>
      <c r="N114" s="162">
        <f t="shared" ca="1" si="1027"/>
        <v>16.7135866187758</v>
      </c>
      <c r="O114" s="162">
        <f t="shared" ca="1" si="1027"/>
        <v>18.11775670589169</v>
      </c>
      <c r="P114" s="162">
        <f t="shared" ca="1" si="1027"/>
        <v>14.725340141332032</v>
      </c>
      <c r="Q114" s="162">
        <f t="shared" ca="1" si="1027"/>
        <v>16.893734158471155</v>
      </c>
      <c r="R114" s="162">
        <f t="shared" ca="1" si="1027"/>
        <v>28.732291409340085</v>
      </c>
      <c r="S114" s="162">
        <f t="shared" ca="1" si="1027"/>
        <v>-1764.0575749167606</v>
      </c>
      <c r="T114" s="162">
        <f t="shared" ca="1" si="1027"/>
        <v>81.828040725117958</v>
      </c>
      <c r="U114" s="162">
        <f t="shared" ca="1" si="1027"/>
        <v>40.238860327246861</v>
      </c>
      <c r="V114" s="162">
        <f t="shared" ca="1" si="1027"/>
        <v>40.229064615762226</v>
      </c>
      <c r="W114" s="162">
        <f t="shared" ca="1" si="1027"/>
        <v>46.294658490687091</v>
      </c>
      <c r="X114" s="162">
        <f t="shared" ref="X114:Y114" ca="1" si="1028">+X111/X112</f>
        <v>59.857931776649743</v>
      </c>
      <c r="Y114" s="162">
        <f t="shared" ca="1" si="1028"/>
        <v>57.552378028895362</v>
      </c>
      <c r="Z114" s="162">
        <f t="shared" ref="Z114:AA114" ca="1" si="1029">+Z111/Z112</f>
        <v>53.961783752058601</v>
      </c>
      <c r="AA114" s="162">
        <f t="shared" ca="1" si="1029"/>
        <v>53.961783752058601</v>
      </c>
      <c r="AB114" s="21">
        <f t="shared" ref="AA114:AD114" ca="1" si="1030">+AB111/AB112</f>
        <v>41.915185570373907</v>
      </c>
      <c r="AC114" s="21">
        <f t="shared" ca="1" si="1030"/>
        <v>47.351165989650568</v>
      </c>
      <c r="AD114" s="21">
        <f t="shared" ca="1" si="1030"/>
        <v>54.012654209902813</v>
      </c>
      <c r="AE114" s="21">
        <f t="shared" ref="AE114" ca="1" si="1031">+AE111/AE112</f>
        <v>61.748463705312176</v>
      </c>
      <c r="AL114" s="162">
        <f t="shared" ref="AL114:AM114" si="1032">+AL111/AL112</f>
        <v>16.585943057766226</v>
      </c>
      <c r="AM114" s="162">
        <f t="shared" si="1032"/>
        <v>14.625616650798444</v>
      </c>
      <c r="AN114" s="162">
        <f t="shared" ref="AN114:AO114" si="1033">+AN111/AN112</f>
        <v>14.528880281262035</v>
      </c>
      <c r="AO114" s="162">
        <f t="shared" si="1033"/>
        <v>14.033938095579032</v>
      </c>
      <c r="AP114" s="162">
        <f t="shared" ref="AP114:CD114" si="1034">+AP111/AP112</f>
        <v>14.130184316926414</v>
      </c>
      <c r="AQ114" s="162">
        <f t="shared" si="1034"/>
        <v>14.188791203572015</v>
      </c>
      <c r="AR114" s="162">
        <f t="shared" si="1034"/>
        <v>14.715908079895254</v>
      </c>
      <c r="AS114" s="162">
        <f t="shared" si="1034"/>
        <v>13.433213318603341</v>
      </c>
      <c r="AT114" s="162">
        <f t="shared" si="1034"/>
        <v>13.658284155281578</v>
      </c>
      <c r="AU114" s="162">
        <f t="shared" si="1034"/>
        <v>12.202255740208169</v>
      </c>
      <c r="AV114" s="162">
        <f t="shared" si="1034"/>
        <v>15.538174072552659</v>
      </c>
      <c r="AW114" s="162">
        <f t="shared" si="1034"/>
        <v>14.542847608735766</v>
      </c>
      <c r="AX114" s="162">
        <f t="shared" si="1034"/>
        <v>15.412050294504885</v>
      </c>
      <c r="AY114" s="162">
        <f t="shared" si="1034"/>
        <v>15.57552933039837</v>
      </c>
      <c r="AZ114" s="162">
        <f t="shared" si="1034"/>
        <v>14.694028013978695</v>
      </c>
      <c r="BA114" s="162">
        <f t="shared" si="1034"/>
        <v>16.693310075166426</v>
      </c>
      <c r="BB114" s="162">
        <f t="shared" si="1034"/>
        <v>23.835772113269513</v>
      </c>
      <c r="BC114" s="162">
        <f t="shared" si="1034"/>
        <v>28.951763733325468</v>
      </c>
      <c r="BD114" s="162">
        <f t="shared" si="1034"/>
        <v>29.87653374378872</v>
      </c>
      <c r="BE114" s="162">
        <f t="shared" si="1034"/>
        <v>39.556244221576499</v>
      </c>
      <c r="BF114" s="162">
        <f t="shared" si="1034"/>
        <v>102.32223358529708</v>
      </c>
      <c r="BG114" s="162">
        <f t="shared" si="1034"/>
        <v>269.84239894478259</v>
      </c>
      <c r="BH114" s="162">
        <f t="shared" si="1034"/>
        <v>-432.04011578947262</v>
      </c>
      <c r="BI114" s="162">
        <f t="shared" si="1034"/>
        <v>2514.9266755963972</v>
      </c>
      <c r="BJ114" s="162">
        <f t="shared" si="1034"/>
        <v>18.937462406187429</v>
      </c>
      <c r="BK114" s="162">
        <f t="shared" si="1034"/>
        <v>18.835874133236132</v>
      </c>
      <c r="BL114" s="162">
        <f t="shared" si="1034"/>
        <v>16.494935900164972</v>
      </c>
      <c r="BM114" s="162">
        <f t="shared" si="1034"/>
        <v>15.594597677955289</v>
      </c>
      <c r="BN114" s="162">
        <f t="shared" si="1034"/>
        <v>25.483118047484638</v>
      </c>
      <c r="BO114" s="162">
        <f t="shared" si="1034"/>
        <v>24.195533247135259</v>
      </c>
      <c r="BP114" s="162">
        <f t="shared" si="1034"/>
        <v>31.068922368774121</v>
      </c>
      <c r="BQ114" s="162">
        <f t="shared" si="1034"/>
        <v>31.790274561583526</v>
      </c>
      <c r="BR114" s="162">
        <f t="shared" si="1034"/>
        <v>42.52832365153715</v>
      </c>
      <c r="BS114" s="162">
        <f t="shared" si="1034"/>
        <v>44.442767786162264</v>
      </c>
      <c r="BT114" s="162">
        <f t="shared" si="1034"/>
        <v>53.510728785529707</v>
      </c>
      <c r="BU114" s="162">
        <f t="shared" si="1034"/>
        <v>56.397436199096227</v>
      </c>
      <c r="BV114" s="162">
        <f t="shared" si="1034"/>
        <v>79.153435301413538</v>
      </c>
      <c r="BW114" s="162">
        <f t="shared" si="1034"/>
        <v>85.542210077022304</v>
      </c>
      <c r="BX114" s="162">
        <f t="shared" si="1034"/>
        <v>77.260275351591417</v>
      </c>
      <c r="BY114" s="162">
        <f t="shared" si="1034"/>
        <v>72.439813372681812</v>
      </c>
      <c r="BZ114" s="162">
        <f t="shared" si="1034"/>
        <v>59.857931776649743</v>
      </c>
      <c r="CA114" s="162">
        <f t="shared" si="1034"/>
        <v>60.990397214048528</v>
      </c>
      <c r="CB114" s="162">
        <f t="shared" si="1034"/>
        <v>66.331245635147667</v>
      </c>
      <c r="CC114" s="162">
        <f t="shared" si="1034"/>
        <v>70.434539919038087</v>
      </c>
      <c r="CD114" s="162">
        <f t="shared" si="1034"/>
        <v>64.895133953964589</v>
      </c>
      <c r="CE114" s="162">
        <f t="shared" ref="CE114:CF114" si="1035">+CE111/CE112</f>
        <v>61.345895418143286</v>
      </c>
      <c r="CF114" s="162">
        <f t="shared" si="1035"/>
        <v>62.219435607508963</v>
      </c>
      <c r="CG114" s="162">
        <f t="shared" ref="CG114:CH114" si="1036">+CG111/CG112</f>
        <v>58.545145990838712</v>
      </c>
      <c r="CH114" s="162">
        <f t="shared" si="1036"/>
        <v>53.961783752058587</v>
      </c>
      <c r="CI114" s="162">
        <f t="shared" ref="CI114:CJ114" si="1037">+CI111/CI112</f>
        <v>52.218231511950592</v>
      </c>
      <c r="CJ114" s="162">
        <f t="shared" si="1037"/>
        <v>53.476934098259143</v>
      </c>
      <c r="CK114" s="162">
        <f t="shared" ref="CK114:CL114" si="1038">+CK111/CK112</f>
        <v>48.167423877268618</v>
      </c>
      <c r="CL114" s="162">
        <f t="shared" si="1038"/>
        <v>42.941528579064155</v>
      </c>
      <c r="CM114" s="21">
        <f t="shared" ref="CM114:DB114" si="1039">+CM111/CM112</f>
        <v>41.497704781494981</v>
      </c>
      <c r="CN114" s="21">
        <f t="shared" si="1039"/>
        <v>39.31781508434117</v>
      </c>
      <c r="CO114" s="21">
        <f t="shared" si="1039"/>
        <v>40.69051893021787</v>
      </c>
      <c r="CP114" s="21">
        <f t="shared" si="1039"/>
        <v>42.113529972644415</v>
      </c>
      <c r="CQ114" s="21">
        <f t="shared" si="1039"/>
        <v>43.291893454700542</v>
      </c>
      <c r="CR114" s="21">
        <f t="shared" si="1039"/>
        <v>44.565102068351052</v>
      </c>
      <c r="CS114" s="21">
        <f t="shared" si="1039"/>
        <v>46.243766922053425</v>
      </c>
      <c r="CT114" s="21">
        <f t="shared" si="1039"/>
        <v>47.822591889516531</v>
      </c>
      <c r="CU114" s="21">
        <f t="shared" si="1039"/>
        <v>49.31611103151517</v>
      </c>
      <c r="CV114" s="21">
        <f t="shared" si="1039"/>
        <v>50.913445997821661</v>
      </c>
      <c r="CW114" s="21">
        <f t="shared" si="1039"/>
        <v>52.689517056655475</v>
      </c>
      <c r="CX114" s="21">
        <f t="shared" si="1039"/>
        <v>54.545906198526168</v>
      </c>
      <c r="CY114" s="21">
        <f t="shared" si="1039"/>
        <v>56.306028279905391</v>
      </c>
      <c r="CZ114" s="21">
        <f t="shared" si="1039"/>
        <v>58.162151549266312</v>
      </c>
      <c r="DA114" s="21">
        <f t="shared" si="1039"/>
        <v>60.189601818937788</v>
      </c>
      <c r="DB114" s="21">
        <f t="shared" si="1039"/>
        <v>62.349658917097841</v>
      </c>
      <c r="DE114" s="22"/>
      <c r="DF114" s="162">
        <v>42.941528579064155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1405.3267000000001</v>
      </c>
      <c r="C117" s="23">
        <f>'Annual Raw'!D41</f>
        <v>1405.33</v>
      </c>
      <c r="D117" s="23">
        <f>'Annual Raw'!E41</f>
        <v>1405.33</v>
      </c>
      <c r="E117" s="23">
        <f>'Annual Raw'!F41</f>
        <v>1406.98</v>
      </c>
      <c r="F117" s="23">
        <f>'Annual Raw'!G41</f>
        <v>1490.97</v>
      </c>
      <c r="G117" s="23">
        <f>'Annual Raw'!H41</f>
        <v>1520.59</v>
      </c>
      <c r="H117" s="23">
        <f>'Annual Raw'!I41</f>
        <v>1809.5</v>
      </c>
      <c r="I117" s="23">
        <f>'Annual Raw'!J41</f>
        <v>1893.56</v>
      </c>
      <c r="J117" s="23">
        <f>'Annual Raw'!K41</f>
        <v>1897.19</v>
      </c>
      <c r="K117" s="23">
        <f>'Annual Raw'!L41</f>
        <v>1897.2</v>
      </c>
      <c r="L117" s="23">
        <f>'Annual Raw'!M41</f>
        <v>1897.2</v>
      </c>
      <c r="M117" s="23">
        <f>'Annual Raw'!N41</f>
        <v>1897.2</v>
      </c>
      <c r="N117" s="23">
        <f>'Annual Raw'!O41</f>
        <v>1897.2</v>
      </c>
      <c r="O117" s="23">
        <f>'Annual Raw'!P41</f>
        <v>1954.93</v>
      </c>
      <c r="P117" s="23">
        <f>'Annual Raw'!Q41</f>
        <v>1954.93</v>
      </c>
      <c r="Q117" s="23">
        <f>'Annual Raw'!R41</f>
        <v>1954.93</v>
      </c>
      <c r="R117" s="23">
        <f>'Annual Raw'!S41</f>
        <v>1954.93</v>
      </c>
      <c r="S117" s="23">
        <f>'Annual Raw'!T41</f>
        <v>1954.93</v>
      </c>
      <c r="T117" s="23">
        <f>'Annual Raw'!U41</f>
        <v>1954.93</v>
      </c>
      <c r="U117" s="23">
        <f>'Annual Raw'!V41</f>
        <v>1954.93</v>
      </c>
      <c r="V117" s="23">
        <f>'Annual Raw'!W41</f>
        <v>1954.93</v>
      </c>
      <c r="W117" s="23">
        <f>'Annual Raw'!X41</f>
        <v>1954.93</v>
      </c>
      <c r="X117" s="23">
        <f>'Annual Raw'!Y41</f>
        <v>1954.93</v>
      </c>
      <c r="Y117" s="23">
        <f>'Annual Raw'!Z41</f>
        <v>1954.93</v>
      </c>
      <c r="Z117" s="23">
        <f>'Annual Raw'!AA41</f>
        <v>1954.93</v>
      </c>
      <c r="AA117" s="23">
        <f>'Annual Raw'!AB41</f>
        <v>1954.93</v>
      </c>
      <c r="AB117" s="24">
        <f>+CP117</f>
        <v>1954.93</v>
      </c>
      <c r="AC117" s="24">
        <f>+CT117</f>
        <v>1954.93</v>
      </c>
      <c r="AD117" s="24">
        <f>+CX117</f>
        <v>1954.93</v>
      </c>
      <c r="AE117" s="24">
        <f>+DB117</f>
        <v>1954.93</v>
      </c>
      <c r="AJ117" s="23">
        <f>+'QTR Raw'!D56</f>
        <v>1897.2</v>
      </c>
      <c r="AK117" s="23">
        <f t="shared" ref="AK117:CE117" si="1040">+AJ117</f>
        <v>1897.2</v>
      </c>
      <c r="AL117" s="23">
        <f>+'QTR Raw'!F56</f>
        <v>1897.2</v>
      </c>
      <c r="AM117" s="23">
        <f t="shared" si="1040"/>
        <v>1897.2</v>
      </c>
      <c r="AN117" s="23">
        <f>+'QTR Raw'!H56</f>
        <v>1954.93</v>
      </c>
      <c r="AO117" s="23">
        <f t="shared" si="1040"/>
        <v>1954.93</v>
      </c>
      <c r="AP117" s="23">
        <f>+'QTR Raw'!J56</f>
        <v>1954.93</v>
      </c>
      <c r="AQ117" s="23">
        <f t="shared" si="1040"/>
        <v>1954.93</v>
      </c>
      <c r="AR117" s="23">
        <f>+'QTR Raw'!L56</f>
        <v>1954.93</v>
      </c>
      <c r="AS117" s="23">
        <f t="shared" si="1040"/>
        <v>1954.93</v>
      </c>
      <c r="AT117" s="23">
        <f>+'QTR Raw'!N56</f>
        <v>1954.93</v>
      </c>
      <c r="AU117" s="23">
        <f t="shared" si="1040"/>
        <v>1954.93</v>
      </c>
      <c r="AV117" s="23">
        <f>+'QTR Raw'!P56</f>
        <v>1954.93</v>
      </c>
      <c r="AW117" s="23">
        <f t="shared" si="1040"/>
        <v>1954.93</v>
      </c>
      <c r="AX117" s="23">
        <f>+'QTR Raw'!R56</f>
        <v>1954.93</v>
      </c>
      <c r="AY117" s="23">
        <f t="shared" si="1040"/>
        <v>1954.93</v>
      </c>
      <c r="AZ117" s="23">
        <f>+'QTR Raw'!T56</f>
        <v>1954.93</v>
      </c>
      <c r="BA117" s="23">
        <f t="shared" si="1040"/>
        <v>1954.93</v>
      </c>
      <c r="BB117" s="23">
        <f>+'QTR Raw'!V56</f>
        <v>1954.93</v>
      </c>
      <c r="BC117" s="23">
        <f t="shared" si="1040"/>
        <v>1954.93</v>
      </c>
      <c r="BD117" s="23">
        <f>+'QTR Raw'!X56</f>
        <v>1954.93</v>
      </c>
      <c r="BE117" s="23">
        <f t="shared" si="1040"/>
        <v>1954.93</v>
      </c>
      <c r="BF117" s="23">
        <f>+'QTR Raw'!Z56</f>
        <v>1954.93</v>
      </c>
      <c r="BG117" s="23">
        <f t="shared" si="1040"/>
        <v>1954.93</v>
      </c>
      <c r="BH117" s="23">
        <f>+'QTR Raw'!AB56</f>
        <v>1954.93</v>
      </c>
      <c r="BI117" s="23">
        <f t="shared" si="1040"/>
        <v>1954.93</v>
      </c>
      <c r="BJ117" s="23">
        <f>+'QTR Raw'!AD56</f>
        <v>1954.93</v>
      </c>
      <c r="BK117" s="23">
        <f t="shared" si="1040"/>
        <v>1954.93</v>
      </c>
      <c r="BL117" s="23">
        <f>+'QTR Raw'!AF56</f>
        <v>1954.93</v>
      </c>
      <c r="BM117" s="23">
        <f t="shared" si="1040"/>
        <v>1954.93</v>
      </c>
      <c r="BN117" s="23">
        <f>+'QTR Raw'!AH56</f>
        <v>1954.93</v>
      </c>
      <c r="BO117" s="23">
        <f t="shared" si="1040"/>
        <v>1954.93</v>
      </c>
      <c r="BP117" s="23">
        <f>+'QTR Raw'!AJ56</f>
        <v>1954.93</v>
      </c>
      <c r="BQ117" s="23">
        <f t="shared" si="1040"/>
        <v>1954.93</v>
      </c>
      <c r="BR117" s="23">
        <f>+'QTR Raw'!AL56</f>
        <v>1954.93</v>
      </c>
      <c r="BS117" s="23">
        <f t="shared" si="1040"/>
        <v>1954.93</v>
      </c>
      <c r="BT117" s="23">
        <f>+'QTR Raw'!AN56</f>
        <v>1954.93</v>
      </c>
      <c r="BU117" s="23">
        <f t="shared" si="1040"/>
        <v>1954.93</v>
      </c>
      <c r="BV117" s="23">
        <f>+'QTR Raw'!AP56</f>
        <v>1954.93</v>
      </c>
      <c r="BW117" s="23">
        <f t="shared" si="1040"/>
        <v>1954.93</v>
      </c>
      <c r="BX117" s="23">
        <f>+'QTR Raw'!AR56</f>
        <v>1954.93</v>
      </c>
      <c r="BY117" s="23">
        <f t="shared" si="1040"/>
        <v>1954.93</v>
      </c>
      <c r="BZ117" s="23">
        <f>+'QTR Raw'!AT56</f>
        <v>1954.93</v>
      </c>
      <c r="CA117" s="23">
        <f t="shared" si="1040"/>
        <v>1954.93</v>
      </c>
      <c r="CB117" s="23">
        <f>+'QTR Raw'!AV56</f>
        <v>1954.93</v>
      </c>
      <c r="CC117" s="23">
        <f t="shared" si="1040"/>
        <v>1954.93</v>
      </c>
      <c r="CD117" s="23">
        <f>+'QTR Raw'!AX56</f>
        <v>1954.93</v>
      </c>
      <c r="CE117" s="23">
        <f t="shared" si="1040"/>
        <v>1954.93</v>
      </c>
      <c r="CF117" s="23">
        <f>+'QTR Raw'!AZ56</f>
        <v>1954.93</v>
      </c>
      <c r="CG117" s="23">
        <f t="shared" ref="CG117:CG118" si="1041">+CF117</f>
        <v>1954.93</v>
      </c>
      <c r="CH117" s="23">
        <f>Z117</f>
        <v>1954.93</v>
      </c>
      <c r="CI117" s="23">
        <f>CH117</f>
        <v>1954.93</v>
      </c>
      <c r="CJ117" s="23">
        <f>+'QTR Raw'!BD56</f>
        <v>1954.93</v>
      </c>
      <c r="CK117" s="24">
        <f t="shared" ref="CK117:DB117" si="1042">CJ117</f>
        <v>1954.93</v>
      </c>
      <c r="CL117" s="23">
        <f>+'QTR Raw'!BF56</f>
        <v>1954.93</v>
      </c>
      <c r="CM117" s="24">
        <f t="shared" si="1042"/>
        <v>1954.93</v>
      </c>
      <c r="CN117" s="24">
        <f t="shared" si="1042"/>
        <v>1954.93</v>
      </c>
      <c r="CO117" s="24">
        <f t="shared" si="1042"/>
        <v>1954.93</v>
      </c>
      <c r="CP117" s="24">
        <f t="shared" si="1042"/>
        <v>1954.93</v>
      </c>
      <c r="CQ117" s="24">
        <f t="shared" si="1042"/>
        <v>1954.93</v>
      </c>
      <c r="CR117" s="24">
        <f t="shared" si="1042"/>
        <v>1954.93</v>
      </c>
      <c r="CS117" s="24">
        <f t="shared" si="1042"/>
        <v>1954.93</v>
      </c>
      <c r="CT117" s="24">
        <f t="shared" si="1042"/>
        <v>1954.93</v>
      </c>
      <c r="CU117" s="24">
        <f t="shared" si="1042"/>
        <v>1954.93</v>
      </c>
      <c r="CV117" s="24">
        <f t="shared" si="1042"/>
        <v>1954.93</v>
      </c>
      <c r="CW117" s="24">
        <f t="shared" si="1042"/>
        <v>1954.93</v>
      </c>
      <c r="CX117" s="24">
        <f t="shared" si="1042"/>
        <v>1954.93</v>
      </c>
      <c r="CY117" s="24">
        <f t="shared" si="1042"/>
        <v>1954.93</v>
      </c>
      <c r="CZ117" s="24">
        <f t="shared" si="1042"/>
        <v>1954.93</v>
      </c>
      <c r="DA117" s="24">
        <f t="shared" si="1042"/>
        <v>1954.93</v>
      </c>
      <c r="DB117" s="24">
        <f t="shared" si="1042"/>
        <v>1954.93</v>
      </c>
      <c r="DE117" s="123"/>
      <c r="DF117" s="23">
        <v>1954.93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-426.60359999999997</v>
      </c>
      <c r="C119" s="23">
        <f>'Annual Raw'!D43</f>
        <v>-575.1</v>
      </c>
      <c r="D119" s="23">
        <f>'Annual Raw'!E43</f>
        <v>-780.1</v>
      </c>
      <c r="E119" s="23">
        <f>'Annual Raw'!F43</f>
        <v>-1049.78</v>
      </c>
      <c r="F119" s="23">
        <f>'Annual Raw'!G43</f>
        <v>-1534.67</v>
      </c>
      <c r="G119" s="23">
        <f>'Annual Raw'!H43</f>
        <v>-2018.2</v>
      </c>
      <c r="H119" s="23">
        <f>'Annual Raw'!I43</f>
        <v>-2130.71</v>
      </c>
      <c r="I119" s="23">
        <f>'Annual Raw'!J43</f>
        <v>-2094.15</v>
      </c>
      <c r="J119" s="23">
        <f>'Annual Raw'!K43</f>
        <v>-2275.86</v>
      </c>
      <c r="K119" s="23">
        <f>'Annual Raw'!L43</f>
        <v>-2593.86</v>
      </c>
      <c r="L119" s="23">
        <f>'Annual Raw'!M43</f>
        <v>-2513.63</v>
      </c>
      <c r="M119" s="23">
        <f>'Annual Raw'!N43</f>
        <v>-3031.18</v>
      </c>
      <c r="N119" s="23">
        <f>'Annual Raw'!O43</f>
        <v>-3689.95</v>
      </c>
      <c r="O119" s="23">
        <f>'Annual Raw'!P43</f>
        <v>-4307.76</v>
      </c>
      <c r="P119" s="23">
        <f>'Annual Raw'!Q43</f>
        <v>-4923.01</v>
      </c>
      <c r="Q119" s="23">
        <f>'Annual Raw'!R43</f>
        <v>-5941.12</v>
      </c>
      <c r="R119" s="23">
        <f>'Annual Raw'!S43</f>
        <v>-7863.77</v>
      </c>
      <c r="S119" s="23">
        <f>'Annual Raw'!T43</f>
        <v>-17114.080000000002</v>
      </c>
      <c r="T119" s="23">
        <f>'Annual Raw'!U43</f>
        <v>-16774.759999999998</v>
      </c>
      <c r="U119" s="23">
        <f>'Annual Raw'!V43</f>
        <v>-19434.09</v>
      </c>
      <c r="V119" s="23">
        <f>'Annual Raw'!W43</f>
        <v>-20445.810000000001</v>
      </c>
      <c r="W119" s="23">
        <f>'Annual Raw'!X43</f>
        <v>-20787.41</v>
      </c>
      <c r="X119" s="23">
        <f>'Annual Raw'!Y43</f>
        <v>-21009.46</v>
      </c>
      <c r="Y119" s="23">
        <f>'Annual Raw'!Z43</f>
        <v>-21207.88</v>
      </c>
      <c r="Z119" s="23">
        <f>'Annual Raw'!AA43</f>
        <v>-21525.22</v>
      </c>
      <c r="AA119" s="23">
        <f>'Annual Raw'!AB43</f>
        <v>-21938.31</v>
      </c>
      <c r="AB119" s="24">
        <f t="shared" si="1043"/>
        <v>-22355.565078980835</v>
      </c>
      <c r="AC119" s="24">
        <f t="shared" si="1044"/>
        <v>-22816.975879519749</v>
      </c>
      <c r="AD119" s="24">
        <f t="shared" si="1045"/>
        <v>-23325.136000996241</v>
      </c>
      <c r="AE119" s="24">
        <f t="shared" si="1046"/>
        <v>-23881.380509561433</v>
      </c>
      <c r="AJ119" s="23">
        <f>+'QTR Raw'!D58</f>
        <v>-3377.55</v>
      </c>
      <c r="AK119" s="23">
        <f>+AJ119+AK48</f>
        <v>-3574.71</v>
      </c>
      <c r="AL119" s="23">
        <f>+'QTR Raw'!F58</f>
        <v>-3689.95</v>
      </c>
      <c r="AM119" s="23">
        <f>+AL119+AM48</f>
        <v>-3816.8399999999997</v>
      </c>
      <c r="AN119" s="23">
        <f>+'QTR Raw'!H58</f>
        <v>-4039.8</v>
      </c>
      <c r="AO119" s="23">
        <f>+AN119+AO48</f>
        <v>-4196.16</v>
      </c>
      <c r="AP119" s="23">
        <f>+'QTR Raw'!J58</f>
        <v>-4307.76</v>
      </c>
      <c r="AQ119" s="23">
        <f>+AP119+AQ48</f>
        <v>-4430.67</v>
      </c>
      <c r="AR119" s="23">
        <f>+'QTR Raw'!L58</f>
        <v>-4590.05</v>
      </c>
      <c r="AS119" s="23">
        <f>+AR119+AS48</f>
        <v>-4759.12</v>
      </c>
      <c r="AT119" s="23">
        <f>+'QTR Raw'!N58</f>
        <v>-4923.01</v>
      </c>
      <c r="AU119" s="23">
        <f>+AT119+AU48</f>
        <v>-5006.54</v>
      </c>
      <c r="AV119" s="23">
        <f>+'QTR Raw'!P58</f>
        <v>-5181.99</v>
      </c>
      <c r="AW119" s="23">
        <f>+AV119+AW48</f>
        <v>-5259.13</v>
      </c>
      <c r="AX119" s="23">
        <f>+'QTR Raw'!R58</f>
        <v>-5941.12</v>
      </c>
      <c r="AY119" s="23">
        <f>+AX119+AY48</f>
        <v>-6049.19</v>
      </c>
      <c r="AZ119" s="23">
        <f>+'QTR Raw'!T58</f>
        <v>-5987.39</v>
      </c>
      <c r="BA119" s="23">
        <f>+AZ119+BA48</f>
        <v>-6402.13</v>
      </c>
      <c r="BB119" s="23">
        <f>+'QTR Raw'!V58</f>
        <v>-7863.77</v>
      </c>
      <c r="BC119" s="23">
        <f>+BB119+BC48</f>
        <v>-8345.2000000000007</v>
      </c>
      <c r="BD119" s="23">
        <f>+'QTR Raw'!X58</f>
        <v>-16472.3</v>
      </c>
      <c r="BE119" s="23">
        <f>+BD119+BE48</f>
        <v>-16953.05</v>
      </c>
      <c r="BF119" s="23">
        <f>+'QTR Raw'!Z58</f>
        <v>-17114.080000000002</v>
      </c>
      <c r="BG119" s="23">
        <f>+BF119+BG48</f>
        <v>-17569.510000000002</v>
      </c>
      <c r="BH119" s="23">
        <f>+'QTR Raw'!AB58</f>
        <v>-17316.240000000002</v>
      </c>
      <c r="BI119" s="23">
        <f>+BH119+BI48</f>
        <v>-17725.66</v>
      </c>
      <c r="BJ119" s="23">
        <f>+'QTR Raw'!AD58</f>
        <v>-16774.759999999998</v>
      </c>
      <c r="BK119" s="23">
        <f>+BJ119+BK48</f>
        <v>-17003.609999999997</v>
      </c>
      <c r="BL119" s="23">
        <f>+'QTR Raw'!AF58</f>
        <v>-18284.39</v>
      </c>
      <c r="BM119" s="23">
        <f>+BL119+BM48</f>
        <v>-18561.239999999998</v>
      </c>
      <c r="BN119" s="23">
        <f>+'QTR Raw'!AH58</f>
        <v>-19434.09</v>
      </c>
      <c r="BO119" s="23">
        <f>+BN119+BO48</f>
        <v>-20503.349999999999</v>
      </c>
      <c r="BP119" s="23">
        <f>+'QTR Raw'!AJ58</f>
        <v>-19915.64</v>
      </c>
      <c r="BQ119" s="23">
        <f>+BP119+BQ48</f>
        <v>-20213.59</v>
      </c>
      <c r="BR119" s="23">
        <f>+'QTR Raw'!AL58</f>
        <v>-20445.810000000001</v>
      </c>
      <c r="BS119" s="23">
        <f>+BR119+BS48</f>
        <v>-20764.260000000002</v>
      </c>
      <c r="BT119" s="23">
        <f>+'QTR Raw'!AN58</f>
        <v>-20635.330000000002</v>
      </c>
      <c r="BU119" s="23">
        <f>+BT119+BU48</f>
        <v>-20937.63</v>
      </c>
      <c r="BV119" s="23">
        <f>+'QTR Raw'!AP58</f>
        <v>-20787.41</v>
      </c>
      <c r="BW119" s="23">
        <f>+BV119+BW48</f>
        <v>-21082.51</v>
      </c>
      <c r="BX119" s="23">
        <f>+'QTR Raw'!AR58</f>
        <v>-20514.990000000002</v>
      </c>
      <c r="BY119" s="23">
        <f>+BX119+BY48</f>
        <v>-20794.780000000002</v>
      </c>
      <c r="BZ119" s="23">
        <f>+'QTR Raw'!AT58</f>
        <v>-21009.46</v>
      </c>
      <c r="CA119" s="23">
        <f>+BZ119+CA48</f>
        <v>-21310.639999999999</v>
      </c>
      <c r="CB119" s="23">
        <f>+'QTR Raw'!AV58</f>
        <v>-21098.06</v>
      </c>
      <c r="CC119" s="23">
        <f>+CB119+CC48</f>
        <v>-21405.75</v>
      </c>
      <c r="CD119" s="23">
        <f>+'QTR Raw'!AX58</f>
        <v>-21207.88</v>
      </c>
      <c r="CE119" s="23">
        <f>+CD119+CE48</f>
        <v>-21531.280000000002</v>
      </c>
      <c r="CF119" s="23">
        <f>+'QTR Raw'!AZ58</f>
        <v>-20967.62</v>
      </c>
      <c r="CG119" s="23">
        <f>+CF119+CG48</f>
        <v>-21282.73</v>
      </c>
      <c r="CH119" s="23">
        <f t="shared" si="1048"/>
        <v>-21525.22</v>
      </c>
      <c r="CI119" s="23">
        <f>CH119+CI48</f>
        <v>-21850.2</v>
      </c>
      <c r="CJ119" s="23">
        <f>+'QTR Raw'!BD58</f>
        <v>-21699.4</v>
      </c>
      <c r="CK119" s="24">
        <f t="shared" ref="CK119:DB119" si="1050">CJ119+CK48</f>
        <v>-21849.83</v>
      </c>
      <c r="CL119" s="23">
        <f>+'QTR Raw'!BF58</f>
        <v>-21938.31</v>
      </c>
      <c r="CM119" s="24">
        <f t="shared" si="1050"/>
        <v>-22050.417024536375</v>
      </c>
      <c r="CN119" s="24">
        <f t="shared" si="1050"/>
        <v>-22159.12570982294</v>
      </c>
      <c r="CO119" s="24">
        <f t="shared" si="1050"/>
        <v>-22257.16553444789</v>
      </c>
      <c r="CP119" s="24">
        <f t="shared" si="1050"/>
        <v>-22355.565078980835</v>
      </c>
      <c r="CQ119" s="24">
        <f t="shared" si="1050"/>
        <v>-22476.262146133664</v>
      </c>
      <c r="CR119" s="24">
        <f t="shared" si="1050"/>
        <v>-22594.68850243964</v>
      </c>
      <c r="CS119" s="24">
        <f t="shared" si="1050"/>
        <v>-22706.423830003339</v>
      </c>
      <c r="CT119" s="24">
        <f t="shared" si="1050"/>
        <v>-22816.975879519749</v>
      </c>
      <c r="CU119" s="24">
        <f t="shared" si="1050"/>
        <v>-22948.072008865929</v>
      </c>
      <c r="CV119" s="24">
        <f t="shared" si="1050"/>
        <v>-23077.732294252721</v>
      </c>
      <c r="CW119" s="24">
        <f t="shared" si="1050"/>
        <v>-23201.940808883446</v>
      </c>
      <c r="CX119" s="24">
        <f t="shared" si="1050"/>
        <v>-23325.136000996241</v>
      </c>
      <c r="CY119" s="24">
        <f t="shared" si="1050"/>
        <v>-23467.297780067354</v>
      </c>
      <c r="CZ119" s="24">
        <f t="shared" si="1050"/>
        <v>-23608.569017179288</v>
      </c>
      <c r="DA119" s="24">
        <f t="shared" si="1050"/>
        <v>-23745.277773659898</v>
      </c>
      <c r="DB119" s="24">
        <f t="shared" si="1050"/>
        <v>-23881.380509561433</v>
      </c>
      <c r="DE119" s="123"/>
      <c r="DF119" s="23">
        <v>-21938.31</v>
      </c>
    </row>
    <row r="120" spans="1:110" s="22" customFormat="1" x14ac:dyDescent="0.2">
      <c r="A120" s="22" t="s">
        <v>44</v>
      </c>
      <c r="B120" s="22">
        <f>B117+B118+B119</f>
        <v>978.72310000000016</v>
      </c>
      <c r="C120" s="22">
        <f t="shared" ref="C120:V120" si="1051">C117+C118+C119</f>
        <v>830.2299999999999</v>
      </c>
      <c r="D120" s="22">
        <f t="shared" si="1051"/>
        <v>625.2299999999999</v>
      </c>
      <c r="E120" s="22">
        <f t="shared" si="1051"/>
        <v>357.20000000000005</v>
      </c>
      <c r="F120" s="22">
        <f t="shared" si="1051"/>
        <v>-43.700000000000045</v>
      </c>
      <c r="G120" s="22">
        <f t="shared" si="1051"/>
        <v>-497.61000000000013</v>
      </c>
      <c r="H120" s="22">
        <f t="shared" si="1051"/>
        <v>-321.21000000000004</v>
      </c>
      <c r="I120" s="22">
        <f t="shared" si="1051"/>
        <v>-200.59000000000015</v>
      </c>
      <c r="J120" s="22">
        <f t="shared" si="1051"/>
        <v>-378.67000000000007</v>
      </c>
      <c r="K120" s="22">
        <f t="shared" si="1051"/>
        <v>-696.66000000000008</v>
      </c>
      <c r="L120" s="22">
        <f t="shared" si="1051"/>
        <v>-616.43000000000006</v>
      </c>
      <c r="M120" s="22">
        <f>M117+M118+M119</f>
        <v>-1133.9799999999998</v>
      </c>
      <c r="N120" s="22">
        <f t="shared" si="1051"/>
        <v>-1792.7499999999998</v>
      </c>
      <c r="O120" s="22">
        <f t="shared" si="1051"/>
        <v>-2352.83</v>
      </c>
      <c r="P120" s="22">
        <f t="shared" si="1051"/>
        <v>-2968.08</v>
      </c>
      <c r="Q120" s="22">
        <f t="shared" si="1051"/>
        <v>-3986.1899999999996</v>
      </c>
      <c r="R120" s="22">
        <f t="shared" si="1051"/>
        <v>-5908.84</v>
      </c>
      <c r="S120" s="22">
        <f t="shared" si="1051"/>
        <v>-15159.150000000001</v>
      </c>
      <c r="T120" s="22">
        <f t="shared" si="1051"/>
        <v>-14819.829999999998</v>
      </c>
      <c r="U120" s="22">
        <f t="shared" si="1051"/>
        <v>-17479.16</v>
      </c>
      <c r="V120" s="22">
        <f t="shared" si="1051"/>
        <v>-18490.88</v>
      </c>
      <c r="W120" s="22">
        <f t="shared" ref="W120" si="1052">W117+W118+W119</f>
        <v>-18832.48</v>
      </c>
      <c r="X120" s="22">
        <f t="shared" ref="X120:Y120" si="1053">X117+X118+X119</f>
        <v>-19054.53</v>
      </c>
      <c r="Y120" s="22">
        <f t="shared" si="1053"/>
        <v>-19252.95</v>
      </c>
      <c r="Z120" s="22">
        <f t="shared" ref="Z120:AA120" si="1054">Z117+Z118+Z119</f>
        <v>-19570.29</v>
      </c>
      <c r="AA120" s="22">
        <f t="shared" si="1054"/>
        <v>-19983.38</v>
      </c>
      <c r="AB120" s="21">
        <f t="shared" ref="AA120:AD120" si="1055">AB117+AB118+AB119</f>
        <v>-20400.635078980835</v>
      </c>
      <c r="AC120" s="21">
        <f t="shared" si="1055"/>
        <v>-20862.045879519748</v>
      </c>
      <c r="AD120" s="21">
        <f t="shared" si="1055"/>
        <v>-21370.206000996241</v>
      </c>
      <c r="AE120" s="21">
        <f t="shared" ref="AE120" si="1056">AE117+AE118+AE119</f>
        <v>-21926.450509561433</v>
      </c>
      <c r="AJ120" s="22">
        <f t="shared" ref="AJ120" si="1057">AJ117+AJ118+AJ119</f>
        <v>-1480.3500000000001</v>
      </c>
      <c r="AK120" s="22">
        <f t="shared" ref="AK120" si="1058">AK117+AK118+AK119</f>
        <v>-1677.51</v>
      </c>
      <c r="AL120" s="22">
        <f t="shared" ref="AL120:AM120" si="1059">AL117+AL118+AL119</f>
        <v>-1792.7499999999998</v>
      </c>
      <c r="AM120" s="22">
        <f t="shared" si="1059"/>
        <v>-1919.6399999999996</v>
      </c>
      <c r="AN120" s="22">
        <f t="shared" ref="AN120:AO120" si="1060">AN117+AN118+AN119</f>
        <v>-2084.87</v>
      </c>
      <c r="AO120" s="22">
        <f t="shared" si="1060"/>
        <v>-2241.2299999999996</v>
      </c>
      <c r="AP120" s="22">
        <f t="shared" ref="AP120:CE120" si="1061">AP117+AP118+AP119</f>
        <v>-2352.83</v>
      </c>
      <c r="AQ120" s="22">
        <f t="shared" si="1061"/>
        <v>-2475.7399999999998</v>
      </c>
      <c r="AR120" s="22">
        <f t="shared" si="1061"/>
        <v>-2635.12</v>
      </c>
      <c r="AS120" s="22">
        <f t="shared" si="1061"/>
        <v>-2804.1899999999996</v>
      </c>
      <c r="AT120" s="22">
        <f t="shared" si="1061"/>
        <v>-2968.08</v>
      </c>
      <c r="AU120" s="22">
        <f t="shared" si="1061"/>
        <v>-3051.6099999999997</v>
      </c>
      <c r="AV120" s="22">
        <f t="shared" si="1061"/>
        <v>-3227.0599999999995</v>
      </c>
      <c r="AW120" s="22">
        <f t="shared" si="1061"/>
        <v>-3304.2</v>
      </c>
      <c r="AX120" s="22">
        <f t="shared" si="1061"/>
        <v>-3986.1899999999996</v>
      </c>
      <c r="AY120" s="22">
        <f t="shared" si="1061"/>
        <v>-4094.2599999999993</v>
      </c>
      <c r="AZ120" s="22">
        <f t="shared" si="1061"/>
        <v>-4032.46</v>
      </c>
      <c r="BA120" s="22">
        <f t="shared" si="1061"/>
        <v>-4447.2</v>
      </c>
      <c r="BB120" s="22">
        <f t="shared" si="1061"/>
        <v>-5908.84</v>
      </c>
      <c r="BC120" s="22">
        <f t="shared" si="1061"/>
        <v>-6390.27</v>
      </c>
      <c r="BD120" s="22">
        <f t="shared" si="1061"/>
        <v>-14517.369999999999</v>
      </c>
      <c r="BE120" s="22">
        <f t="shared" si="1061"/>
        <v>-14998.119999999999</v>
      </c>
      <c r="BF120" s="22">
        <f t="shared" si="1061"/>
        <v>-15159.150000000001</v>
      </c>
      <c r="BG120" s="22">
        <f t="shared" si="1061"/>
        <v>-15614.580000000002</v>
      </c>
      <c r="BH120" s="22">
        <f t="shared" si="1061"/>
        <v>-15361.310000000001</v>
      </c>
      <c r="BI120" s="22">
        <f t="shared" si="1061"/>
        <v>-15770.73</v>
      </c>
      <c r="BJ120" s="22">
        <f t="shared" si="1061"/>
        <v>-14819.829999999998</v>
      </c>
      <c r="BK120" s="22">
        <f t="shared" si="1061"/>
        <v>-15048.679999999997</v>
      </c>
      <c r="BL120" s="22">
        <f t="shared" si="1061"/>
        <v>-16329.46</v>
      </c>
      <c r="BM120" s="22">
        <f t="shared" si="1061"/>
        <v>-16606.309999999998</v>
      </c>
      <c r="BN120" s="22">
        <f t="shared" si="1061"/>
        <v>-17479.16</v>
      </c>
      <c r="BO120" s="22">
        <f t="shared" si="1061"/>
        <v>-18548.419999999998</v>
      </c>
      <c r="BP120" s="22">
        <f t="shared" si="1061"/>
        <v>-17960.71</v>
      </c>
      <c r="BQ120" s="22">
        <f t="shared" si="1061"/>
        <v>-18258.66</v>
      </c>
      <c r="BR120" s="22">
        <f t="shared" si="1061"/>
        <v>-18490.88</v>
      </c>
      <c r="BS120" s="22">
        <f t="shared" si="1061"/>
        <v>-18809.330000000002</v>
      </c>
      <c r="BT120" s="22">
        <f t="shared" si="1061"/>
        <v>-18680.400000000001</v>
      </c>
      <c r="BU120" s="22">
        <f t="shared" si="1061"/>
        <v>-18982.7</v>
      </c>
      <c r="BV120" s="22">
        <f t="shared" si="1061"/>
        <v>-18832.48</v>
      </c>
      <c r="BW120" s="22">
        <f t="shared" si="1061"/>
        <v>-19127.579999999998</v>
      </c>
      <c r="BX120" s="22">
        <f t="shared" si="1061"/>
        <v>-18560.060000000001</v>
      </c>
      <c r="BY120" s="22">
        <f t="shared" si="1061"/>
        <v>-18839.850000000002</v>
      </c>
      <c r="BZ120" s="22">
        <f t="shared" si="1061"/>
        <v>-19054.53</v>
      </c>
      <c r="CA120" s="22">
        <f t="shared" si="1061"/>
        <v>-19355.71</v>
      </c>
      <c r="CB120" s="22">
        <f t="shared" si="1061"/>
        <v>-19143.13</v>
      </c>
      <c r="CC120" s="22">
        <f t="shared" si="1061"/>
        <v>-19450.82</v>
      </c>
      <c r="CD120" s="22">
        <f t="shared" si="1061"/>
        <v>-19252.95</v>
      </c>
      <c r="CE120" s="22">
        <f t="shared" si="1061"/>
        <v>-19576.350000000002</v>
      </c>
      <c r="CF120" s="22">
        <f t="shared" ref="CF120:CG120" si="1062">CF117+CF118+CF119</f>
        <v>-19012.689999999999</v>
      </c>
      <c r="CG120" s="22">
        <f t="shared" si="1062"/>
        <v>-19327.8</v>
      </c>
      <c r="CH120" s="22">
        <f t="shared" ref="CH120:CI120" si="1063">CH117+CH118+CH119</f>
        <v>-19570.29</v>
      </c>
      <c r="CI120" s="22">
        <f t="shared" si="1063"/>
        <v>-19895.27</v>
      </c>
      <c r="CJ120" s="22">
        <f t="shared" ref="CJ120:DB120" si="1064">CJ117+CJ118+CJ119</f>
        <v>-19744.47</v>
      </c>
      <c r="CK120" s="21">
        <f t="shared" si="1064"/>
        <v>-19894.900000000001</v>
      </c>
      <c r="CL120" s="22">
        <f t="shared" ref="CL120" si="1065">CL117+CL118+CL119</f>
        <v>-19983.38</v>
      </c>
      <c r="CM120" s="21">
        <f t="shared" si="1064"/>
        <v>-20095.487024536375</v>
      </c>
      <c r="CN120" s="21">
        <f t="shared" si="1064"/>
        <v>-20204.19570982294</v>
      </c>
      <c r="CO120" s="21">
        <f t="shared" si="1064"/>
        <v>-20302.235534447889</v>
      </c>
      <c r="CP120" s="21">
        <f t="shared" si="1064"/>
        <v>-20400.635078980835</v>
      </c>
      <c r="CQ120" s="21">
        <f t="shared" si="1064"/>
        <v>-20521.332146133664</v>
      </c>
      <c r="CR120" s="21">
        <f t="shared" si="1064"/>
        <v>-20639.758502439639</v>
      </c>
      <c r="CS120" s="21">
        <f t="shared" si="1064"/>
        <v>-20751.493830003339</v>
      </c>
      <c r="CT120" s="21">
        <f t="shared" si="1064"/>
        <v>-20862.045879519748</v>
      </c>
      <c r="CU120" s="21">
        <f t="shared" si="1064"/>
        <v>-20993.142008865929</v>
      </c>
      <c r="CV120" s="21">
        <f t="shared" si="1064"/>
        <v>-21122.80229425272</v>
      </c>
      <c r="CW120" s="21">
        <f t="shared" si="1064"/>
        <v>-21247.010808883446</v>
      </c>
      <c r="CX120" s="21">
        <f t="shared" si="1064"/>
        <v>-21370.206000996241</v>
      </c>
      <c r="CY120" s="21">
        <f t="shared" si="1064"/>
        <v>-21512.367780067354</v>
      </c>
      <c r="CZ120" s="21">
        <f t="shared" si="1064"/>
        <v>-21653.639017179288</v>
      </c>
      <c r="DA120" s="21">
        <f t="shared" si="1064"/>
        <v>-21790.347773659898</v>
      </c>
      <c r="DB120" s="21">
        <f t="shared" si="1064"/>
        <v>-21926.450509561433</v>
      </c>
      <c r="DE120" s="126"/>
      <c r="DF120" s="22">
        <v>-19983.38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272.21640000000002</v>
      </c>
      <c r="C124" s="23">
        <f>'Annual Raw'!D47</f>
        <v>272.02999999999997</v>
      </c>
      <c r="D124" s="23">
        <f>'Annual Raw'!E47</f>
        <v>476.15</v>
      </c>
      <c r="E124" s="23">
        <f>'Annual Raw'!F47</f>
        <v>1218.53</v>
      </c>
      <c r="F124" s="23">
        <f>'Annual Raw'!G47</f>
        <v>1136.48</v>
      </c>
      <c r="G124" s="23">
        <f>'Annual Raw'!H47</f>
        <v>1080.1199999999999</v>
      </c>
      <c r="H124" s="23">
        <f>'Annual Raw'!I47</f>
        <v>1696.26</v>
      </c>
      <c r="I124" s="23">
        <f>'Annual Raw'!J47</f>
        <v>2098.09</v>
      </c>
      <c r="J124" s="23">
        <f>'Annual Raw'!K47</f>
        <v>2166.13</v>
      </c>
      <c r="K124" s="23">
        <f>'Annual Raw'!L47</f>
        <v>2630.96</v>
      </c>
      <c r="L124" s="23">
        <f>'Annual Raw'!M47</f>
        <v>2669.78</v>
      </c>
      <c r="M124" s="23">
        <f>'Annual Raw'!N47</f>
        <v>4595.6899999999996</v>
      </c>
      <c r="N124" s="23">
        <f>'Annual Raw'!O47</f>
        <v>4897</v>
      </c>
      <c r="O124" s="23">
        <f>'Annual Raw'!P47</f>
        <v>4713.79</v>
      </c>
      <c r="P124" s="23">
        <f>'Annual Raw'!Q47</f>
        <v>4909.8500000000004</v>
      </c>
      <c r="Q124" s="23">
        <f>'Annual Raw'!R47</f>
        <v>3641.71</v>
      </c>
      <c r="R124" s="23">
        <f>'Annual Raw'!S47</f>
        <v>2723.17</v>
      </c>
      <c r="S124" s="23">
        <f>'Annual Raw'!T47</f>
        <v>0</v>
      </c>
      <c r="T124" s="23">
        <f>'Annual Raw'!U47</f>
        <v>739.92</v>
      </c>
      <c r="U124" s="23">
        <f>'Annual Raw'!V47</f>
        <v>444.4</v>
      </c>
      <c r="V124" s="23">
        <f>'Annual Raw'!W47</f>
        <v>1994.22</v>
      </c>
      <c r="W124" s="23">
        <f>'Annual Raw'!X47</f>
        <v>1996.09</v>
      </c>
      <c r="X124" s="23">
        <f>'Annual Raw'!Y47</f>
        <v>1464.21</v>
      </c>
      <c r="Y124" s="23">
        <f>'Annual Raw'!Z47</f>
        <v>3845.63</v>
      </c>
      <c r="Z124" s="23">
        <f>'Annual Raw'!AA47</f>
        <v>2584.6799999999998</v>
      </c>
      <c r="AA124" s="23">
        <f>'Annual Raw'!AB47</f>
        <v>965.58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2584.6799999999998</v>
      </c>
      <c r="CI124" s="23">
        <f t="shared" si="1092"/>
        <v>2584.6799999999998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79.510000000000005</v>
      </c>
      <c r="C125" s="23">
        <f>'Annual Raw'!D48</f>
        <v>79.510000000000005</v>
      </c>
      <c r="D125" s="23">
        <f>'Annual Raw'!E48</f>
        <v>234.92</v>
      </c>
      <c r="E125" s="23">
        <f>'Annual Raw'!F48</f>
        <v>259.93</v>
      </c>
      <c r="F125" s="23">
        <f>'Annual Raw'!G48</f>
        <v>746.36</v>
      </c>
      <c r="G125" s="23">
        <f>'Annual Raw'!H48</f>
        <v>1031.73</v>
      </c>
      <c r="H125" s="23">
        <f>'Annual Raw'!I48</f>
        <v>332.61</v>
      </c>
      <c r="I125" s="23">
        <f>'Annual Raw'!J48</f>
        <v>528.78</v>
      </c>
      <c r="J125" s="23">
        <f>'Annual Raw'!K48</f>
        <v>1178.1600000000001</v>
      </c>
      <c r="K125" s="23">
        <f>'Annual Raw'!L48</f>
        <v>1309</v>
      </c>
      <c r="L125" s="23">
        <f>'Annual Raw'!M48</f>
        <v>1982.82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100</v>
      </c>
      <c r="Q125" s="23">
        <f>'Annual Raw'!R48</f>
        <v>3603.64</v>
      </c>
      <c r="R125" s="23">
        <f>'Annual Raw'!S48</f>
        <v>7939.25</v>
      </c>
      <c r="S125" s="23">
        <f>'Annual Raw'!T48</f>
        <v>7862.21</v>
      </c>
      <c r="T125" s="23">
        <f>'Annual Raw'!U48</f>
        <v>4968.41</v>
      </c>
      <c r="U125" s="23">
        <f>'Annual Raw'!V48</f>
        <v>5694.04</v>
      </c>
      <c r="V125" s="23">
        <f>'Annual Raw'!W48</f>
        <v>7874.64</v>
      </c>
      <c r="W125" s="23">
        <f>'Annual Raw'!X48</f>
        <v>8714.7199999999993</v>
      </c>
      <c r="X125" s="23">
        <f>'Annual Raw'!Y48</f>
        <v>8562.91</v>
      </c>
      <c r="Y125" s="23">
        <f>'Annual Raw'!Z48</f>
        <v>9111.01</v>
      </c>
      <c r="Z125" s="23">
        <f>'Annual Raw'!AA48</f>
        <v>8280.4</v>
      </c>
      <c r="AA125" s="23">
        <f>'Annual Raw'!AB48</f>
        <v>1954.19</v>
      </c>
      <c r="AB125" s="24">
        <f t="shared" si="1086"/>
        <v>2919.77</v>
      </c>
      <c r="AC125" s="24">
        <f t="shared" si="1087"/>
        <v>2919.77</v>
      </c>
      <c r="AD125" s="24">
        <f t="shared" si="1088"/>
        <v>2919.77</v>
      </c>
      <c r="AE125" s="24">
        <f t="shared" si="1089"/>
        <v>2919.77</v>
      </c>
      <c r="AJ125" s="23">
        <f>+'QTR Raw'!D63</f>
        <v>4705.22</v>
      </c>
      <c r="AK125" s="23">
        <f t="shared" si="1090"/>
        <v>4705.22</v>
      </c>
      <c r="AL125" s="23">
        <f>+'QTR Raw'!F63</f>
        <v>4897</v>
      </c>
      <c r="AM125" s="23">
        <f t="shared" si="1090"/>
        <v>4897</v>
      </c>
      <c r="AN125" s="23">
        <f>+'QTR Raw'!H63</f>
        <v>5098.8100000000004</v>
      </c>
      <c r="AO125" s="23">
        <f t="shared" si="1090"/>
        <v>5098.8100000000004</v>
      </c>
      <c r="AP125" s="23">
        <f>+'QTR Raw'!J63</f>
        <v>4713.79</v>
      </c>
      <c r="AQ125" s="23">
        <f t="shared" si="1090"/>
        <v>4713.79</v>
      </c>
      <c r="AR125" s="23">
        <f>+'QTR Raw'!L63</f>
        <v>4603.26</v>
      </c>
      <c r="AS125" s="23">
        <f t="shared" si="1090"/>
        <v>4603.26</v>
      </c>
      <c r="AT125" s="23">
        <f>+'QTR Raw'!N63</f>
        <v>5009.8500000000004</v>
      </c>
      <c r="AU125" s="23">
        <f t="shared" si="1090"/>
        <v>5009.8500000000004</v>
      </c>
      <c r="AV125" s="23">
        <f>+'QTR Raw'!P63</f>
        <v>8502.5300000000007</v>
      </c>
      <c r="AW125" s="23">
        <f t="shared" si="1090"/>
        <v>8502.5300000000007</v>
      </c>
      <c r="AX125" s="23">
        <f>+'QTR Raw'!R63</f>
        <v>7245.35</v>
      </c>
      <c r="AY125" s="23">
        <f t="shared" si="1090"/>
        <v>7245.35</v>
      </c>
      <c r="AZ125" s="23">
        <f>+'QTR Raw'!T63</f>
        <v>8671.36</v>
      </c>
      <c r="BA125" s="23">
        <f t="shared" si="1090"/>
        <v>8671.36</v>
      </c>
      <c r="BB125" s="23">
        <f>+'QTR Raw'!V63</f>
        <v>10662.42</v>
      </c>
      <c r="BC125" s="23">
        <f t="shared" si="1090"/>
        <v>10662.42</v>
      </c>
      <c r="BD125" s="23">
        <f>+'QTR Raw'!X63</f>
        <v>10720.9</v>
      </c>
      <c r="BE125" s="23">
        <f t="shared" si="1090"/>
        <v>10720.9</v>
      </c>
      <c r="BF125" s="23">
        <f>+'QTR Raw'!Z63</f>
        <v>7862.21</v>
      </c>
      <c r="BG125" s="23">
        <f t="shared" si="1090"/>
        <v>7862.21</v>
      </c>
      <c r="BH125" s="23">
        <f>+'QTR Raw'!AB63</f>
        <v>8564.2000000000007</v>
      </c>
      <c r="BI125" s="23">
        <f t="shared" si="1090"/>
        <v>8564.2000000000007</v>
      </c>
      <c r="BJ125" s="23">
        <f>+'QTR Raw'!AD63</f>
        <v>5708.33</v>
      </c>
      <c r="BK125" s="23">
        <f t="shared" si="1090"/>
        <v>5708.33</v>
      </c>
      <c r="BL125" s="23">
        <f>+'QTR Raw'!AF63</f>
        <v>8458.56</v>
      </c>
      <c r="BM125" s="23">
        <f t="shared" si="1090"/>
        <v>8458.56</v>
      </c>
      <c r="BN125" s="23">
        <f>+'QTR Raw'!AH63</f>
        <v>6138.44</v>
      </c>
      <c r="BO125" s="23">
        <f t="shared" si="1090"/>
        <v>6138.44</v>
      </c>
      <c r="BP125" s="23">
        <f>+'QTR Raw'!AJ63</f>
        <v>10277.85</v>
      </c>
      <c r="BQ125" s="23">
        <f t="shared" si="1090"/>
        <v>10277.85</v>
      </c>
      <c r="BR125" s="23">
        <f>+'QTR Raw'!AL63</f>
        <v>9868.86</v>
      </c>
      <c r="BS125" s="23">
        <f t="shared" si="1090"/>
        <v>9868.86</v>
      </c>
      <c r="BT125" s="23">
        <f>+'QTR Raw'!AN63</f>
        <v>8039.62</v>
      </c>
      <c r="BU125" s="23">
        <f t="shared" si="1090"/>
        <v>8039.62</v>
      </c>
      <c r="BV125" s="23">
        <f>+'QTR Raw'!AP63</f>
        <v>10710.81</v>
      </c>
      <c r="BW125" s="23">
        <f t="shared" si="1090"/>
        <v>10710.81</v>
      </c>
      <c r="BX125" s="23">
        <f>+'QTR Raw'!AR63</f>
        <v>13482.55</v>
      </c>
      <c r="BY125" s="23">
        <f t="shared" si="1090"/>
        <v>13482.55</v>
      </c>
      <c r="BZ125" s="23">
        <f>+'QTR Raw'!AT63</f>
        <v>10027.120000000001</v>
      </c>
      <c r="CA125" s="23">
        <f t="shared" si="1090"/>
        <v>10027.120000000001</v>
      </c>
      <c r="CB125" s="23">
        <f>+'QTR Raw'!AV63</f>
        <v>7900.45</v>
      </c>
      <c r="CC125" s="23">
        <f t="shared" si="1090"/>
        <v>7900.45</v>
      </c>
      <c r="CD125" s="23">
        <f>+'QTR Raw'!AX63</f>
        <v>12956.64</v>
      </c>
      <c r="CE125" s="23">
        <f t="shared" si="1091"/>
        <v>12956.64</v>
      </c>
      <c r="CF125" s="23">
        <f>+'QTR Raw'!AZ63</f>
        <v>14355.95</v>
      </c>
      <c r="CG125" s="23">
        <f t="shared" si="1092"/>
        <v>14355.95</v>
      </c>
      <c r="CH125" s="23">
        <f t="shared" si="1068"/>
        <v>8280.4</v>
      </c>
      <c r="CI125" s="23">
        <f t="shared" si="1092"/>
        <v>8280.4</v>
      </c>
      <c r="CJ125" s="23">
        <f>+'QTR Raw'!BD63</f>
        <v>9608.7199999999993</v>
      </c>
      <c r="CK125" s="24">
        <f t="shared" si="1093"/>
        <v>9608.7199999999993</v>
      </c>
      <c r="CL125" s="23">
        <f>+'QTR Raw'!BF63</f>
        <v>2919.77</v>
      </c>
      <c r="CM125" s="24">
        <f t="shared" si="1094"/>
        <v>2919.77</v>
      </c>
      <c r="CN125" s="24">
        <f t="shared" si="1095"/>
        <v>2919.77</v>
      </c>
      <c r="CO125" s="24">
        <f t="shared" si="1096"/>
        <v>2919.77</v>
      </c>
      <c r="CP125" s="24">
        <f t="shared" si="1097"/>
        <v>2919.77</v>
      </c>
      <c r="CQ125" s="24">
        <f t="shared" si="1098"/>
        <v>2919.77</v>
      </c>
      <c r="CR125" s="24">
        <f t="shared" si="1099"/>
        <v>2919.77</v>
      </c>
      <c r="CS125" s="24">
        <f t="shared" si="1100"/>
        <v>2919.77</v>
      </c>
      <c r="CT125" s="24">
        <f t="shared" si="1101"/>
        <v>2919.77</v>
      </c>
      <c r="CU125" s="24">
        <f t="shared" si="1102"/>
        <v>2919.77</v>
      </c>
      <c r="CV125" s="24">
        <f t="shared" si="1103"/>
        <v>2919.77</v>
      </c>
      <c r="CW125" s="24">
        <f t="shared" si="1104"/>
        <v>2919.77</v>
      </c>
      <c r="CX125" s="24">
        <f t="shared" si="1105"/>
        <v>2919.77</v>
      </c>
      <c r="CY125" s="24">
        <f t="shared" si="1106"/>
        <v>2919.77</v>
      </c>
      <c r="CZ125" s="24">
        <f t="shared" si="1107"/>
        <v>2919.77</v>
      </c>
      <c r="DA125" s="24">
        <f t="shared" si="1108"/>
        <v>2919.77</v>
      </c>
      <c r="DB125" s="24">
        <f t="shared" si="1109"/>
        <v>2919.77</v>
      </c>
      <c r="DE125" s="123"/>
      <c r="DF125" s="23">
        <v>2919.77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148.55000000000001</v>
      </c>
      <c r="N126" s="23">
        <f>'Annual Raw'!O87+'Annual Raw'!O88+'Annual Raw'!O89+'Annual Raw'!O90</f>
        <v>278.14999999999998</v>
      </c>
      <c r="O126" s="23">
        <f>'Annual Raw'!P87+'Annual Raw'!P88+'Annual Raw'!P89+'Annual Raw'!P90</f>
        <v>383.73</v>
      </c>
      <c r="P126" s="23">
        <f>'Annual Raw'!Q87+'Annual Raw'!Q88+'Annual Raw'!Q89+'Annual Raw'!Q90</f>
        <v>638.96</v>
      </c>
      <c r="Q126" s="23">
        <f>'Annual Raw'!R87+'Annual Raw'!R88+'Annual Raw'!R89+'Annual Raw'!R90</f>
        <v>994.15</v>
      </c>
      <c r="R126" s="23">
        <f>'Annual Raw'!S87+'Annual Raw'!S88+'Annual Raw'!S89+'Annual Raw'!S90</f>
        <v>1251.74</v>
      </c>
      <c r="S126" s="23">
        <f>'Annual Raw'!T87+'Annual Raw'!T88+'Annual Raw'!T89+'Annual Raw'!T90</f>
        <v>2409.36</v>
      </c>
      <c r="T126" s="23">
        <f>'Annual Raw'!U87+'Annual Raw'!U88+'Annual Raw'!U89+'Annual Raw'!U90</f>
        <v>3905.78</v>
      </c>
      <c r="U126" s="23">
        <f>'Annual Raw'!V87+'Annual Raw'!V88+'Annual Raw'!V89+'Annual Raw'!V90</f>
        <v>6224.79</v>
      </c>
      <c r="V126" s="23">
        <f>'Annual Raw'!W87+'Annual Raw'!W88+'Annual Raw'!W89+'Annual Raw'!W90</f>
        <v>6442.58</v>
      </c>
      <c r="W126" s="23">
        <f>'Annual Raw'!X87+'Annual Raw'!X88+'Annual Raw'!X89+'Annual Raw'!X90</f>
        <v>5924.27</v>
      </c>
      <c r="X126" s="23">
        <f>'Annual Raw'!Y87+'Annual Raw'!Y88+'Annual Raw'!Y89+'Annual Raw'!Y90</f>
        <v>8293.82</v>
      </c>
      <c r="Y126" s="23">
        <f>'Annual Raw'!Z87+'Annual Raw'!Z88+'Annual Raw'!Z89+'Annual Raw'!Z90</f>
        <v>5919.48</v>
      </c>
      <c r="Z126" s="23">
        <f>'Annual Raw'!AA87+'Annual Raw'!AA88+'Annual Raw'!AA89+'Annual Raw'!AA90</f>
        <v>8520.8799999999992</v>
      </c>
      <c r="AA126" s="23">
        <f>'Annual Raw'!AB87+'Annual Raw'!AB88+'Annual Raw'!AB89+'Annual Raw'!AB90</f>
        <v>5078.54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8520.8799999999992</v>
      </c>
      <c r="CI126" s="23">
        <f t="shared" si="1092"/>
        <v>8520.8799999999992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703.8</v>
      </c>
      <c r="N127" s="23">
        <f>'Annual Raw'!O56</f>
        <v>1071.9100000000001</v>
      </c>
      <c r="O127" s="23">
        <f>'Annual Raw'!P56</f>
        <v>1422.43</v>
      </c>
      <c r="P127" s="23">
        <f>'Annual Raw'!Q56</f>
        <v>1761.37</v>
      </c>
      <c r="Q127" s="23">
        <f>'Annual Raw'!R56</f>
        <v>3414.11</v>
      </c>
      <c r="R127" s="23">
        <f>'Annual Raw'!S56</f>
        <v>4305.3599999999997</v>
      </c>
      <c r="S127" s="23">
        <f>'Annual Raw'!T56</f>
        <v>5306.44</v>
      </c>
      <c r="T127" s="23">
        <f>'Annual Raw'!U56</f>
        <v>6931.1</v>
      </c>
      <c r="U127" s="23">
        <f>'Annual Raw'!V56</f>
        <v>4338.1400000000003</v>
      </c>
      <c r="V127" s="23">
        <f>'Annual Raw'!W56</f>
        <v>3117.78</v>
      </c>
      <c r="W127" s="23">
        <f>'Annual Raw'!X56</f>
        <v>3068.76</v>
      </c>
      <c r="X127" s="23">
        <f>'Annual Raw'!Y56</f>
        <v>1504.21</v>
      </c>
      <c r="Y127" s="23">
        <f>'Annual Raw'!Z56</f>
        <v>1078.3</v>
      </c>
      <c r="Z127" s="23">
        <f>'Annual Raw'!AA56</f>
        <v>956.2</v>
      </c>
      <c r="AA127" s="23">
        <f>'Annual Raw'!AB56</f>
        <v>12664.73</v>
      </c>
      <c r="AB127" s="24">
        <f t="shared" si="1086"/>
        <v>17743.27</v>
      </c>
      <c r="AC127" s="24">
        <f t="shared" si="1087"/>
        <v>17743.27</v>
      </c>
      <c r="AD127" s="24">
        <f t="shared" si="1088"/>
        <v>17743.27</v>
      </c>
      <c r="AE127" s="24">
        <f t="shared" si="1089"/>
        <v>17743.27</v>
      </c>
      <c r="AJ127" s="23">
        <f>+'QTR Raw'!D88</f>
        <v>955.18</v>
      </c>
      <c r="AK127" s="23">
        <f t="shared" si="1090"/>
        <v>955.18</v>
      </c>
      <c r="AL127" s="23">
        <f>+'QTR Raw'!F88</f>
        <v>1071.9100000000001</v>
      </c>
      <c r="AM127" s="23">
        <f t="shared" si="1090"/>
        <v>1071.9100000000001</v>
      </c>
      <c r="AN127" s="23">
        <f>+'QTR Raw'!H88</f>
        <v>1205.5899999999999</v>
      </c>
      <c r="AO127" s="23">
        <f t="shared" si="1090"/>
        <v>1205.5899999999999</v>
      </c>
      <c r="AP127" s="23">
        <f>+'QTR Raw'!J88</f>
        <v>1422.43</v>
      </c>
      <c r="AQ127" s="23">
        <f t="shared" si="1090"/>
        <v>1422.43</v>
      </c>
      <c r="AR127" s="23">
        <f>+'QTR Raw'!L88</f>
        <v>1513.01</v>
      </c>
      <c r="AS127" s="23">
        <f t="shared" si="1090"/>
        <v>1513.01</v>
      </c>
      <c r="AT127" s="23">
        <f>+'QTR Raw'!N88</f>
        <v>1761.37</v>
      </c>
      <c r="AU127" s="23">
        <f t="shared" si="1090"/>
        <v>1761.37</v>
      </c>
      <c r="AV127" s="23">
        <f>+'QTR Raw'!P88</f>
        <v>1684.77</v>
      </c>
      <c r="AW127" s="23">
        <f t="shared" si="1090"/>
        <v>1684.77</v>
      </c>
      <c r="AX127" s="23">
        <f>+'QTR Raw'!R88</f>
        <v>3414.11</v>
      </c>
      <c r="AY127" s="23">
        <f t="shared" si="1090"/>
        <v>3414.11</v>
      </c>
      <c r="AZ127" s="23">
        <f>+'QTR Raw'!T88</f>
        <v>1551.81</v>
      </c>
      <c r="BA127" s="23">
        <f t="shared" si="1090"/>
        <v>1551.81</v>
      </c>
      <c r="BB127" s="23">
        <f>+'QTR Raw'!V88</f>
        <v>4305.3599999999997</v>
      </c>
      <c r="BC127" s="23">
        <f t="shared" si="1090"/>
        <v>4305.3599999999997</v>
      </c>
      <c r="BD127" s="23">
        <f>+'QTR Raw'!X88</f>
        <v>3583.86</v>
      </c>
      <c r="BE127" s="23">
        <f t="shared" si="1090"/>
        <v>3583.86</v>
      </c>
      <c r="BF127" s="23">
        <f>+'QTR Raw'!Z88</f>
        <v>5306.44</v>
      </c>
      <c r="BG127" s="23">
        <f t="shared" si="1090"/>
        <v>5306.44</v>
      </c>
      <c r="BH127" s="23">
        <f>+'QTR Raw'!AB88</f>
        <v>4557.54</v>
      </c>
      <c r="BI127" s="23">
        <f t="shared" si="1090"/>
        <v>4557.54</v>
      </c>
      <c r="BJ127" s="23">
        <f>+'QTR Raw'!AD88</f>
        <v>6931.1</v>
      </c>
      <c r="BK127" s="23">
        <f t="shared" si="1090"/>
        <v>6931.1</v>
      </c>
      <c r="BL127" s="23">
        <f>+'QTR Raw'!AF88</f>
        <v>3571.94</v>
      </c>
      <c r="BM127" s="23">
        <f t="shared" si="1090"/>
        <v>3571.94</v>
      </c>
      <c r="BN127" s="23">
        <f>+'QTR Raw'!AH88</f>
        <v>4338.1400000000003</v>
      </c>
      <c r="BO127" s="23">
        <f t="shared" si="1090"/>
        <v>4338.1400000000003</v>
      </c>
      <c r="BP127" s="23">
        <f>+'QTR Raw'!AJ88</f>
        <v>4431.88</v>
      </c>
      <c r="BQ127" s="23">
        <f t="shared" si="1090"/>
        <v>4431.88</v>
      </c>
      <c r="BR127" s="23">
        <f>+'QTR Raw'!AL88</f>
        <v>9560.36</v>
      </c>
      <c r="BS127" s="23">
        <f t="shared" si="1090"/>
        <v>9560.36</v>
      </c>
      <c r="BT127" s="23">
        <f>+'QTR Raw'!AN88</f>
        <v>11547.72</v>
      </c>
      <c r="BU127" s="23">
        <f t="shared" si="1090"/>
        <v>11547.72</v>
      </c>
      <c r="BV127" s="23">
        <f>+'QTR Raw'!AP88</f>
        <v>8993.0300000000007</v>
      </c>
      <c r="BW127" s="23">
        <f t="shared" si="1090"/>
        <v>8993.0300000000007</v>
      </c>
      <c r="BX127" s="23">
        <f>+'QTR Raw'!AR88</f>
        <v>5909.79</v>
      </c>
      <c r="BY127" s="23">
        <f t="shared" si="1090"/>
        <v>5909.79</v>
      </c>
      <c r="BZ127" s="23">
        <f>+'QTR Raw'!AT88</f>
        <v>9798.0300000000007</v>
      </c>
      <c r="CA127" s="23">
        <f t="shared" si="1090"/>
        <v>9798.0300000000007</v>
      </c>
      <c r="CB127" s="23">
        <f>+'QTR Raw'!AV88</f>
        <v>11988.32</v>
      </c>
      <c r="CC127" s="23">
        <f t="shared" si="1090"/>
        <v>11988.32</v>
      </c>
      <c r="CD127" s="23">
        <f>+'QTR Raw'!AX88</f>
        <v>6997.78</v>
      </c>
      <c r="CE127" s="23">
        <f t="shared" si="1091"/>
        <v>6997.78</v>
      </c>
      <c r="CF127" s="23">
        <f>+'QTR Raw'!AZ88</f>
        <v>5371.96</v>
      </c>
      <c r="CG127" s="23">
        <f t="shared" si="1092"/>
        <v>5371.96</v>
      </c>
      <c r="CH127" s="23">
        <f t="shared" si="1068"/>
        <v>956.2</v>
      </c>
      <c r="CI127" s="23">
        <f t="shared" si="1092"/>
        <v>956.2</v>
      </c>
      <c r="CJ127" s="23">
        <f>+'QTR Raw'!BD88</f>
        <v>10836.62</v>
      </c>
      <c r="CK127" s="24">
        <f t="shared" si="1093"/>
        <v>10836.62</v>
      </c>
      <c r="CL127" s="23">
        <f>+'QTR Raw'!BF88</f>
        <v>17743.27</v>
      </c>
      <c r="CM127" s="24">
        <f t="shared" si="1094"/>
        <v>17743.27</v>
      </c>
      <c r="CN127" s="24">
        <f t="shared" si="1095"/>
        <v>17743.27</v>
      </c>
      <c r="CO127" s="24">
        <f t="shared" si="1096"/>
        <v>17743.27</v>
      </c>
      <c r="CP127" s="24">
        <f t="shared" si="1097"/>
        <v>17743.27</v>
      </c>
      <c r="CQ127" s="24">
        <f t="shared" si="1098"/>
        <v>17743.27</v>
      </c>
      <c r="CR127" s="24">
        <f t="shared" si="1099"/>
        <v>17743.27</v>
      </c>
      <c r="CS127" s="24">
        <f t="shared" si="1100"/>
        <v>17743.27</v>
      </c>
      <c r="CT127" s="24">
        <f t="shared" si="1101"/>
        <v>17743.27</v>
      </c>
      <c r="CU127" s="24">
        <f t="shared" si="1102"/>
        <v>17743.27</v>
      </c>
      <c r="CV127" s="24">
        <f t="shared" si="1103"/>
        <v>17743.27</v>
      </c>
      <c r="CW127" s="24">
        <f t="shared" si="1104"/>
        <v>17743.27</v>
      </c>
      <c r="CX127" s="24">
        <f t="shared" si="1105"/>
        <v>17743.27</v>
      </c>
      <c r="CY127" s="24">
        <f t="shared" si="1106"/>
        <v>17743.27</v>
      </c>
      <c r="CZ127" s="24">
        <f t="shared" si="1107"/>
        <v>17743.27</v>
      </c>
      <c r="DA127" s="24">
        <f t="shared" si="1108"/>
        <v>17743.27</v>
      </c>
      <c r="DB127" s="24">
        <f t="shared" si="1109"/>
        <v>17743.27</v>
      </c>
      <c r="DE127" s="123"/>
      <c r="DF127" s="23">
        <v>17743.27</v>
      </c>
    </row>
    <row r="128" spans="1:110" s="22" customFormat="1" x14ac:dyDescent="0.2">
      <c r="A128" s="22" t="s">
        <v>49</v>
      </c>
      <c r="B128" s="22">
        <f>SUM(B124:B127)</f>
        <v>351.72640000000001</v>
      </c>
      <c r="C128" s="22">
        <f t="shared" ref="C128:V128" si="1110">SUM(C124:C127)</f>
        <v>351.53999999999996</v>
      </c>
      <c r="D128" s="22">
        <f t="shared" si="1110"/>
        <v>711.06999999999994</v>
      </c>
      <c r="E128" s="22">
        <f t="shared" si="1110"/>
        <v>1478.46</v>
      </c>
      <c r="F128" s="22">
        <f t="shared" si="1110"/>
        <v>1882.8400000000001</v>
      </c>
      <c r="G128" s="22">
        <f t="shared" si="1110"/>
        <v>2111.85</v>
      </c>
      <c r="H128" s="22">
        <f t="shared" si="1110"/>
        <v>2028.87</v>
      </c>
      <c r="I128" s="22">
        <f t="shared" si="1110"/>
        <v>2626.87</v>
      </c>
      <c r="J128" s="22">
        <f t="shared" si="1110"/>
        <v>3344.29</v>
      </c>
      <c r="K128" s="22">
        <f t="shared" si="1110"/>
        <v>3939.96</v>
      </c>
      <c r="L128" s="22">
        <f t="shared" si="1110"/>
        <v>4652.6000000000004</v>
      </c>
      <c r="M128" s="22">
        <f t="shared" si="1110"/>
        <v>5448.04</v>
      </c>
      <c r="N128" s="22">
        <f t="shared" si="1110"/>
        <v>6247.0599999999995</v>
      </c>
      <c r="O128" s="22">
        <f t="shared" si="1110"/>
        <v>6519.9500000000007</v>
      </c>
      <c r="P128" s="22">
        <f t="shared" si="1110"/>
        <v>7410.18</v>
      </c>
      <c r="Q128" s="22">
        <f t="shared" si="1110"/>
        <v>11653.61</v>
      </c>
      <c r="R128" s="22">
        <f t="shared" si="1110"/>
        <v>16219.52</v>
      </c>
      <c r="S128" s="22">
        <f t="shared" si="1110"/>
        <v>15578.009999999998</v>
      </c>
      <c r="T128" s="22">
        <f t="shared" si="1110"/>
        <v>16545.21</v>
      </c>
      <c r="U128" s="22">
        <f t="shared" si="1110"/>
        <v>16701.37</v>
      </c>
      <c r="V128" s="22">
        <f t="shared" si="1110"/>
        <v>19429.22</v>
      </c>
      <c r="W128" s="22">
        <f t="shared" ref="W128" si="1111">SUM(W124:W127)</f>
        <v>19703.840000000004</v>
      </c>
      <c r="X128" s="22">
        <f t="shared" ref="X128:Y128" si="1112">SUM(X124:X127)</f>
        <v>19825.149999999998</v>
      </c>
      <c r="Y128" s="22">
        <f t="shared" si="1112"/>
        <v>19954.419999999998</v>
      </c>
      <c r="Z128" s="22">
        <f t="shared" ref="Z128:AA128" si="1113">SUM(Z124:Z127)</f>
        <v>20342.16</v>
      </c>
      <c r="AA128" s="22">
        <f t="shared" si="1113"/>
        <v>20663.04</v>
      </c>
      <c r="AB128" s="21">
        <f t="shared" ref="AA128:AD128" si="1114">SUM(AB124:AB127)</f>
        <v>20663.04</v>
      </c>
      <c r="AC128" s="21">
        <f t="shared" si="1114"/>
        <v>20663.04</v>
      </c>
      <c r="AD128" s="21">
        <f t="shared" si="1114"/>
        <v>20663.04</v>
      </c>
      <c r="AE128" s="21">
        <f t="shared" ref="AE128" si="1115">SUM(AE124:AE127)</f>
        <v>20663.04</v>
      </c>
      <c r="AJ128" s="22">
        <f t="shared" ref="AJ128" si="1116">SUM(AJ124:AJ127)</f>
        <v>5660.4000000000005</v>
      </c>
      <c r="AK128" s="22">
        <f t="shared" ref="AK128" si="1117">SUM(AK124:AK127)</f>
        <v>5660.4000000000005</v>
      </c>
      <c r="AL128" s="22">
        <f t="shared" ref="AL128:AM128" si="1118">SUM(AL124:AL127)</f>
        <v>5968.91</v>
      </c>
      <c r="AM128" s="22">
        <f t="shared" si="1118"/>
        <v>5968.91</v>
      </c>
      <c r="AN128" s="22">
        <f t="shared" ref="AN128:AO128" si="1119">SUM(AN124:AN127)</f>
        <v>6304.4000000000005</v>
      </c>
      <c r="AO128" s="22">
        <f t="shared" si="1119"/>
        <v>6304.4000000000005</v>
      </c>
      <c r="AP128" s="22">
        <f t="shared" ref="AP128:CE128" si="1120">SUM(AP124:AP127)</f>
        <v>6136.22</v>
      </c>
      <c r="AQ128" s="22">
        <f t="shared" si="1120"/>
        <v>6136.22</v>
      </c>
      <c r="AR128" s="22">
        <f t="shared" si="1120"/>
        <v>6116.27</v>
      </c>
      <c r="AS128" s="22">
        <f t="shared" si="1120"/>
        <v>6116.27</v>
      </c>
      <c r="AT128" s="22">
        <f t="shared" si="1120"/>
        <v>6771.22</v>
      </c>
      <c r="AU128" s="22">
        <f t="shared" si="1120"/>
        <v>6771.22</v>
      </c>
      <c r="AV128" s="22">
        <f t="shared" si="1120"/>
        <v>10187.300000000001</v>
      </c>
      <c r="AW128" s="22">
        <f t="shared" si="1120"/>
        <v>10187.300000000001</v>
      </c>
      <c r="AX128" s="22">
        <f t="shared" si="1120"/>
        <v>10659.460000000001</v>
      </c>
      <c r="AY128" s="22">
        <f t="shared" si="1120"/>
        <v>10659.460000000001</v>
      </c>
      <c r="AZ128" s="22">
        <f t="shared" si="1120"/>
        <v>10223.17</v>
      </c>
      <c r="BA128" s="22">
        <f t="shared" si="1120"/>
        <v>10223.17</v>
      </c>
      <c r="BB128" s="22">
        <f t="shared" si="1120"/>
        <v>14967.779999999999</v>
      </c>
      <c r="BC128" s="22">
        <f t="shared" si="1120"/>
        <v>14967.779999999999</v>
      </c>
      <c r="BD128" s="22">
        <f t="shared" si="1120"/>
        <v>14304.76</v>
      </c>
      <c r="BE128" s="22">
        <f t="shared" si="1120"/>
        <v>14304.76</v>
      </c>
      <c r="BF128" s="22">
        <f t="shared" si="1120"/>
        <v>13168.65</v>
      </c>
      <c r="BG128" s="22">
        <f t="shared" si="1120"/>
        <v>13168.65</v>
      </c>
      <c r="BH128" s="22">
        <f t="shared" ref="BH128" si="1121">SUM(BH124:BH127)</f>
        <v>13121.740000000002</v>
      </c>
      <c r="BI128" s="22">
        <f t="shared" si="1120"/>
        <v>13121.740000000002</v>
      </c>
      <c r="BJ128" s="22">
        <f t="shared" si="1120"/>
        <v>12639.43</v>
      </c>
      <c r="BK128" s="22">
        <f t="shared" si="1120"/>
        <v>12639.43</v>
      </c>
      <c r="BL128" s="22">
        <f t="shared" si="1120"/>
        <v>12030.5</v>
      </c>
      <c r="BM128" s="22">
        <f t="shared" si="1120"/>
        <v>12030.5</v>
      </c>
      <c r="BN128" s="22">
        <f t="shared" si="1120"/>
        <v>10476.58</v>
      </c>
      <c r="BO128" s="22">
        <f t="shared" si="1120"/>
        <v>10476.58</v>
      </c>
      <c r="BP128" s="22">
        <f t="shared" si="1120"/>
        <v>14709.73</v>
      </c>
      <c r="BQ128" s="22">
        <f t="shared" si="1120"/>
        <v>14709.73</v>
      </c>
      <c r="BR128" s="22">
        <f t="shared" si="1120"/>
        <v>19429.22</v>
      </c>
      <c r="BS128" s="22">
        <f t="shared" si="1120"/>
        <v>19429.22</v>
      </c>
      <c r="BT128" s="22">
        <f t="shared" si="1120"/>
        <v>19587.34</v>
      </c>
      <c r="BU128" s="22">
        <f t="shared" si="1120"/>
        <v>19587.34</v>
      </c>
      <c r="BV128" s="22">
        <f t="shared" si="1120"/>
        <v>19703.84</v>
      </c>
      <c r="BW128" s="22">
        <f t="shared" si="1120"/>
        <v>19703.84</v>
      </c>
      <c r="BX128" s="22">
        <f t="shared" si="1120"/>
        <v>19392.34</v>
      </c>
      <c r="BY128" s="22">
        <f t="shared" si="1120"/>
        <v>19392.34</v>
      </c>
      <c r="BZ128" s="22">
        <f t="shared" si="1120"/>
        <v>19825.150000000001</v>
      </c>
      <c r="CA128" s="22">
        <f t="shared" si="1120"/>
        <v>19825.150000000001</v>
      </c>
      <c r="CB128" s="22">
        <f t="shared" si="1120"/>
        <v>19888.77</v>
      </c>
      <c r="CC128" s="22">
        <f t="shared" si="1120"/>
        <v>19888.77</v>
      </c>
      <c r="CD128" s="22">
        <f t="shared" si="1120"/>
        <v>19954.419999999998</v>
      </c>
      <c r="CE128" s="22">
        <f t="shared" si="1120"/>
        <v>19954.419999999998</v>
      </c>
      <c r="CF128" s="22">
        <f t="shared" ref="CF128:CG128" si="1122">SUM(CF124:CF127)</f>
        <v>19727.91</v>
      </c>
      <c r="CG128" s="22">
        <f t="shared" si="1122"/>
        <v>19727.91</v>
      </c>
      <c r="CH128" s="22">
        <f t="shared" ref="CH128:CI128" si="1123">SUM(CH124:CH127)</f>
        <v>20342.16</v>
      </c>
      <c r="CI128" s="22">
        <f t="shared" si="1123"/>
        <v>20342.16</v>
      </c>
      <c r="CJ128" s="22">
        <f t="shared" ref="CJ128:DB128" si="1124">SUM(CJ124:CJ127)</f>
        <v>20445.34</v>
      </c>
      <c r="CK128" s="21">
        <f t="shared" si="1124"/>
        <v>20445.34</v>
      </c>
      <c r="CL128" s="22">
        <f t="shared" ref="CL128" si="1125">SUM(CL124:CL127)</f>
        <v>20663.04</v>
      </c>
      <c r="CM128" s="21">
        <f t="shared" si="1124"/>
        <v>20663.04</v>
      </c>
      <c r="CN128" s="21">
        <f t="shared" si="1124"/>
        <v>20663.04</v>
      </c>
      <c r="CO128" s="21">
        <f t="shared" si="1124"/>
        <v>20663.04</v>
      </c>
      <c r="CP128" s="21">
        <f t="shared" si="1124"/>
        <v>20663.04</v>
      </c>
      <c r="CQ128" s="21">
        <f t="shared" si="1124"/>
        <v>20663.04</v>
      </c>
      <c r="CR128" s="21">
        <f t="shared" si="1124"/>
        <v>20663.04</v>
      </c>
      <c r="CS128" s="21">
        <f t="shared" si="1124"/>
        <v>20663.04</v>
      </c>
      <c r="CT128" s="21">
        <f t="shared" si="1124"/>
        <v>20663.04</v>
      </c>
      <c r="CU128" s="21">
        <f t="shared" si="1124"/>
        <v>20663.04</v>
      </c>
      <c r="CV128" s="21">
        <f t="shared" si="1124"/>
        <v>20663.04</v>
      </c>
      <c r="CW128" s="21">
        <f t="shared" si="1124"/>
        <v>20663.04</v>
      </c>
      <c r="CX128" s="21">
        <f t="shared" si="1124"/>
        <v>20663.04</v>
      </c>
      <c r="CY128" s="21">
        <f t="shared" si="1124"/>
        <v>20663.04</v>
      </c>
      <c r="CZ128" s="21">
        <f t="shared" si="1124"/>
        <v>20663.04</v>
      </c>
      <c r="DA128" s="21">
        <f t="shared" si="1124"/>
        <v>20663.04</v>
      </c>
      <c r="DB128" s="21">
        <f t="shared" si="1124"/>
        <v>20663.04</v>
      </c>
      <c r="DE128" s="126"/>
      <c r="DF128" s="22">
        <v>20663.04</v>
      </c>
    </row>
    <row r="129" spans="1:110" s="26" customFormat="1" x14ac:dyDescent="0.2">
      <c r="A129" s="26" t="s">
        <v>437</v>
      </c>
      <c r="B129" s="26">
        <f>B128+B120+B122</f>
        <v>1330.4495000000002</v>
      </c>
      <c r="C129" s="26">
        <f t="shared" ref="C129:V129" si="1126">C128+C120+C122</f>
        <v>1181.77</v>
      </c>
      <c r="D129" s="26">
        <f>D128+D120+D122</f>
        <v>1336.2999999999997</v>
      </c>
      <c r="E129" s="26">
        <f t="shared" si="1126"/>
        <v>1835.66</v>
      </c>
      <c r="F129" s="26">
        <f t="shared" si="1126"/>
        <v>1839.14</v>
      </c>
      <c r="G129" s="26">
        <f t="shared" si="1126"/>
        <v>1614.2399999999998</v>
      </c>
      <c r="H129" s="26">
        <f t="shared" si="1126"/>
        <v>1707.6599999999999</v>
      </c>
      <c r="I129" s="26">
        <f t="shared" si="1126"/>
        <v>2426.2799999999997</v>
      </c>
      <c r="J129" s="26">
        <f t="shared" si="1126"/>
        <v>2965.62</v>
      </c>
      <c r="K129" s="26">
        <f t="shared" si="1126"/>
        <v>3243.3</v>
      </c>
      <c r="L129" s="26">
        <f t="shared" si="1126"/>
        <v>4036.17</v>
      </c>
      <c r="M129" s="26">
        <f t="shared" si="1126"/>
        <v>4314.0600000000004</v>
      </c>
      <c r="N129" s="26">
        <f t="shared" si="1126"/>
        <v>4454.3099999999995</v>
      </c>
      <c r="O129" s="26">
        <f t="shared" si="1126"/>
        <v>4167.1200000000008</v>
      </c>
      <c r="P129" s="26">
        <f t="shared" si="1126"/>
        <v>4442.1000000000004</v>
      </c>
      <c r="Q129" s="26">
        <f t="shared" si="1126"/>
        <v>7667.420000000001</v>
      </c>
      <c r="R129" s="26">
        <f t="shared" si="1126"/>
        <v>10310.68</v>
      </c>
      <c r="S129" s="26">
        <f t="shared" si="1126"/>
        <v>418.85999999999694</v>
      </c>
      <c r="T129" s="26">
        <f t="shared" si="1126"/>
        <v>1725.380000000001</v>
      </c>
      <c r="U129" s="26">
        <f t="shared" si="1126"/>
        <v>-777.79000000000087</v>
      </c>
      <c r="V129" s="26">
        <f t="shared" si="1126"/>
        <v>938.34000000000015</v>
      </c>
      <c r="W129" s="26">
        <f t="shared" ref="W129" si="1127">W128+W120+W122</f>
        <v>871.36000000000422</v>
      </c>
      <c r="X129" s="26">
        <f t="shared" ref="X129:Y129" si="1128">X128+X120+X122</f>
        <v>770.61999999999898</v>
      </c>
      <c r="Y129" s="26">
        <f t="shared" si="1128"/>
        <v>701.46999999999753</v>
      </c>
      <c r="Z129" s="26">
        <f t="shared" ref="Z129:AA129" si="1129">Z128+Z120+Z122</f>
        <v>771.86999999999898</v>
      </c>
      <c r="AA129" s="26">
        <f t="shared" si="1129"/>
        <v>679.65999999999985</v>
      </c>
      <c r="AB129" s="27">
        <f t="shared" ref="AA129:AD129" si="1130">AB128+AB120+AB122</f>
        <v>262.40492101916607</v>
      </c>
      <c r="AC129" s="27">
        <f t="shared" si="1130"/>
        <v>-199.0058795197474</v>
      </c>
      <c r="AD129" s="27">
        <f t="shared" si="1130"/>
        <v>-707.16600099623975</v>
      </c>
      <c r="AE129" s="27">
        <f t="shared" ref="AE129" si="1131">AE128+AE120+AE122</f>
        <v>-1263.4105095614323</v>
      </c>
      <c r="AJ129" s="26">
        <f t="shared" ref="AJ129" si="1132">AJ128+AJ120+AJ122</f>
        <v>4180.05</v>
      </c>
      <c r="AK129" s="26">
        <f t="shared" ref="AK129" si="1133">AK128+AK120+AK122</f>
        <v>3982.8900000000003</v>
      </c>
      <c r="AL129" s="26">
        <f t="shared" ref="AL129" si="1134">AL128+AL120+AL122</f>
        <v>4176.16</v>
      </c>
      <c r="AM129" s="26">
        <f t="shared" ref="AM129:AO129" si="1135">AM128+AM120+AM122</f>
        <v>4049.2700000000004</v>
      </c>
      <c r="AN129" s="26">
        <f t="shared" si="1135"/>
        <v>4219.5300000000007</v>
      </c>
      <c r="AO129" s="26">
        <f t="shared" si="1135"/>
        <v>4063.170000000001</v>
      </c>
      <c r="AP129" s="26">
        <f t="shared" ref="AP129:CE129" si="1136">AP128+AP120+AP122</f>
        <v>3783.3900000000003</v>
      </c>
      <c r="AQ129" s="26">
        <f t="shared" si="1136"/>
        <v>3660.4800000000005</v>
      </c>
      <c r="AR129" s="26">
        <f t="shared" si="1136"/>
        <v>3481.1500000000005</v>
      </c>
      <c r="AS129" s="26">
        <f t="shared" si="1136"/>
        <v>3312.0800000000008</v>
      </c>
      <c r="AT129" s="26">
        <f t="shared" si="1136"/>
        <v>3803.1400000000003</v>
      </c>
      <c r="AU129" s="26">
        <f t="shared" si="1136"/>
        <v>3719.6100000000006</v>
      </c>
      <c r="AV129" s="26">
        <f t="shared" si="1136"/>
        <v>6960.2400000000016</v>
      </c>
      <c r="AW129" s="26">
        <f t="shared" si="1136"/>
        <v>6883.1000000000013</v>
      </c>
      <c r="AX129" s="26">
        <f t="shared" si="1136"/>
        <v>6673.2700000000013</v>
      </c>
      <c r="AY129" s="26">
        <f t="shared" si="1136"/>
        <v>6565.2000000000016</v>
      </c>
      <c r="AZ129" s="26">
        <f t="shared" si="1136"/>
        <v>6190.71</v>
      </c>
      <c r="BA129" s="26">
        <f t="shared" si="1136"/>
        <v>5775.97</v>
      </c>
      <c r="BB129" s="26">
        <f t="shared" si="1136"/>
        <v>9058.9399999999987</v>
      </c>
      <c r="BC129" s="26">
        <f t="shared" si="1136"/>
        <v>8577.5099999999984</v>
      </c>
      <c r="BD129" s="26">
        <f t="shared" si="1136"/>
        <v>-212.60999999999876</v>
      </c>
      <c r="BE129" s="26">
        <f t="shared" si="1136"/>
        <v>-693.35999999999876</v>
      </c>
      <c r="BF129" s="26">
        <f t="shared" si="1136"/>
        <v>-1990.5000000000018</v>
      </c>
      <c r="BG129" s="26">
        <f t="shared" si="1136"/>
        <v>-2445.9300000000021</v>
      </c>
      <c r="BH129" s="26">
        <f t="shared" ref="BH129" si="1137">BH128+BH120+BH122</f>
        <v>-2239.5699999999997</v>
      </c>
      <c r="BI129" s="26">
        <f t="shared" si="1136"/>
        <v>-2648.989999999998</v>
      </c>
      <c r="BJ129" s="26">
        <f t="shared" si="1136"/>
        <v>-2180.3999999999978</v>
      </c>
      <c r="BK129" s="26">
        <f t="shared" si="1136"/>
        <v>-2409.2499999999964</v>
      </c>
      <c r="BL129" s="26">
        <f t="shared" si="1136"/>
        <v>-4298.9599999999991</v>
      </c>
      <c r="BM129" s="26">
        <f t="shared" si="1136"/>
        <v>-4575.8099999999977</v>
      </c>
      <c r="BN129" s="26">
        <f t="shared" si="1136"/>
        <v>-7002.58</v>
      </c>
      <c r="BO129" s="26">
        <f t="shared" si="1136"/>
        <v>-8071.8399999999983</v>
      </c>
      <c r="BP129" s="26">
        <f t="shared" si="1136"/>
        <v>-3250.9799999999996</v>
      </c>
      <c r="BQ129" s="26">
        <f t="shared" si="1136"/>
        <v>-3548.9300000000003</v>
      </c>
      <c r="BR129" s="26">
        <f t="shared" si="1136"/>
        <v>938.34000000000015</v>
      </c>
      <c r="BS129" s="26">
        <f t="shared" si="1136"/>
        <v>619.88999999999942</v>
      </c>
      <c r="BT129" s="26">
        <f t="shared" si="1136"/>
        <v>906.93999999999869</v>
      </c>
      <c r="BU129" s="26">
        <f t="shared" si="1136"/>
        <v>604.63999999999942</v>
      </c>
      <c r="BV129" s="26">
        <f t="shared" si="1136"/>
        <v>871.36000000000058</v>
      </c>
      <c r="BW129" s="26">
        <f t="shared" si="1136"/>
        <v>576.26000000000204</v>
      </c>
      <c r="BX129" s="26">
        <f t="shared" si="1136"/>
        <v>832.27999999999884</v>
      </c>
      <c r="BY129" s="26">
        <f t="shared" si="1136"/>
        <v>552.48999999999796</v>
      </c>
      <c r="BZ129" s="26">
        <f t="shared" si="1136"/>
        <v>770.62000000000262</v>
      </c>
      <c r="CA129" s="26">
        <f t="shared" si="1136"/>
        <v>469.44000000000233</v>
      </c>
      <c r="CB129" s="26">
        <f t="shared" si="1136"/>
        <v>745.63999999999942</v>
      </c>
      <c r="CC129" s="26">
        <f t="shared" si="1136"/>
        <v>437.95000000000073</v>
      </c>
      <c r="CD129" s="26">
        <f t="shared" si="1136"/>
        <v>701.46999999999753</v>
      </c>
      <c r="CE129" s="26">
        <f t="shared" si="1136"/>
        <v>378.06999999999607</v>
      </c>
      <c r="CF129" s="26">
        <f t="shared" ref="CF129:CG129" si="1138">CF128+CF120+CF122</f>
        <v>715.22000000000116</v>
      </c>
      <c r="CG129" s="26">
        <f t="shared" si="1138"/>
        <v>400.11000000000058</v>
      </c>
      <c r="CH129" s="26">
        <f t="shared" ref="CH129:CI129" si="1139">CH128+CH120+CH122</f>
        <v>771.86999999999898</v>
      </c>
      <c r="CI129" s="26">
        <f t="shared" si="1139"/>
        <v>446.88999999999942</v>
      </c>
      <c r="CJ129" s="26">
        <f t="shared" ref="CJ129:DB129" si="1140">CJ128+CJ120+CJ122</f>
        <v>700.86999999999898</v>
      </c>
      <c r="CK129" s="27">
        <f t="shared" si="1140"/>
        <v>550.43999999999869</v>
      </c>
      <c r="CL129" s="26">
        <f t="shared" ref="CL129" si="1141">CL128+CL120+CL122</f>
        <v>679.65999999999985</v>
      </c>
      <c r="CM129" s="27">
        <f t="shared" si="1140"/>
        <v>567.55297546362635</v>
      </c>
      <c r="CN129" s="27">
        <f t="shared" si="1140"/>
        <v>458.84429017706134</v>
      </c>
      <c r="CO129" s="27">
        <f t="shared" si="1140"/>
        <v>360.80446555211165</v>
      </c>
      <c r="CP129" s="27">
        <f t="shared" si="1140"/>
        <v>262.40492101916607</v>
      </c>
      <c r="CQ129" s="27">
        <f t="shared" si="1140"/>
        <v>141.70785386633725</v>
      </c>
      <c r="CR129" s="27">
        <f t="shared" si="1140"/>
        <v>23.281497560361458</v>
      </c>
      <c r="CS129" s="27">
        <f t="shared" si="1140"/>
        <v>-88.453830003338226</v>
      </c>
      <c r="CT129" s="27">
        <f t="shared" si="1140"/>
        <v>-199.0058795197474</v>
      </c>
      <c r="CU129" s="27">
        <f t="shared" si="1140"/>
        <v>-330.10200886592793</v>
      </c>
      <c r="CV129" s="27">
        <f t="shared" si="1140"/>
        <v>-459.76229425271958</v>
      </c>
      <c r="CW129" s="27">
        <f t="shared" si="1140"/>
        <v>-583.97080888344499</v>
      </c>
      <c r="CX129" s="27">
        <f t="shared" si="1140"/>
        <v>-707.16600099623975</v>
      </c>
      <c r="CY129" s="27">
        <f t="shared" si="1140"/>
        <v>-849.32778006735316</v>
      </c>
      <c r="CZ129" s="27">
        <f t="shared" si="1140"/>
        <v>-990.59901717928733</v>
      </c>
      <c r="DA129" s="27">
        <f t="shared" si="1140"/>
        <v>-1127.3077736598971</v>
      </c>
      <c r="DB129" s="27">
        <f t="shared" si="1140"/>
        <v>-1263.4105095614323</v>
      </c>
      <c r="DE129" s="121"/>
      <c r="DF129" s="26">
        <v>679.65999999999985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1625.7170000000001</v>
      </c>
      <c r="C131" s="23">
        <f>'Annual Raw'!D62</f>
        <v>2151.39</v>
      </c>
      <c r="D131" s="23">
        <f>'Annual Raw'!E62</f>
        <v>2158.1799999999998</v>
      </c>
      <c r="E131" s="23">
        <f>'Annual Raw'!F62-E135</f>
        <v>2494.91</v>
      </c>
      <c r="F131" s="23">
        <f>'Annual Raw'!G62-F135</f>
        <v>3232.8</v>
      </c>
      <c r="G131" s="23">
        <f>'Annual Raw'!H62-G135</f>
        <v>3646.17</v>
      </c>
      <c r="H131" s="23">
        <f>'Annual Raw'!I62-H135</f>
        <v>4053.52</v>
      </c>
      <c r="I131" s="23">
        <f>'Annual Raw'!J62-I135</f>
        <v>4524.71</v>
      </c>
      <c r="J131" s="23">
        <f>'Annual Raw'!K62-J135</f>
        <v>4948.8</v>
      </c>
      <c r="K131" s="23">
        <f>'Annual Raw'!L62-K135</f>
        <v>6163.58</v>
      </c>
      <c r="L131" s="23">
        <f>'Annual Raw'!M62-L135</f>
        <v>7621.16</v>
      </c>
      <c r="M131" s="23">
        <f>'Annual Raw'!N62-M135</f>
        <v>8344.44</v>
      </c>
      <c r="N131" s="23">
        <f>'Annual Raw'!O62-N135</f>
        <v>8737.83</v>
      </c>
      <c r="O131" s="23">
        <f>'Annual Raw'!P62-O135</f>
        <v>8792.57</v>
      </c>
      <c r="P131" s="23">
        <f>'Annual Raw'!Q62-P135</f>
        <v>9070.86</v>
      </c>
      <c r="Q131" s="23">
        <f>'Annual Raw'!R62-Q135</f>
        <v>10098.17</v>
      </c>
      <c r="R131" s="23">
        <f>'Annual Raw'!S62-R135</f>
        <v>16360.92</v>
      </c>
      <c r="S131" s="23">
        <f>'Annual Raw'!T62-S135</f>
        <v>3760.66</v>
      </c>
      <c r="T131" s="23">
        <f>'Annual Raw'!U62-T135</f>
        <v>3556.1</v>
      </c>
      <c r="U131" s="23">
        <f>'Annual Raw'!V62-U135</f>
        <v>3913.88</v>
      </c>
      <c r="V131" s="23">
        <f>'Annual Raw'!W62-V135</f>
        <v>3987.23</v>
      </c>
      <c r="W131" s="23">
        <f>'Annual Raw'!X62-W135</f>
        <v>3958.4</v>
      </c>
      <c r="X131" s="23">
        <f>'Annual Raw'!Y62-X135</f>
        <v>3862.6</v>
      </c>
      <c r="Y131" s="23">
        <f>'Annual Raw'!Z62-Y135</f>
        <v>3875.13</v>
      </c>
      <c r="Z131" s="23">
        <f>'Annual Raw'!AA62-Z135</f>
        <v>4026.36</v>
      </c>
      <c r="AA131" s="23">
        <f>'Annual Raw'!AB62-AA135</f>
        <v>4185.43</v>
      </c>
      <c r="AB131" s="24">
        <f t="shared" ref="AB131:AB137" si="1142">+CP131</f>
        <v>4070.5799999999995</v>
      </c>
      <c r="AC131" s="24">
        <f t="shared" ref="AC131:AC137" si="1143">+CT131</f>
        <v>4070.5799999999995</v>
      </c>
      <c r="AD131" s="24">
        <f t="shared" ref="AD131:AD137" si="1144">+CX131</f>
        <v>4070.5799999999995</v>
      </c>
      <c r="AE131" s="24">
        <f t="shared" ref="AE131:AE137" si="1145">+DB131</f>
        <v>4070.5799999999995</v>
      </c>
      <c r="AJ131" s="23">
        <f>+'QTR Raw'!D68</f>
        <v>4948.76</v>
      </c>
      <c r="AL131" s="23">
        <f>+'QTR Raw'!F68</f>
        <v>4816.45</v>
      </c>
      <c r="AN131" s="23">
        <f>+'QTR Raw'!H68</f>
        <v>4906.8999999999996</v>
      </c>
      <c r="AP131" s="23">
        <f>+'QTR Raw'!J68</f>
        <v>4555.51</v>
      </c>
      <c r="AR131" s="23">
        <f>+'QTR Raw'!L68</f>
        <v>4381.6499999999996</v>
      </c>
      <c r="AT131" s="23">
        <f>+'QTR Raw'!N68</f>
        <v>4234.53</v>
      </c>
      <c r="AV131" s="23">
        <f>+'QTR Raw'!P68</f>
        <v>8106.89</v>
      </c>
      <c r="AX131" s="23">
        <f>+'QTR Raw'!R68</f>
        <v>5561.38</v>
      </c>
      <c r="AZ131" s="23">
        <f>+'QTR Raw'!T68</f>
        <v>7727.05</v>
      </c>
      <c r="BB131" s="23">
        <f>+'QTR Raw'!V68</f>
        <v>7459.95</v>
      </c>
      <c r="BD131" s="23">
        <f>+'QTR Raw'!X68</f>
        <v>1858.07</v>
      </c>
      <c r="BF131" s="23">
        <f>+'QTR Raw'!Z68</f>
        <v>846.93</v>
      </c>
      <c r="BH131" s="23">
        <f>+'QTR Raw'!AB68</f>
        <v>800.07</v>
      </c>
      <c r="BJ131" s="23">
        <f>+'QTR Raw'!AD68</f>
        <v>718.07</v>
      </c>
      <c r="BL131" s="23">
        <f>+'QTR Raw'!AF68</f>
        <v>906.55</v>
      </c>
      <c r="BN131" s="23">
        <f>+'QTR Raw'!AH68</f>
        <v>680.32</v>
      </c>
      <c r="BP131" s="23">
        <f>+'QTR Raw'!AJ68</f>
        <v>662.57</v>
      </c>
      <c r="BR131" s="23">
        <f>+'QTR Raw'!AL68</f>
        <v>678.91</v>
      </c>
      <c r="BT131" s="23">
        <f>+'QTR Raw'!AN68</f>
        <v>657.86</v>
      </c>
      <c r="BV131" s="23">
        <f>+'QTR Raw'!AP68</f>
        <v>677.58</v>
      </c>
      <c r="BX131" s="23">
        <f>+'QTR Raw'!AR68</f>
        <v>671.68</v>
      </c>
      <c r="BZ131" s="23">
        <f>+'QTR Raw'!AT68</f>
        <v>680.89</v>
      </c>
      <c r="CB131" s="23">
        <f>+'QTR Raw'!AV68</f>
        <v>673.25</v>
      </c>
      <c r="CD131" s="23">
        <f>+'QTR Raw'!AX68</f>
        <v>662.34</v>
      </c>
      <c r="CF131" s="23">
        <f>+'QTR Raw'!AZ68</f>
        <v>687.97</v>
      </c>
      <c r="CH131" s="23">
        <f t="shared" ref="CH131:CH137" si="1146">Z131</f>
        <v>4026.36</v>
      </c>
      <c r="CI131" s="23">
        <f>CH131</f>
        <v>4026.36</v>
      </c>
      <c r="CJ131" s="23">
        <f>+CJ132+CJ134</f>
        <v>3995.74</v>
      </c>
      <c r="CK131" s="24">
        <f>+CJ131</f>
        <v>3995.74</v>
      </c>
      <c r="CL131" s="23">
        <f>+CL132+CL134</f>
        <v>4070.5799999999995</v>
      </c>
      <c r="CM131" s="24">
        <f t="shared" ref="CM131:DB131" si="1147">+CL131</f>
        <v>4070.5799999999995</v>
      </c>
      <c r="CN131" s="24">
        <f t="shared" si="1147"/>
        <v>4070.5799999999995</v>
      </c>
      <c r="CO131" s="24">
        <f t="shared" si="1147"/>
        <v>4070.5799999999995</v>
      </c>
      <c r="CP131" s="24">
        <f t="shared" si="1147"/>
        <v>4070.5799999999995</v>
      </c>
      <c r="CQ131" s="24">
        <f t="shared" si="1147"/>
        <v>4070.5799999999995</v>
      </c>
      <c r="CR131" s="24">
        <f t="shared" si="1147"/>
        <v>4070.5799999999995</v>
      </c>
      <c r="CS131" s="24">
        <f t="shared" si="1147"/>
        <v>4070.5799999999995</v>
      </c>
      <c r="CT131" s="24">
        <f t="shared" si="1147"/>
        <v>4070.5799999999995</v>
      </c>
      <c r="CU131" s="24">
        <f t="shared" si="1147"/>
        <v>4070.5799999999995</v>
      </c>
      <c r="CV131" s="24">
        <f t="shared" si="1147"/>
        <v>4070.5799999999995</v>
      </c>
      <c r="CW131" s="24">
        <f t="shared" si="1147"/>
        <v>4070.5799999999995</v>
      </c>
      <c r="CX131" s="24">
        <f t="shared" si="1147"/>
        <v>4070.5799999999995</v>
      </c>
      <c r="CY131" s="24">
        <f t="shared" si="1147"/>
        <v>4070.5799999999995</v>
      </c>
      <c r="CZ131" s="24">
        <f t="shared" si="1147"/>
        <v>4070.5799999999995</v>
      </c>
      <c r="DA131" s="24">
        <f t="shared" si="1147"/>
        <v>4070.5799999999995</v>
      </c>
      <c r="DB131" s="24">
        <f t="shared" si="1147"/>
        <v>4070.5799999999995</v>
      </c>
      <c r="DE131" s="123"/>
      <c r="DF131" s="23">
        <v>4070.5799999999995</v>
      </c>
    </row>
    <row r="132" spans="1:110" s="23" customFormat="1" outlineLevel="1" x14ac:dyDescent="0.2">
      <c r="A132" s="23" t="s">
        <v>51</v>
      </c>
      <c r="B132" s="23">
        <f>'Annual Raw'!C63</f>
        <v>180.7724</v>
      </c>
      <c r="C132" s="23">
        <f>'Annual Raw'!D63</f>
        <v>288.23</v>
      </c>
      <c r="D132" s="23">
        <f>'Annual Raw'!E63</f>
        <v>493.24</v>
      </c>
      <c r="E132" s="23">
        <f>'Annual Raw'!F63</f>
        <v>694.76</v>
      </c>
      <c r="F132" s="23">
        <f>'Annual Raw'!G63</f>
        <v>980.79</v>
      </c>
      <c r="G132" s="23">
        <f>'Annual Raw'!H63</f>
        <v>1384.66</v>
      </c>
      <c r="H132" s="23">
        <f>'Annual Raw'!I63</f>
        <v>1826.85</v>
      </c>
      <c r="I132" s="23">
        <f>'Annual Raw'!J63</f>
        <v>1663.58</v>
      </c>
      <c r="J132" s="23">
        <f>'Annual Raw'!K63</f>
        <v>1753.12</v>
      </c>
      <c r="K132" s="23">
        <f>'Annual Raw'!L63</f>
        <v>2212.38</v>
      </c>
      <c r="L132" s="23">
        <f>'Annual Raw'!M63</f>
        <v>2818.33</v>
      </c>
      <c r="M132" s="23">
        <f>'Annual Raw'!N63</f>
        <v>3358.19</v>
      </c>
      <c r="N132" s="23">
        <f>'Annual Raw'!O63</f>
        <v>3948.1</v>
      </c>
      <c r="O132" s="23">
        <f>'Annual Raw'!P63</f>
        <v>4274.68</v>
      </c>
      <c r="P132" s="23">
        <f>'Annual Raw'!Q63</f>
        <v>4882.7299999999996</v>
      </c>
      <c r="Q132" s="23">
        <f>'Annual Raw'!R63</f>
        <v>4705.1000000000004</v>
      </c>
      <c r="R132" s="23">
        <f>'Annual Raw'!S63</f>
        <v>6424.31</v>
      </c>
      <c r="S132" s="23">
        <f>'Annual Raw'!T63</f>
        <v>2913.73</v>
      </c>
      <c r="T132" s="23">
        <f>'Annual Raw'!U63</f>
        <v>2838.03</v>
      </c>
      <c r="U132" s="23">
        <f>'Annual Raw'!V63</f>
        <v>3020.12</v>
      </c>
      <c r="V132" s="23">
        <f>'Annual Raw'!W63</f>
        <v>3157.11</v>
      </c>
      <c r="W132" s="23">
        <f>'Annual Raw'!X63</f>
        <v>3179.3</v>
      </c>
      <c r="X132" s="23">
        <f>'Annual Raw'!Y63</f>
        <v>3122.11</v>
      </c>
      <c r="Y132" s="23">
        <f>'Annual Raw'!Z63</f>
        <v>3086.99</v>
      </c>
      <c r="Z132" s="23">
        <f>'Annual Raw'!AA63</f>
        <v>3228.17</v>
      </c>
      <c r="AA132" s="23">
        <f>'Annual Raw'!AB63</f>
        <v>3246.56</v>
      </c>
      <c r="AB132" s="24">
        <f t="shared" si="1142"/>
        <v>3495.7279760395459</v>
      </c>
      <c r="AC132" s="24">
        <f t="shared" si="1143"/>
        <v>3598.8924704510114</v>
      </c>
      <c r="AD132" s="24">
        <f t="shared" si="1144"/>
        <v>3683.5427864938447</v>
      </c>
      <c r="AE132" s="24">
        <f t="shared" si="1145"/>
        <v>3753.0015285448803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3228.17</v>
      </c>
      <c r="CI132" s="23">
        <f t="shared" ref="CI132:DB132" si="1148">CH132+CI32</f>
        <v>3265.12</v>
      </c>
      <c r="CJ132" s="23">
        <f t="shared" si="1148"/>
        <v>3302.6099999999997</v>
      </c>
      <c r="CK132" s="24">
        <f t="shared" si="1148"/>
        <v>3338.2799999999997</v>
      </c>
      <c r="CL132" s="23">
        <f t="shared" si="1148"/>
        <v>3369.9999999999995</v>
      </c>
      <c r="CM132" s="24">
        <f t="shared" si="1148"/>
        <v>3403.8003796428675</v>
      </c>
      <c r="CN132" s="24">
        <f t="shared" si="1148"/>
        <v>3435.9700166667599</v>
      </c>
      <c r="CO132" s="24">
        <f t="shared" si="1148"/>
        <v>3466.5875883385429</v>
      </c>
      <c r="CP132" s="24">
        <f t="shared" si="1148"/>
        <v>3495.7279760395459</v>
      </c>
      <c r="CQ132" s="24">
        <f t="shared" si="1148"/>
        <v>3523.4624484029223</v>
      </c>
      <c r="CR132" s="24">
        <f t="shared" si="1148"/>
        <v>3549.8588356153145</v>
      </c>
      <c r="CS132" s="24">
        <f t="shared" si="1148"/>
        <v>3574.981695309109</v>
      </c>
      <c r="CT132" s="24">
        <f t="shared" si="1148"/>
        <v>3598.8924704510114</v>
      </c>
      <c r="CU132" s="24">
        <f t="shared" si="1148"/>
        <v>3621.6496396130806</v>
      </c>
      <c r="CV132" s="24">
        <f t="shared" si="1148"/>
        <v>3643.3088599937473</v>
      </c>
      <c r="CW132" s="24">
        <f t="shared" si="1148"/>
        <v>3663.9231035385992</v>
      </c>
      <c r="CX132" s="24">
        <f t="shared" si="1148"/>
        <v>3683.5427864938447</v>
      </c>
      <c r="CY132" s="24">
        <f t="shared" si="1148"/>
        <v>3702.2158927093028</v>
      </c>
      <c r="CZ132" s="24">
        <f t="shared" si="1148"/>
        <v>3719.988090992485</v>
      </c>
      <c r="DA132" s="24">
        <f t="shared" si="1148"/>
        <v>3736.902846800775</v>
      </c>
      <c r="DB132" s="24">
        <f t="shared" si="1148"/>
        <v>3753.0015285448803</v>
      </c>
      <c r="DE132" s="123"/>
      <c r="DF132" s="23">
        <v>3369.9999999999995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29.45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1444.9446</v>
      </c>
      <c r="C134" s="22">
        <f t="shared" ref="C134:W134" si="1150">+C131-C132-C133</f>
        <v>1863.1599999999999</v>
      </c>
      <c r="D134" s="22">
        <f t="shared" si="1150"/>
        <v>1664.9399999999998</v>
      </c>
      <c r="E134" s="22">
        <f t="shared" si="1150"/>
        <v>1800.1499999999999</v>
      </c>
      <c r="F134" s="22">
        <f t="shared" si="1150"/>
        <v>2252.0100000000002</v>
      </c>
      <c r="G134" s="22">
        <f t="shared" si="1150"/>
        <v>2261.5100000000002</v>
      </c>
      <c r="H134" s="22">
        <f t="shared" si="1150"/>
        <v>2226.67</v>
      </c>
      <c r="I134" s="22">
        <f t="shared" si="1150"/>
        <v>2861.13</v>
      </c>
      <c r="J134" s="22">
        <f t="shared" si="1150"/>
        <v>3195.6800000000003</v>
      </c>
      <c r="K134" s="22">
        <f t="shared" si="1150"/>
        <v>3951.2</v>
      </c>
      <c r="L134" s="22">
        <f t="shared" si="1150"/>
        <v>4802.83</v>
      </c>
      <c r="M134" s="22">
        <f t="shared" si="1150"/>
        <v>4986.25</v>
      </c>
      <c r="N134" s="22">
        <f t="shared" si="1150"/>
        <v>4789.7299999999996</v>
      </c>
      <c r="O134" s="22">
        <f t="shared" si="1150"/>
        <v>4517.8899999999994</v>
      </c>
      <c r="P134" s="22">
        <f t="shared" si="1150"/>
        <v>4188.130000000001</v>
      </c>
      <c r="Q134" s="22">
        <f t="shared" si="1150"/>
        <v>5363.62</v>
      </c>
      <c r="R134" s="22">
        <f t="shared" si="1150"/>
        <v>9936.61</v>
      </c>
      <c r="S134" s="22">
        <f t="shared" si="1150"/>
        <v>846.92999999999984</v>
      </c>
      <c r="T134" s="22">
        <f t="shared" si="1150"/>
        <v>718.06999999999971</v>
      </c>
      <c r="U134" s="22">
        <f t="shared" si="1150"/>
        <v>893.76000000000022</v>
      </c>
      <c r="V134" s="22">
        <f t="shared" si="1150"/>
        <v>830.11999999999989</v>
      </c>
      <c r="W134" s="22">
        <f t="shared" si="1150"/>
        <v>779.09999999999991</v>
      </c>
      <c r="X134" s="22">
        <f t="shared" ref="X134:Y134" si="1151">+X131-X132-X133</f>
        <v>740.48999999999978</v>
      </c>
      <c r="Y134" s="22">
        <f t="shared" si="1151"/>
        <v>788.14000000000033</v>
      </c>
      <c r="Z134" s="22">
        <f t="shared" ref="Z134:AE134" si="1152">+Z131-Z132-Z133</f>
        <v>798.19</v>
      </c>
      <c r="AA134" s="22">
        <f t="shared" ref="AA134" si="1153">+AA131-AA132-AA133</f>
        <v>938.87000000000035</v>
      </c>
      <c r="AB134" s="21">
        <f t="shared" si="1152"/>
        <v>574.85202396045361</v>
      </c>
      <c r="AC134" s="21">
        <f t="shared" si="1152"/>
        <v>471.6875295489881</v>
      </c>
      <c r="AD134" s="21">
        <f t="shared" si="1152"/>
        <v>387.03721350615479</v>
      </c>
      <c r="AE134" s="21">
        <f t="shared" si="1152"/>
        <v>317.57847145511914</v>
      </c>
      <c r="AJ134" s="22">
        <f t="shared" ref="AJ134:AL134" si="1154">+AJ131-AJ132-AJ133</f>
        <v>4948.76</v>
      </c>
      <c r="AK134" s="22">
        <f t="shared" ref="AK134:CE134" si="1155">+AJ134</f>
        <v>4948.76</v>
      </c>
      <c r="AL134" s="22">
        <f t="shared" si="1154"/>
        <v>4816.45</v>
      </c>
      <c r="AM134" s="22">
        <f t="shared" si="1155"/>
        <v>4816.45</v>
      </c>
      <c r="AN134" s="22">
        <f t="shared" ref="AN134" si="1156">+AN131-AN132-AN133</f>
        <v>4906.8999999999996</v>
      </c>
      <c r="AO134" s="22">
        <f t="shared" si="1155"/>
        <v>4906.8999999999996</v>
      </c>
      <c r="AP134" s="22">
        <f t="shared" ref="AP134:CD134" si="1157">+AP131-AP132-AP133</f>
        <v>4555.51</v>
      </c>
      <c r="AQ134" s="22">
        <f t="shared" si="1155"/>
        <v>4555.51</v>
      </c>
      <c r="AR134" s="22">
        <f t="shared" si="1157"/>
        <v>4381.6499999999996</v>
      </c>
      <c r="AS134" s="22">
        <f t="shared" si="1155"/>
        <v>4381.6499999999996</v>
      </c>
      <c r="AT134" s="22">
        <f t="shared" si="1157"/>
        <v>4234.53</v>
      </c>
      <c r="AU134" s="22">
        <f t="shared" si="1155"/>
        <v>4234.53</v>
      </c>
      <c r="AV134" s="22">
        <f t="shared" si="1157"/>
        <v>8106.89</v>
      </c>
      <c r="AW134" s="22">
        <f t="shared" si="1155"/>
        <v>8106.89</v>
      </c>
      <c r="AX134" s="22">
        <f t="shared" si="1157"/>
        <v>5561.38</v>
      </c>
      <c r="AY134" s="22">
        <f t="shared" si="1155"/>
        <v>5561.38</v>
      </c>
      <c r="AZ134" s="22">
        <f t="shared" si="1157"/>
        <v>7727.05</v>
      </c>
      <c r="BA134" s="22">
        <f t="shared" si="1155"/>
        <v>7727.05</v>
      </c>
      <c r="BB134" s="22">
        <f t="shared" si="1157"/>
        <v>7459.95</v>
      </c>
      <c r="BC134" s="22">
        <f t="shared" si="1155"/>
        <v>7459.95</v>
      </c>
      <c r="BD134" s="22">
        <f t="shared" si="1157"/>
        <v>1858.07</v>
      </c>
      <c r="BE134" s="22">
        <f t="shared" si="1155"/>
        <v>1858.07</v>
      </c>
      <c r="BF134" s="22">
        <f t="shared" si="1157"/>
        <v>846.93</v>
      </c>
      <c r="BG134" s="22">
        <f t="shared" si="1155"/>
        <v>846.93</v>
      </c>
      <c r="BH134" s="22">
        <f t="shared" si="1157"/>
        <v>800.07</v>
      </c>
      <c r="BI134" s="22">
        <f t="shared" si="1155"/>
        <v>800.07</v>
      </c>
      <c r="BJ134" s="22">
        <f t="shared" si="1157"/>
        <v>718.07</v>
      </c>
      <c r="BK134" s="22">
        <f t="shared" si="1155"/>
        <v>718.07</v>
      </c>
      <c r="BL134" s="22">
        <f t="shared" si="1157"/>
        <v>906.55</v>
      </c>
      <c r="BM134" s="22">
        <f t="shared" si="1155"/>
        <v>906.55</v>
      </c>
      <c r="BN134" s="22">
        <f t="shared" si="1157"/>
        <v>680.32</v>
      </c>
      <c r="BO134" s="22">
        <f t="shared" si="1155"/>
        <v>680.32</v>
      </c>
      <c r="BP134" s="22">
        <f t="shared" si="1157"/>
        <v>662.57</v>
      </c>
      <c r="BQ134" s="22">
        <f t="shared" si="1155"/>
        <v>662.57</v>
      </c>
      <c r="BR134" s="22">
        <f t="shared" si="1157"/>
        <v>678.91</v>
      </c>
      <c r="BS134" s="22">
        <f t="shared" si="1155"/>
        <v>678.91</v>
      </c>
      <c r="BT134" s="22">
        <f t="shared" si="1157"/>
        <v>657.86</v>
      </c>
      <c r="BU134" s="22">
        <f t="shared" si="1155"/>
        <v>657.86</v>
      </c>
      <c r="BV134" s="22">
        <f t="shared" si="1157"/>
        <v>677.58</v>
      </c>
      <c r="BW134" s="22">
        <f t="shared" si="1155"/>
        <v>677.58</v>
      </c>
      <c r="BX134" s="22">
        <f t="shared" si="1157"/>
        <v>671.68</v>
      </c>
      <c r="BY134" s="22">
        <f t="shared" si="1155"/>
        <v>671.68</v>
      </c>
      <c r="BZ134" s="22">
        <f t="shared" si="1157"/>
        <v>680.89</v>
      </c>
      <c r="CA134" s="22">
        <f t="shared" si="1155"/>
        <v>680.89</v>
      </c>
      <c r="CB134" s="22">
        <f t="shared" si="1157"/>
        <v>673.25</v>
      </c>
      <c r="CC134" s="22">
        <f t="shared" si="1155"/>
        <v>673.25</v>
      </c>
      <c r="CD134" s="22">
        <f t="shared" si="1157"/>
        <v>662.34</v>
      </c>
      <c r="CE134" s="22">
        <f t="shared" si="1155"/>
        <v>662.34</v>
      </c>
      <c r="CF134" s="22">
        <f t="shared" ref="CF134:CI134" si="1158">+CF131-CF132-CF133</f>
        <v>687.97</v>
      </c>
      <c r="CG134" s="22">
        <f t="shared" ref="CG134:CI137" si="1159">+CF134</f>
        <v>687.97</v>
      </c>
      <c r="CH134" s="22">
        <f t="shared" si="1158"/>
        <v>798.19</v>
      </c>
      <c r="CI134" s="22">
        <f t="shared" si="1158"/>
        <v>761.24000000000024</v>
      </c>
      <c r="CJ134" s="23">
        <f>+'QTR Raw'!BD68</f>
        <v>693.13</v>
      </c>
      <c r="CK134" s="21">
        <f t="shared" ref="CK134:DB134" si="1160">+CK131-CK132-CK133</f>
        <v>657.46</v>
      </c>
      <c r="CL134" s="23">
        <f>+'QTR Raw'!BF68</f>
        <v>700.58</v>
      </c>
      <c r="CM134" s="21">
        <f t="shared" si="1160"/>
        <v>666.77962035713199</v>
      </c>
      <c r="CN134" s="21">
        <f t="shared" si="1160"/>
        <v>634.6099833332396</v>
      </c>
      <c r="CO134" s="21">
        <f t="shared" si="1160"/>
        <v>603.99241166145657</v>
      </c>
      <c r="CP134" s="21">
        <f t="shared" si="1160"/>
        <v>574.85202396045361</v>
      </c>
      <c r="CQ134" s="21">
        <f t="shared" si="1160"/>
        <v>547.11755159707718</v>
      </c>
      <c r="CR134" s="21">
        <f t="shared" si="1160"/>
        <v>520.72116438468493</v>
      </c>
      <c r="CS134" s="21">
        <f t="shared" si="1160"/>
        <v>495.59830469089047</v>
      </c>
      <c r="CT134" s="21">
        <f t="shared" si="1160"/>
        <v>471.6875295489881</v>
      </c>
      <c r="CU134" s="21">
        <f t="shared" si="1160"/>
        <v>448.93036038691889</v>
      </c>
      <c r="CV134" s="21">
        <f t="shared" si="1160"/>
        <v>427.27114000625215</v>
      </c>
      <c r="CW134" s="21">
        <f t="shared" si="1160"/>
        <v>406.65689646140027</v>
      </c>
      <c r="CX134" s="21">
        <f t="shared" si="1160"/>
        <v>387.03721350615479</v>
      </c>
      <c r="CY134" s="21">
        <f t="shared" si="1160"/>
        <v>368.36410729069667</v>
      </c>
      <c r="CZ134" s="21">
        <f t="shared" si="1160"/>
        <v>350.59190900751446</v>
      </c>
      <c r="DA134" s="21">
        <f t="shared" si="1160"/>
        <v>333.67715319922445</v>
      </c>
      <c r="DB134" s="21">
        <f t="shared" si="1160"/>
        <v>317.57847145511914</v>
      </c>
      <c r="DE134" s="126"/>
      <c r="DF134" s="22">
        <v>700.57999999999993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2198.23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4.87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274.8252</v>
      </c>
      <c r="C137" s="23">
        <f>'Annual Raw'!D67+'Annual Raw'!D66+'Annual Raw'!D69+'Annual Raw'!D70</f>
        <v>133.38</v>
      </c>
      <c r="D137" s="23">
        <f>'Annual Raw'!E67+'Annual Raw'!E66+'Annual Raw'!E69+'Annual Raw'!E70</f>
        <v>240.91</v>
      </c>
      <c r="E137" s="23">
        <f>'Annual Raw'!F67+'Annual Raw'!F66+'Annual Raw'!F69+'Annual Raw'!F70</f>
        <v>314.98</v>
      </c>
      <c r="F137" s="23">
        <f>'Annual Raw'!G67+'Annual Raw'!G66+'Annual Raw'!G69+'Annual Raw'!G70</f>
        <v>240.37</v>
      </c>
      <c r="G137" s="23">
        <f>'Annual Raw'!H67+'Annual Raw'!H66+'Annual Raw'!H69+'Annual Raw'!H70</f>
        <v>175.08</v>
      </c>
      <c r="H137" s="23">
        <f>'Annual Raw'!I67+'Annual Raw'!I66+'Annual Raw'!I69+'Annual Raw'!I70</f>
        <v>203.17</v>
      </c>
      <c r="I137" s="23">
        <f>'Annual Raw'!J67+'Annual Raw'!J66+'Annual Raw'!J69+'Annual Raw'!J70</f>
        <v>125</v>
      </c>
      <c r="J137" s="23">
        <f>'Annual Raw'!K67+'Annual Raw'!K66+'Annual Raw'!K69+'Annual Raw'!K70</f>
        <v>229.87</v>
      </c>
      <c r="K137" s="23">
        <f>'Annual Raw'!L67+'Annual Raw'!L66+'Annual Raw'!L69+'Annual Raw'!L70</f>
        <v>204.71</v>
      </c>
      <c r="L137" s="23">
        <f>'Annual Raw'!M67+'Annual Raw'!M66+'Annual Raw'!M69+'Annual Raw'!M70</f>
        <v>153.05000000000001</v>
      </c>
      <c r="M137" s="23">
        <f>'Annual Raw'!N67+'Annual Raw'!N66+'Annual Raw'!N69+'Annual Raw'!N70</f>
        <v>64.39</v>
      </c>
      <c r="N137" s="23">
        <f>'Annual Raw'!O67+'Annual Raw'!O66+'Annual Raw'!O69+'Annual Raw'!O70</f>
        <v>26.72</v>
      </c>
      <c r="O137" s="23">
        <f>'Annual Raw'!P67+'Annual Raw'!P66+'Annual Raw'!P69+'Annual Raw'!P70</f>
        <v>37.619999999999997</v>
      </c>
      <c r="P137" s="23">
        <f>'Annual Raw'!Q67+'Annual Raw'!Q66+'Annual Raw'!Q69+'Annual Raw'!Q70</f>
        <v>46.4</v>
      </c>
      <c r="Q137" s="23">
        <f>'Annual Raw'!R67+'Annual Raw'!R66+'Annual Raw'!R69+'Annual Raw'!R70</f>
        <v>47.59</v>
      </c>
      <c r="R137" s="23">
        <f>'Annual Raw'!S67+'Annual Raw'!S66+'Annual Raw'!S69+'Annual Raw'!S70</f>
        <v>26.87</v>
      </c>
      <c r="S137" s="23">
        <f>'Annual Raw'!T67+'Annual Raw'!T66+'Annual Raw'!T69+'Annual Raw'!T70</f>
        <v>26.59</v>
      </c>
      <c r="T137" s="23">
        <f>'Annual Raw'!U67+'Annual Raw'!U66+'Annual Raw'!U69+'Annual Raw'!U70</f>
        <v>26.31</v>
      </c>
      <c r="U137" s="23">
        <f>'Annual Raw'!V67+'Annual Raw'!V66+'Annual Raw'!V69+'Annual Raw'!V70</f>
        <v>39.18</v>
      </c>
      <c r="V137" s="23">
        <f>'Annual Raw'!W67+'Annual Raw'!W66+'Annual Raw'!W69+'Annual Raw'!W70</f>
        <v>29.3</v>
      </c>
      <c r="W137" s="23">
        <f>'Annual Raw'!X67+'Annual Raw'!X66+'Annual Raw'!X69+'Annual Raw'!X70</f>
        <v>28.16</v>
      </c>
      <c r="X137" s="23">
        <f>'Annual Raw'!Y67+'Annual Raw'!Y66+'Annual Raw'!Y69+'Annual Raw'!Y70</f>
        <v>29.48</v>
      </c>
      <c r="Y137" s="23">
        <f>'Annual Raw'!Z67+'Annual Raw'!Z66+'Annual Raw'!Z69+'Annual Raw'!Z70</f>
        <v>59.21</v>
      </c>
      <c r="Z137" s="23">
        <f>'Annual Raw'!AA67+'Annual Raw'!AA66+'Annual Raw'!AA69+'Annual Raw'!AA70</f>
        <v>34.76</v>
      </c>
      <c r="AA137" s="23">
        <f>'Annual Raw'!AB67+'Annual Raw'!AB66+'Annual Raw'!AB69+'Annual Raw'!AB70</f>
        <v>27.59</v>
      </c>
      <c r="AB137" s="24">
        <f t="shared" si="1142"/>
        <v>27.59</v>
      </c>
      <c r="AC137" s="24">
        <f t="shared" si="1143"/>
        <v>27.59</v>
      </c>
      <c r="AD137" s="24">
        <f t="shared" si="1144"/>
        <v>27.59</v>
      </c>
      <c r="AE137" s="24">
        <f t="shared" si="1145"/>
        <v>27.59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47.59</v>
      </c>
      <c r="AY137" s="23">
        <f t="shared" si="1161"/>
        <v>47.59</v>
      </c>
      <c r="AZ137" s="23">
        <f>+'QTR Raw'!T74+'QTR Raw'!T75</f>
        <v>35.71</v>
      </c>
      <c r="BA137" s="23">
        <f t="shared" si="1161"/>
        <v>35.71</v>
      </c>
      <c r="BB137" s="23">
        <f>+'QTR Raw'!V74+'QTR Raw'!V75</f>
        <v>26.87</v>
      </c>
      <c r="BC137" s="23">
        <f t="shared" si="1161"/>
        <v>26.87</v>
      </c>
      <c r="BD137" s="23">
        <f>+'QTR Raw'!X74+'QTR Raw'!X75</f>
        <v>20.16</v>
      </c>
      <c r="BE137" s="23">
        <f t="shared" si="1161"/>
        <v>20.16</v>
      </c>
      <c r="BF137" s="23">
        <f>+'QTR Raw'!Z74+'QTR Raw'!Z75</f>
        <v>26.59</v>
      </c>
      <c r="BG137" s="23">
        <f t="shared" si="1161"/>
        <v>26.59</v>
      </c>
      <c r="BH137" s="23">
        <f>+'QTR Raw'!AB74+'QTR Raw'!AB75</f>
        <v>40.67</v>
      </c>
      <c r="BI137" s="23">
        <f t="shared" si="1161"/>
        <v>40.67</v>
      </c>
      <c r="BJ137" s="23">
        <f>+'QTR Raw'!AD74+'QTR Raw'!AD75</f>
        <v>26.31</v>
      </c>
      <c r="BK137" s="23">
        <f t="shared" si="1161"/>
        <v>26.31</v>
      </c>
      <c r="BL137" s="23">
        <f>+'QTR Raw'!AF74+'QTR Raw'!AF75</f>
        <v>41.17</v>
      </c>
      <c r="BM137" s="23">
        <f t="shared" si="1161"/>
        <v>41.17</v>
      </c>
      <c r="BN137" s="23">
        <f>+'QTR Raw'!AH74+'QTR Raw'!AH75</f>
        <v>39.18</v>
      </c>
      <c r="BO137" s="23">
        <f t="shared" si="1161"/>
        <v>39.18</v>
      </c>
      <c r="BP137" s="23">
        <f>+'QTR Raw'!AJ74+'QTR Raw'!AJ75</f>
        <v>51.54</v>
      </c>
      <c r="BQ137" s="23">
        <f t="shared" si="1161"/>
        <v>51.54</v>
      </c>
      <c r="BR137" s="23">
        <f>+'QTR Raw'!AL74+'QTR Raw'!AL75</f>
        <v>29.3</v>
      </c>
      <c r="BS137" s="23">
        <f t="shared" si="1161"/>
        <v>29.3</v>
      </c>
      <c r="BT137" s="23">
        <f>+'QTR Raw'!AN74+'QTR Raw'!AN75</f>
        <v>40.17</v>
      </c>
      <c r="BU137" s="23">
        <f t="shared" si="1161"/>
        <v>40.17</v>
      </c>
      <c r="BV137" s="23">
        <f>+'QTR Raw'!AP74+'QTR Raw'!AP75</f>
        <v>28.16</v>
      </c>
      <c r="BW137" s="23">
        <f t="shared" si="1161"/>
        <v>28.16</v>
      </c>
      <c r="BX137" s="23">
        <f>+'QTR Raw'!AR74+'QTR Raw'!AR75</f>
        <v>25.23</v>
      </c>
      <c r="BY137" s="23">
        <f t="shared" si="1161"/>
        <v>25.23</v>
      </c>
      <c r="BZ137" s="23">
        <f>+'QTR Raw'!AT74+'QTR Raw'!AT75</f>
        <v>29.48</v>
      </c>
      <c r="CA137" s="23">
        <f t="shared" si="1161"/>
        <v>29.48</v>
      </c>
      <c r="CB137" s="23">
        <f>+'QTR Raw'!AV74+'QTR Raw'!AV75</f>
        <v>31.03</v>
      </c>
      <c r="CC137" s="23">
        <f t="shared" si="1161"/>
        <v>31.03</v>
      </c>
      <c r="CD137" s="23">
        <f>+'QTR Raw'!AX74+'QTR Raw'!AX75</f>
        <v>59.21</v>
      </c>
      <c r="CE137" s="23">
        <f t="shared" si="1161"/>
        <v>59.21</v>
      </c>
      <c r="CF137" s="23">
        <f>+'QTR Raw'!AZ74+'QTR Raw'!AZ75</f>
        <v>39.36</v>
      </c>
      <c r="CG137" s="23">
        <f t="shared" si="1159"/>
        <v>39.36</v>
      </c>
      <c r="CH137" s="23">
        <f t="shared" si="1146"/>
        <v>34.76</v>
      </c>
      <c r="CI137" s="23">
        <f t="shared" si="1159"/>
        <v>34.76</v>
      </c>
      <c r="CJ137" s="23">
        <f>+'QTR Raw'!BD74+'QTR Raw'!BD75</f>
        <v>24.2</v>
      </c>
      <c r="CK137" s="24">
        <f t="shared" si="1162"/>
        <v>24.2</v>
      </c>
      <c r="CL137" s="23">
        <f>+'QTR Raw'!BF74+'QTR Raw'!BF75</f>
        <v>27.59</v>
      </c>
      <c r="CM137" s="24">
        <f t="shared" si="1163"/>
        <v>27.59</v>
      </c>
      <c r="CN137" s="24">
        <f t="shared" si="1164"/>
        <v>27.59</v>
      </c>
      <c r="CO137" s="24">
        <f t="shared" si="1165"/>
        <v>27.59</v>
      </c>
      <c r="CP137" s="24">
        <f t="shared" si="1166"/>
        <v>27.59</v>
      </c>
      <c r="CQ137" s="24">
        <f t="shared" si="1167"/>
        <v>27.59</v>
      </c>
      <c r="CR137" s="24">
        <f t="shared" si="1168"/>
        <v>27.59</v>
      </c>
      <c r="CS137" s="24">
        <f t="shared" si="1169"/>
        <v>27.59</v>
      </c>
      <c r="CT137" s="24">
        <f t="shared" si="1170"/>
        <v>27.59</v>
      </c>
      <c r="CU137" s="24">
        <f t="shared" si="1171"/>
        <v>27.59</v>
      </c>
      <c r="CV137" s="24">
        <f t="shared" si="1172"/>
        <v>27.59</v>
      </c>
      <c r="CW137" s="24">
        <f t="shared" si="1173"/>
        <v>27.59</v>
      </c>
      <c r="CX137" s="24">
        <f t="shared" si="1174"/>
        <v>27.59</v>
      </c>
      <c r="CY137" s="24">
        <f t="shared" si="1175"/>
        <v>27.59</v>
      </c>
      <c r="CZ137" s="24">
        <f t="shared" si="1176"/>
        <v>27.59</v>
      </c>
      <c r="DA137" s="24">
        <f t="shared" si="1177"/>
        <v>27.59</v>
      </c>
      <c r="DB137" s="24">
        <f t="shared" si="1178"/>
        <v>27.59</v>
      </c>
      <c r="DE137" s="123"/>
      <c r="DF137" s="23">
        <v>27.59</v>
      </c>
    </row>
    <row r="138" spans="1:110" s="22" customFormat="1" x14ac:dyDescent="0.2">
      <c r="A138" s="22" t="s">
        <v>57</v>
      </c>
      <c r="B138" s="22">
        <f>B134+B137+B136</f>
        <v>1719.7698</v>
      </c>
      <c r="C138" s="22">
        <f t="shared" ref="C138:D138" si="1179">C134+C137+C136</f>
        <v>1996.54</v>
      </c>
      <c r="D138" s="22">
        <f t="shared" si="1179"/>
        <v>1905.85</v>
      </c>
      <c r="E138" s="22">
        <f t="shared" ref="E138:Y138" si="1180">E134+E137+E136+E135</f>
        <v>2115.13</v>
      </c>
      <c r="F138" s="22">
        <f t="shared" si="1180"/>
        <v>2492.38</v>
      </c>
      <c r="G138" s="22">
        <f t="shared" si="1180"/>
        <v>2436.59</v>
      </c>
      <c r="H138" s="22">
        <f t="shared" si="1180"/>
        <v>2429.84</v>
      </c>
      <c r="I138" s="22">
        <f t="shared" si="1180"/>
        <v>2986.13</v>
      </c>
      <c r="J138" s="22">
        <f t="shared" si="1180"/>
        <v>3425.55</v>
      </c>
      <c r="K138" s="22">
        <f t="shared" si="1180"/>
        <v>4155.91</v>
      </c>
      <c r="L138" s="22">
        <f t="shared" si="1180"/>
        <v>4955.88</v>
      </c>
      <c r="M138" s="22">
        <f t="shared" si="1180"/>
        <v>5050.6400000000003</v>
      </c>
      <c r="N138" s="22">
        <f t="shared" si="1180"/>
        <v>4816.45</v>
      </c>
      <c r="O138" s="22">
        <f t="shared" si="1180"/>
        <v>4555.5099999999993</v>
      </c>
      <c r="P138" s="22">
        <f t="shared" si="1180"/>
        <v>4234.5300000000007</v>
      </c>
      <c r="Q138" s="22">
        <f t="shared" si="1180"/>
        <v>7609.4400000000005</v>
      </c>
      <c r="R138" s="22">
        <f t="shared" si="1180"/>
        <v>9963.4800000000014</v>
      </c>
      <c r="S138" s="22">
        <f t="shared" si="1180"/>
        <v>873.51999999999987</v>
      </c>
      <c r="T138" s="22">
        <f t="shared" si="1180"/>
        <v>744.37999999999965</v>
      </c>
      <c r="U138" s="22">
        <f t="shared" si="1180"/>
        <v>932.94000000000017</v>
      </c>
      <c r="V138" s="22">
        <f t="shared" si="1180"/>
        <v>859.41999999999985</v>
      </c>
      <c r="W138" s="22">
        <f t="shared" si="1180"/>
        <v>807.25999999999988</v>
      </c>
      <c r="X138" s="22">
        <f t="shared" si="1180"/>
        <v>774.8399999999998</v>
      </c>
      <c r="Y138" s="22">
        <f t="shared" si="1180"/>
        <v>847.35000000000036</v>
      </c>
      <c r="Z138" s="22">
        <f>Z134+Z137+Z136+Z135</f>
        <v>832.95</v>
      </c>
      <c r="AA138" s="22">
        <f>AA134+AA137+AA136+AA135</f>
        <v>966.46000000000038</v>
      </c>
      <c r="AB138" s="161">
        <f t="shared" ref="AB138:AE138" si="1181">AB134+AB137+AB136+AB135</f>
        <v>602.44202396045364</v>
      </c>
      <c r="AC138" s="161">
        <f t="shared" si="1181"/>
        <v>499.27752954898807</v>
      </c>
      <c r="AD138" s="161">
        <f t="shared" si="1181"/>
        <v>414.62721350615476</v>
      </c>
      <c r="AE138" s="161">
        <f t="shared" si="1181"/>
        <v>345.16847145511912</v>
      </c>
      <c r="AJ138" s="22">
        <f t="shared" ref="AJ138" si="1182">AJ134+AJ137+AJ135+AJ136</f>
        <v>4948.76</v>
      </c>
      <c r="AK138" s="22">
        <f t="shared" ref="AK138" si="1183">AK134+AK137+AK135+AK136</f>
        <v>4948.76</v>
      </c>
      <c r="AL138" s="22">
        <f t="shared" ref="AL138:AM138" si="1184">AL134+AL137+AL135+AL136</f>
        <v>4816.45</v>
      </c>
      <c r="AM138" s="22">
        <f t="shared" si="1184"/>
        <v>4816.45</v>
      </c>
      <c r="AN138" s="22">
        <f t="shared" ref="AN138:AO138" si="1185">AN134+AN137+AN135+AN136</f>
        <v>4906.8999999999996</v>
      </c>
      <c r="AO138" s="22">
        <f t="shared" si="1185"/>
        <v>4906.8999999999996</v>
      </c>
      <c r="AP138" s="22">
        <f t="shared" ref="AP138:CE138" si="1186">AP134+AP137+AP135+AP136</f>
        <v>4555.51</v>
      </c>
      <c r="AQ138" s="22">
        <f t="shared" si="1186"/>
        <v>4555.51</v>
      </c>
      <c r="AR138" s="22">
        <f t="shared" si="1186"/>
        <v>4381.6499999999996</v>
      </c>
      <c r="AS138" s="22">
        <f t="shared" si="1186"/>
        <v>4381.6499999999996</v>
      </c>
      <c r="AT138" s="22">
        <f t="shared" si="1186"/>
        <v>4234.53</v>
      </c>
      <c r="AU138" s="22">
        <f t="shared" si="1186"/>
        <v>4234.53</v>
      </c>
      <c r="AV138" s="22">
        <f t="shared" si="1186"/>
        <v>8106.89</v>
      </c>
      <c r="AW138" s="22">
        <f t="shared" si="1186"/>
        <v>8106.89</v>
      </c>
      <c r="AX138" s="22">
        <f t="shared" si="1186"/>
        <v>5608.97</v>
      </c>
      <c r="AY138" s="22">
        <f t="shared" si="1186"/>
        <v>5608.97</v>
      </c>
      <c r="AZ138" s="22">
        <f t="shared" si="1186"/>
        <v>7762.76</v>
      </c>
      <c r="BA138" s="22">
        <f t="shared" si="1186"/>
        <v>7762.76</v>
      </c>
      <c r="BB138" s="22">
        <f t="shared" si="1186"/>
        <v>7486.82</v>
      </c>
      <c r="BC138" s="22">
        <f t="shared" si="1186"/>
        <v>7486.82</v>
      </c>
      <c r="BD138" s="22">
        <f t="shared" si="1186"/>
        <v>1878.23</v>
      </c>
      <c r="BE138" s="22">
        <f t="shared" si="1186"/>
        <v>1878.23</v>
      </c>
      <c r="BF138" s="22">
        <f t="shared" si="1186"/>
        <v>873.52</v>
      </c>
      <c r="BG138" s="22">
        <f t="shared" si="1186"/>
        <v>873.52</v>
      </c>
      <c r="BH138" s="22">
        <f t="shared" si="1186"/>
        <v>840.74</v>
      </c>
      <c r="BI138" s="22">
        <f t="shared" si="1186"/>
        <v>840.74</v>
      </c>
      <c r="BJ138" s="22">
        <f t="shared" si="1186"/>
        <v>744.38</v>
      </c>
      <c r="BK138" s="22">
        <f t="shared" si="1186"/>
        <v>744.38</v>
      </c>
      <c r="BL138" s="22">
        <f t="shared" si="1186"/>
        <v>947.71999999999991</v>
      </c>
      <c r="BM138" s="22">
        <f t="shared" si="1186"/>
        <v>947.71999999999991</v>
      </c>
      <c r="BN138" s="22">
        <f t="shared" si="1186"/>
        <v>719.5</v>
      </c>
      <c r="BO138" s="22">
        <f t="shared" si="1186"/>
        <v>719.5</v>
      </c>
      <c r="BP138" s="22">
        <f t="shared" si="1186"/>
        <v>714.11</v>
      </c>
      <c r="BQ138" s="22">
        <f t="shared" si="1186"/>
        <v>714.11</v>
      </c>
      <c r="BR138" s="22">
        <f t="shared" si="1186"/>
        <v>708.20999999999992</v>
      </c>
      <c r="BS138" s="22">
        <f t="shared" si="1186"/>
        <v>708.20999999999992</v>
      </c>
      <c r="BT138" s="22">
        <f t="shared" si="1186"/>
        <v>698.03</v>
      </c>
      <c r="BU138" s="22">
        <f t="shared" si="1186"/>
        <v>698.03</v>
      </c>
      <c r="BV138" s="22">
        <f t="shared" si="1186"/>
        <v>705.74</v>
      </c>
      <c r="BW138" s="22">
        <f t="shared" si="1186"/>
        <v>705.74</v>
      </c>
      <c r="BX138" s="22">
        <f t="shared" si="1186"/>
        <v>696.91</v>
      </c>
      <c r="BY138" s="22">
        <f t="shared" si="1186"/>
        <v>696.91</v>
      </c>
      <c r="BZ138" s="22">
        <f t="shared" si="1186"/>
        <v>710.37</v>
      </c>
      <c r="CA138" s="22">
        <f t="shared" si="1186"/>
        <v>710.37</v>
      </c>
      <c r="CB138" s="22">
        <f t="shared" si="1186"/>
        <v>704.28</v>
      </c>
      <c r="CC138" s="22">
        <f t="shared" si="1186"/>
        <v>704.28</v>
      </c>
      <c r="CD138" s="22">
        <f t="shared" si="1186"/>
        <v>721.55000000000007</v>
      </c>
      <c r="CE138" s="22">
        <f t="shared" si="1186"/>
        <v>721.55000000000007</v>
      </c>
      <c r="CF138" s="22">
        <f t="shared" ref="CF138:CG138" si="1187">CF134+CF137+CF135+CF136</f>
        <v>727.33</v>
      </c>
      <c r="CG138" s="22">
        <f t="shared" si="1187"/>
        <v>727.33</v>
      </c>
      <c r="CH138" s="22">
        <f t="shared" ref="CH138:CJ138" si="1188">CH134+CH137+CH135+CH136</f>
        <v>832.95</v>
      </c>
      <c r="CI138" s="22">
        <f t="shared" si="1188"/>
        <v>796.00000000000023</v>
      </c>
      <c r="CJ138" s="22">
        <f t="shared" si="1188"/>
        <v>717.33</v>
      </c>
      <c r="CK138" s="21">
        <f t="shared" ref="CK138:DB138" si="1189">CK134+CK137+CK135+CK136</f>
        <v>681.66000000000008</v>
      </c>
      <c r="CL138" s="22">
        <f t="shared" si="1189"/>
        <v>728.17000000000007</v>
      </c>
      <c r="CM138" s="21">
        <f t="shared" si="1189"/>
        <v>694.36962035713202</v>
      </c>
      <c r="CN138" s="21">
        <f t="shared" si="1189"/>
        <v>662.19998333323963</v>
      </c>
      <c r="CO138" s="21">
        <f t="shared" si="1189"/>
        <v>631.5824116614566</v>
      </c>
      <c r="CP138" s="21">
        <f t="shared" si="1189"/>
        <v>602.44202396045364</v>
      </c>
      <c r="CQ138" s="21">
        <f t="shared" si="1189"/>
        <v>574.70755159707721</v>
      </c>
      <c r="CR138" s="21">
        <f t="shared" si="1189"/>
        <v>548.31116438468496</v>
      </c>
      <c r="CS138" s="21">
        <f t="shared" si="1189"/>
        <v>523.1883046908905</v>
      </c>
      <c r="CT138" s="21">
        <f t="shared" si="1189"/>
        <v>499.27752954898807</v>
      </c>
      <c r="CU138" s="21">
        <f t="shared" si="1189"/>
        <v>476.52036038691887</v>
      </c>
      <c r="CV138" s="21">
        <f t="shared" si="1189"/>
        <v>454.86114000625213</v>
      </c>
      <c r="CW138" s="21">
        <f t="shared" si="1189"/>
        <v>434.24689646140024</v>
      </c>
      <c r="CX138" s="21">
        <f t="shared" si="1189"/>
        <v>414.62721350615476</v>
      </c>
      <c r="CY138" s="21">
        <f t="shared" si="1189"/>
        <v>395.95410729069664</v>
      </c>
      <c r="CZ138" s="21">
        <f t="shared" si="1189"/>
        <v>378.18190900751443</v>
      </c>
      <c r="DA138" s="21">
        <f t="shared" si="1189"/>
        <v>361.26715319922442</v>
      </c>
      <c r="DB138" s="21">
        <f t="shared" si="1189"/>
        <v>345.16847145511912</v>
      </c>
      <c r="DE138" s="126"/>
      <c r="DF138" s="22">
        <v>728.17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0</v>
      </c>
      <c r="CK140" s="24">
        <f t="shared" ref="CK140" si="1193">+CJ140</f>
        <v>0</v>
      </c>
      <c r="CL140" s="23">
        <f>+'QTR Raw'!BF77</f>
        <v>0</v>
      </c>
      <c r="CM140" s="24">
        <f t="shared" ref="CM140" si="1194">+CL140</f>
        <v>0</v>
      </c>
      <c r="CN140" s="24">
        <f t="shared" ref="CN140" si="1195">+CM140</f>
        <v>0</v>
      </c>
      <c r="CO140" s="24">
        <f t="shared" ref="CO140" si="1196">+CN140</f>
        <v>0</v>
      </c>
      <c r="CP140" s="24">
        <f t="shared" ref="CP140" si="1197">+CO140</f>
        <v>0</v>
      </c>
      <c r="CQ140" s="24">
        <f t="shared" ref="CQ140" si="1198">+CP140</f>
        <v>0</v>
      </c>
      <c r="CR140" s="24">
        <f t="shared" ref="CR140" si="1199">+CQ140</f>
        <v>0</v>
      </c>
      <c r="CS140" s="24">
        <f t="shared" ref="CS140" si="1200">+CR140</f>
        <v>0</v>
      </c>
      <c r="CT140" s="24">
        <f t="shared" ref="CT140" si="1201">+CS140</f>
        <v>0</v>
      </c>
      <c r="CU140" s="24">
        <f t="shared" ref="CU140" si="1202">+CT140</f>
        <v>0</v>
      </c>
      <c r="CV140" s="24">
        <f t="shared" ref="CV140" si="1203">+CU140</f>
        <v>0</v>
      </c>
      <c r="CW140" s="24">
        <f t="shared" ref="CW140" si="1204">+CV140</f>
        <v>0</v>
      </c>
      <c r="CX140" s="24">
        <f t="shared" ref="CX140" si="1205">+CW140</f>
        <v>0</v>
      </c>
      <c r="CY140" s="24">
        <f t="shared" ref="CY140" si="1206">+CX140</f>
        <v>0</v>
      </c>
      <c r="CZ140" s="24">
        <f t="shared" ref="CZ140" si="1207">+CY140</f>
        <v>0</v>
      </c>
      <c r="DA140" s="24">
        <f t="shared" ref="DA140" si="1208">+CZ140</f>
        <v>0</v>
      </c>
      <c r="DB140" s="24">
        <f t="shared" ref="DB140" si="1209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201.53</v>
      </c>
      <c r="N142" s="23">
        <f>'Annual Raw'!O72+'Annual Raw'!O61</f>
        <v>502.32</v>
      </c>
      <c r="O142" s="23">
        <f>'Annual Raw'!P72+'Annual Raw'!P61</f>
        <v>630.9</v>
      </c>
      <c r="P142" s="23">
        <f>'Annual Raw'!Q72+'Annual Raw'!Q61</f>
        <v>1321.58</v>
      </c>
      <c r="Q142" s="23">
        <f>'Annual Raw'!R72+'Annual Raw'!R61</f>
        <v>788.39</v>
      </c>
      <c r="R142" s="23">
        <f>'Annual Raw'!S72+'Annual Raw'!S61</f>
        <v>676.56</v>
      </c>
      <c r="S142" s="23">
        <f>'Annual Raw'!T72+'Annual Raw'!T61</f>
        <v>610.91999999999996</v>
      </c>
      <c r="T142" s="23">
        <f>'Annual Raw'!U72+'Annual Raw'!U61</f>
        <v>249.27</v>
      </c>
      <c r="U142" s="23">
        <f>'Annual Raw'!V72+'Annual Raw'!V61</f>
        <v>170.9</v>
      </c>
      <c r="V142" s="23">
        <f>'Annual Raw'!W72+'Annual Raw'!W61</f>
        <v>146.28</v>
      </c>
      <c r="W142" s="23">
        <f>'Annual Raw'!X72+'Annual Raw'!X61</f>
        <v>166.33</v>
      </c>
      <c r="X142" s="23">
        <f>'Annual Raw'!Y72+'Annual Raw'!Y61</f>
        <v>148.87</v>
      </c>
      <c r="Y142" s="23">
        <f>'Annual Raw'!Z72+'Annual Raw'!Z61</f>
        <v>154.19</v>
      </c>
      <c r="Z142" s="23">
        <f>'Annual Raw'!AA72+'Annual Raw'!AA61</f>
        <v>158.88</v>
      </c>
      <c r="AA142" s="23">
        <f>'Annual Raw'!AB72+'Annual Raw'!AB61</f>
        <v>168.77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206.85</v>
      </c>
      <c r="AK142" s="23">
        <f t="shared" ref="AK142:CE147" si="1214">+AJ142</f>
        <v>206.85</v>
      </c>
      <c r="AL142" s="23">
        <f>+'QTR Raw'!F78</f>
        <v>505.02</v>
      </c>
      <c r="AM142" s="23">
        <f t="shared" si="1214"/>
        <v>505.02</v>
      </c>
      <c r="AN142" s="23">
        <f>+'QTR Raw'!H78</f>
        <v>531.70000000000005</v>
      </c>
      <c r="AO142" s="23">
        <f t="shared" si="1214"/>
        <v>531.70000000000005</v>
      </c>
      <c r="AP142" s="23">
        <f>+'QTR Raw'!J78</f>
        <v>632.17999999999995</v>
      </c>
      <c r="AQ142" s="23">
        <f t="shared" si="1214"/>
        <v>632.17999999999995</v>
      </c>
      <c r="AR142" s="23">
        <f>+'QTR Raw'!L78</f>
        <v>674.85</v>
      </c>
      <c r="AS142" s="23">
        <f t="shared" si="1214"/>
        <v>674.85</v>
      </c>
      <c r="AT142" s="23">
        <f>+'QTR Raw'!N78</f>
        <v>1322.55</v>
      </c>
      <c r="AU142" s="23">
        <f t="shared" si="1214"/>
        <v>1322.55</v>
      </c>
      <c r="AV142" s="23">
        <f>+'QTR Raw'!P78</f>
        <v>755.21</v>
      </c>
      <c r="AW142" s="23">
        <f t="shared" si="1214"/>
        <v>755.21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28.93</v>
      </c>
      <c r="BC142" s="23">
        <f t="shared" si="1214"/>
        <v>28.93</v>
      </c>
      <c r="BD142" s="23">
        <f>+'QTR Raw'!X78</f>
        <v>27.56</v>
      </c>
      <c r="BE142" s="23">
        <f t="shared" si="1214"/>
        <v>27.56</v>
      </c>
      <c r="BF142" s="23">
        <f>+'QTR Raw'!Z78</f>
        <v>21.05</v>
      </c>
      <c r="BG142" s="23">
        <f t="shared" si="1214"/>
        <v>21.05</v>
      </c>
      <c r="BH142" s="23">
        <f>+'QTR Raw'!AB78</f>
        <v>30.65</v>
      </c>
      <c r="BI142" s="23">
        <f t="shared" si="1214"/>
        <v>30.65</v>
      </c>
      <c r="BJ142" s="23">
        <f>+'QTR Raw'!AD78</f>
        <v>3.56</v>
      </c>
      <c r="BK142" s="23">
        <f t="shared" si="1214"/>
        <v>3.56</v>
      </c>
      <c r="BL142" s="23">
        <f>+'QTR Raw'!AF78</f>
        <v>0.65</v>
      </c>
      <c r="BM142" s="23">
        <f t="shared" si="1214"/>
        <v>0.65</v>
      </c>
      <c r="BN142" s="23">
        <f>+'QTR Raw'!AH78</f>
        <v>0</v>
      </c>
      <c r="BO142" s="23">
        <f t="shared" si="1214"/>
        <v>0</v>
      </c>
      <c r="BP142" s="23">
        <f>+'QTR Raw'!AJ78</f>
        <v>10.3</v>
      </c>
      <c r="BQ142" s="23">
        <f t="shared" si="1214"/>
        <v>10.3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158.88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7.22</v>
      </c>
      <c r="N143" s="23">
        <f>'Annual Raw'!O73+'Annual Raw'!O81</f>
        <v>2.7</v>
      </c>
      <c r="O143" s="23">
        <f>'Annual Raw'!P73+'Annual Raw'!P81</f>
        <v>1.28</v>
      </c>
      <c r="P143" s="23">
        <f>'Annual Raw'!Q73+'Annual Raw'!Q81</f>
        <v>0.97</v>
      </c>
      <c r="Q143" s="23">
        <f>'Annual Raw'!R73+'Annual Raw'!R81</f>
        <v>16.72</v>
      </c>
      <c r="R143" s="23">
        <f>'Annual Raw'!S73+'Annual Raw'!S81</f>
        <v>13.55</v>
      </c>
      <c r="S143" s="23">
        <f>'Annual Raw'!T73+'Annual Raw'!T81</f>
        <v>1092.2800000000002</v>
      </c>
      <c r="T143" s="23">
        <f>'Annual Raw'!U73+'Annual Raw'!U81</f>
        <v>2430.1200000000003</v>
      </c>
      <c r="U143" s="23">
        <f>'Annual Raw'!V73+'Annual Raw'!V81</f>
        <v>14.75</v>
      </c>
      <c r="V143" s="23">
        <f>'Annual Raw'!W73+'Annual Raw'!W81</f>
        <v>15.61</v>
      </c>
      <c r="W143" s="23">
        <f>'Annual Raw'!X73+'Annual Raw'!X81</f>
        <v>12.67</v>
      </c>
      <c r="X143" s="23">
        <f>'Annual Raw'!Y73+'Annual Raw'!Y81</f>
        <v>15.56</v>
      </c>
      <c r="Y143" s="23">
        <f>'Annual Raw'!Z73+'Annual Raw'!Z81</f>
        <v>14.96</v>
      </c>
      <c r="Z143" s="23">
        <f>'Annual Raw'!AA73+'Annual Raw'!AA81</f>
        <v>17.48</v>
      </c>
      <c r="AA143" s="23">
        <f>'Annual Raw'!AB73+'Annual Raw'!AB81</f>
        <v>21.47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8.33</v>
      </c>
      <c r="AW143" s="23">
        <f t="shared" si="1214"/>
        <v>8.33</v>
      </c>
      <c r="AX143" s="23">
        <f>+'QTR Raw'!R79+'QTR Raw'!R76</f>
        <v>2805.58</v>
      </c>
      <c r="AY143" s="23">
        <f t="shared" si="1214"/>
        <v>2805.58</v>
      </c>
      <c r="AZ143" s="23">
        <f>+'QTR Raw'!T79+'QTR Raw'!T76</f>
        <v>811.85</v>
      </c>
      <c r="BA143" s="23">
        <f t="shared" si="1214"/>
        <v>811.85</v>
      </c>
      <c r="BB143" s="23">
        <f>+'QTR Raw'!V79+'QTR Raw'!V76</f>
        <v>3137.84</v>
      </c>
      <c r="BC143" s="23">
        <f t="shared" si="1214"/>
        <v>3137.84</v>
      </c>
      <c r="BD143" s="23">
        <f>+'QTR Raw'!X79+'QTR Raw'!X76</f>
        <v>568.04</v>
      </c>
      <c r="BE143" s="23">
        <f t="shared" si="1214"/>
        <v>568.04</v>
      </c>
      <c r="BF143" s="23">
        <f>+'QTR Raw'!Z79+'QTR Raw'!Z76</f>
        <v>601</v>
      </c>
      <c r="BG143" s="23">
        <f t="shared" si="1214"/>
        <v>601</v>
      </c>
      <c r="BH143" s="23">
        <f>+'QTR Raw'!AB79+'QTR Raw'!AB76</f>
        <v>617.04999999999995</v>
      </c>
      <c r="BI143" s="23">
        <f t="shared" si="1214"/>
        <v>617.04999999999995</v>
      </c>
      <c r="BJ143" s="23">
        <f>+'QTR Raw'!AD79+'QTR Raw'!AD76</f>
        <v>264.82</v>
      </c>
      <c r="BK143" s="23">
        <f t="shared" si="1214"/>
        <v>264.82</v>
      </c>
      <c r="BL143" s="23">
        <f>+'QTR Raw'!AF79+'QTR Raw'!AF76</f>
        <v>378.33</v>
      </c>
      <c r="BM143" s="23">
        <f t="shared" si="1214"/>
        <v>378.33</v>
      </c>
      <c r="BN143" s="23">
        <f>+'QTR Raw'!AH79+'QTR Raw'!AH76</f>
        <v>399.09</v>
      </c>
      <c r="BO143" s="23">
        <f t="shared" si="1214"/>
        <v>399.09</v>
      </c>
      <c r="BP143" s="23">
        <f>+'QTR Raw'!AJ79+'QTR Raw'!AJ76</f>
        <v>349.95</v>
      </c>
      <c r="BQ143" s="23">
        <f t="shared" si="1214"/>
        <v>349.95</v>
      </c>
      <c r="BR143" s="23">
        <f>+'QTR Raw'!AL79+'QTR Raw'!AL76</f>
        <v>313.10000000000002</v>
      </c>
      <c r="BS143" s="23">
        <f t="shared" si="1214"/>
        <v>313.10000000000002</v>
      </c>
      <c r="BT143" s="23">
        <f>+'QTR Raw'!AN79+'QTR Raw'!AN76</f>
        <v>290.13</v>
      </c>
      <c r="BU143" s="23">
        <f t="shared" si="1214"/>
        <v>290.13</v>
      </c>
      <c r="BV143" s="23">
        <f>+'QTR Raw'!AP79+'QTR Raw'!AP76</f>
        <v>280.52</v>
      </c>
      <c r="BW143" s="23">
        <f t="shared" si="1214"/>
        <v>280.52</v>
      </c>
      <c r="BX143" s="23">
        <f>+'QTR Raw'!AR79+'QTR Raw'!AR76</f>
        <v>249.46</v>
      </c>
      <c r="BY143" s="23">
        <f t="shared" si="1214"/>
        <v>249.46</v>
      </c>
      <c r="BZ143" s="23">
        <f>+'QTR Raw'!AT79+'QTR Raw'!AT76</f>
        <v>228.9</v>
      </c>
      <c r="CA143" s="23">
        <f t="shared" si="1214"/>
        <v>228.9</v>
      </c>
      <c r="CB143" s="23">
        <f>+'QTR Raw'!AV79+'QTR Raw'!AV76</f>
        <v>224.83</v>
      </c>
      <c r="CC143" s="23">
        <f t="shared" si="1214"/>
        <v>224.83</v>
      </c>
      <c r="CD143" s="23">
        <f>+'QTR Raw'!AX79+'QTR Raw'!AX76</f>
        <v>294.95</v>
      </c>
      <c r="CE143" s="23">
        <f t="shared" si="1214"/>
        <v>294.95</v>
      </c>
      <c r="CF143" s="23">
        <f>+'QTR Raw'!AZ79+'QTR Raw'!AZ76</f>
        <v>303.56</v>
      </c>
      <c r="CG143" s="23">
        <f t="shared" si="1191"/>
        <v>303.56</v>
      </c>
      <c r="CH143" s="23">
        <f t="shared" si="1192"/>
        <v>17.48</v>
      </c>
      <c r="CJ143" s="23">
        <f>+'QTR Raw'!BD79+'QTR Raw'!BD76</f>
        <v>264.19</v>
      </c>
      <c r="CK143" s="24"/>
      <c r="CL143" s="23">
        <f>+'QTR Raw'!BF79+'QTR Raw'!BF76</f>
        <v>428.53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428.53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2.2200000000000002</v>
      </c>
      <c r="I144" s="23">
        <f>'Annual Raw'!J76</f>
        <v>2.2200000000000002</v>
      </c>
      <c r="J144" s="23">
        <f>'Annual Raw'!K76</f>
        <v>2.0099999999999998</v>
      </c>
      <c r="K144" s="23">
        <f>'Annual Raw'!L76</f>
        <v>6.4</v>
      </c>
      <c r="L144" s="23">
        <f>'Annual Raw'!M76</f>
        <v>3.78</v>
      </c>
      <c r="M144" s="23">
        <f>'Annual Raw'!N76</f>
        <v>3.81</v>
      </c>
      <c r="N144" s="23">
        <f>'Annual Raw'!O76</f>
        <v>3.19</v>
      </c>
      <c r="O144" s="23">
        <f>'Annual Raw'!P76</f>
        <v>4.4400000000000004</v>
      </c>
      <c r="P144" s="23">
        <f>'Annual Raw'!Q76</f>
        <v>12.42</v>
      </c>
      <c r="Q144" s="23">
        <f>'Annual Raw'!R76</f>
        <v>4.68</v>
      </c>
      <c r="R144" s="23">
        <f>'Annual Raw'!S76</f>
        <v>2.04</v>
      </c>
      <c r="S144" s="23">
        <f>'Annual Raw'!T76</f>
        <v>0.13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4.4400000000000004</v>
      </c>
      <c r="AK144" s="23">
        <f>+AK179*AK10/90</f>
        <v>4.4947602531999946</v>
      </c>
      <c r="AL144" s="23">
        <f>+'QTR Raw'!F81</f>
        <v>3.19</v>
      </c>
      <c r="AM144" s="23">
        <f>+AM179*AM10/90</f>
        <v>3.2206735272097364</v>
      </c>
      <c r="AN144" s="23">
        <f>+'QTR Raw'!H81</f>
        <v>2.4700000000000002</v>
      </c>
      <c r="AO144" s="23">
        <f>+AO179*AO10/90</f>
        <v>2.4859251390548698</v>
      </c>
      <c r="AP144" s="23">
        <f>+'QTR Raw'!J81</f>
        <v>4.4400000000000004</v>
      </c>
      <c r="AQ144" s="23">
        <f>+AQ179*AQ10/90</f>
        <v>4.5815616526226774</v>
      </c>
      <c r="AR144" s="23">
        <f>+'QTR Raw'!L81</f>
        <v>6.31</v>
      </c>
      <c r="AS144" s="23">
        <f>+AS179*AS10/90</f>
        <v>6.6543587400405526</v>
      </c>
      <c r="AT144" s="23">
        <f>+'QTR Raw'!N81</f>
        <v>12.42</v>
      </c>
      <c r="AU144" s="23">
        <f>+AU179*AU10/90</f>
        <v>12.498078655299985</v>
      </c>
      <c r="AV144" s="23">
        <f>+'QTR Raw'!P81</f>
        <v>2.94</v>
      </c>
      <c r="AW144" s="23">
        <f>+AW179*AW10/90</f>
        <v>2.9212568306010924</v>
      </c>
      <c r="AX144" s="23">
        <f>+'QTR Raw'!R81</f>
        <v>4.68</v>
      </c>
      <c r="AY144" s="23">
        <f>+AY179*AY10/90</f>
        <v>4.6932192565907966</v>
      </c>
      <c r="AZ144" s="23">
        <f>+'QTR Raw'!T81</f>
        <v>2.14</v>
      </c>
      <c r="BA144" s="23">
        <f>+BA179*BA10/90</f>
        <v>1.932878046043125</v>
      </c>
      <c r="BB144" s="23">
        <f>+'QTR Raw'!V81</f>
        <v>2.04</v>
      </c>
      <c r="BC144" s="23">
        <f>+BC179*BC10/90</f>
        <v>1.8914448560843549</v>
      </c>
      <c r="BD144" s="23">
        <f>+'QTR Raw'!X81</f>
        <v>0.82</v>
      </c>
      <c r="BE144" s="23">
        <f>+BE179*BE10/90</f>
        <v>0.66574477994255987</v>
      </c>
      <c r="BF144" s="23">
        <f>+'QTR Raw'!Z81</f>
        <v>0.13</v>
      </c>
      <c r="BG144" s="23">
        <f>+BG179*BG10/90</f>
        <v>0.11390155087498689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23.816700000000001</v>
      </c>
      <c r="C145" s="23">
        <f>'Annual Raw'!D77</f>
        <v>34.83</v>
      </c>
      <c r="D145" s="23">
        <f>'Annual Raw'!E77</f>
        <v>46.41</v>
      </c>
      <c r="E145" s="23">
        <f>'Annual Raw'!F77</f>
        <v>221.25</v>
      </c>
      <c r="F145" s="23">
        <f>'Annual Raw'!G77</f>
        <v>142.29</v>
      </c>
      <c r="G145" s="23">
        <f>'Annual Raw'!H77</f>
        <v>155.80000000000001</v>
      </c>
      <c r="H145" s="23">
        <f>'Annual Raw'!I77</f>
        <v>170.32</v>
      </c>
      <c r="I145" s="23">
        <f>'Annual Raw'!J77</f>
        <v>201.48</v>
      </c>
      <c r="J145" s="23">
        <f>'Annual Raw'!K77</f>
        <v>252.67</v>
      </c>
      <c r="K145" s="23">
        <f>'Annual Raw'!L77</f>
        <v>292.43</v>
      </c>
      <c r="L145" s="23">
        <f>'Annual Raw'!M77</f>
        <v>294.98</v>
      </c>
      <c r="M145" s="23">
        <f>'Annual Raw'!N77</f>
        <v>304.76</v>
      </c>
      <c r="N145" s="23">
        <f>'Annual Raw'!O77</f>
        <v>291.68</v>
      </c>
      <c r="O145" s="23">
        <f>'Annual Raw'!P77</f>
        <v>257.68</v>
      </c>
      <c r="P145" s="23">
        <f>'Annual Raw'!Q77</f>
        <v>199.95</v>
      </c>
      <c r="Q145" s="23">
        <f>'Annual Raw'!R77</f>
        <v>290.88</v>
      </c>
      <c r="R145" s="23">
        <f>'Annual Raw'!S77</f>
        <v>226.91</v>
      </c>
      <c r="S145" s="23">
        <f>'Annual Raw'!T77</f>
        <v>157.88</v>
      </c>
      <c r="T145" s="23">
        <f>'Annual Raw'!U77</f>
        <v>89.32</v>
      </c>
      <c r="U145" s="23">
        <f>'Annual Raw'!V77</f>
        <v>121.72</v>
      </c>
      <c r="V145" s="23">
        <f>'Annual Raw'!W77</f>
        <v>78.22</v>
      </c>
      <c r="W145" s="23">
        <f>'Annual Raw'!X77</f>
        <v>121.24</v>
      </c>
      <c r="X145" s="23">
        <f>'Annual Raw'!Y77</f>
        <v>109.69</v>
      </c>
      <c r="Y145" s="23">
        <f>'Annual Raw'!Z77</f>
        <v>155.88999999999999</v>
      </c>
      <c r="Z145" s="23">
        <f>'Annual Raw'!AA77</f>
        <v>144.66</v>
      </c>
      <c r="AA145" s="23">
        <f>'Annual Raw'!AB77</f>
        <v>95.48</v>
      </c>
      <c r="AB145" s="24">
        <f t="shared" si="1210"/>
        <v>86.990889400013302</v>
      </c>
      <c r="AC145" s="24">
        <f t="shared" si="1211"/>
        <v>78.651645767725071</v>
      </c>
      <c r="AD145" s="24">
        <f t="shared" si="1212"/>
        <v>71.047703886304035</v>
      </c>
      <c r="AE145" s="24">
        <f t="shared" si="1213"/>
        <v>64.174854561609365</v>
      </c>
      <c r="AJ145" s="23">
        <f>+'QTR Raw'!D82</f>
        <v>317.92</v>
      </c>
      <c r="AK145" s="23">
        <f>+AK180*AK10/90</f>
        <v>321.84103146336543</v>
      </c>
      <c r="AL145" s="23">
        <f>+'QTR Raw'!F82</f>
        <v>291.68</v>
      </c>
      <c r="AM145" s="23">
        <f>+AM180*AM10/90</f>
        <v>294.48465655690785</v>
      </c>
      <c r="AN145" s="23">
        <f>+'QTR Raw'!H82</f>
        <v>301.16000000000003</v>
      </c>
      <c r="AO145" s="23">
        <f>+AO180*AO10/90</f>
        <v>303.10170642824477</v>
      </c>
      <c r="AP145" s="23">
        <f>+'QTR Raw'!J82</f>
        <v>257.68</v>
      </c>
      <c r="AQ145" s="23">
        <f>+AQ180*AQ10/90</f>
        <v>265.89567717293056</v>
      </c>
      <c r="AR145" s="23">
        <f>+'QTR Raw'!L82</f>
        <v>242.72</v>
      </c>
      <c r="AS145" s="23">
        <f>+AS180*AS10/90</f>
        <v>255.96607819059321</v>
      </c>
      <c r="AT145" s="23">
        <f>+'QTR Raw'!N82</f>
        <v>199.95</v>
      </c>
      <c r="AU145" s="23">
        <f>+AU180*AU10/90</f>
        <v>201.20699091201544</v>
      </c>
      <c r="AV145" s="23">
        <f>+'QTR Raw'!P82</f>
        <v>266.26</v>
      </c>
      <c r="AW145" s="23">
        <f>+AW180*AW10/90</f>
        <v>264.56253187613845</v>
      </c>
      <c r="AX145" s="23">
        <f>+'QTR Raw'!R82</f>
        <v>290.88</v>
      </c>
      <c r="AY145" s="23">
        <f>+AY180*AY10/90</f>
        <v>291.7016276404126</v>
      </c>
      <c r="AZ145" s="23">
        <f>+'QTR Raw'!T82</f>
        <v>268.58</v>
      </c>
      <c r="BA145" s="23">
        <f>+BA180*BA10/90</f>
        <v>242.58522691881424</v>
      </c>
      <c r="BB145" s="23">
        <f>+'QTR Raw'!V82</f>
        <v>226.91</v>
      </c>
      <c r="BC145" s="23">
        <f>+BC180*BC10/90</f>
        <v>210.38615308534358</v>
      </c>
      <c r="BD145" s="23">
        <f>+'QTR Raw'!X82</f>
        <v>270.14999999999998</v>
      </c>
      <c r="BE145" s="23">
        <f>+BE180*BE10/90</f>
        <v>219.33042963595432</v>
      </c>
      <c r="BF145" s="23">
        <f>+'QTR Raw'!Z82</f>
        <v>157.88</v>
      </c>
      <c r="BG145" s="23">
        <f>+BG180*BG10/90</f>
        <v>138.32905270879175</v>
      </c>
      <c r="BH145" s="23">
        <f>+'QTR Raw'!AB82</f>
        <v>161.66999999999999</v>
      </c>
      <c r="BI145" s="23">
        <f>+BI180*BI10/90</f>
        <v>153.42675894854585</v>
      </c>
      <c r="BJ145" s="23">
        <f>+'QTR Raw'!AD82</f>
        <v>89.32</v>
      </c>
      <c r="BK145" s="23">
        <f>+BK180*BK10/90</f>
        <v>83.08277545327752</v>
      </c>
      <c r="BL145" s="23">
        <f>+'QTR Raw'!AF82</f>
        <v>159.88</v>
      </c>
      <c r="BM145" s="23">
        <f>+BM180*BM10/90</f>
        <v>150.83777621601624</v>
      </c>
      <c r="BN145" s="23">
        <f>+'QTR Raw'!AH82</f>
        <v>121.72</v>
      </c>
      <c r="BO145" s="23">
        <f>+BO180*BO10/90</f>
        <v>114.39460754017306</v>
      </c>
      <c r="BP145" s="23">
        <f>+'QTR Raw'!AJ82</f>
        <v>84.25</v>
      </c>
      <c r="BQ145" s="23">
        <f>+BQ180*BQ10/90</f>
        <v>91.389552326034448</v>
      </c>
      <c r="BR145" s="23">
        <f>+'QTR Raw'!AL82</f>
        <v>78.22</v>
      </c>
      <c r="BS145" s="23">
        <f>+BS180*BS10/90</f>
        <v>79.027881186625947</v>
      </c>
      <c r="BT145" s="23">
        <f>+'QTR Raw'!AN82</f>
        <v>69.87</v>
      </c>
      <c r="BU145" s="23">
        <f>+BU180*BU10/90</f>
        <v>73.886413662239107</v>
      </c>
      <c r="BV145" s="23">
        <f>+'QTR Raw'!AP82</f>
        <v>121.24</v>
      </c>
      <c r="BW145" s="23">
        <f>+BW180*BW10/90</f>
        <v>118.4398973531784</v>
      </c>
      <c r="BX145" s="23">
        <f>+'QTR Raw'!AR82</f>
        <v>49.16</v>
      </c>
      <c r="BY145" s="23">
        <f>+BY180*BY10/90</f>
        <v>49.91069653533097</v>
      </c>
      <c r="BZ145" s="23">
        <f>+'QTR Raw'!AT82</f>
        <v>109.69</v>
      </c>
      <c r="CA145" s="23">
        <f>+CA180*CA10/90</f>
        <v>111.79663691857351</v>
      </c>
      <c r="CB145" s="23">
        <f>+'QTR Raw'!AV82</f>
        <v>128.63999999999999</v>
      </c>
      <c r="CC145" s="23">
        <f>+CC180*CC10/90</f>
        <v>132.77072449619968</v>
      </c>
      <c r="CD145" s="23">
        <f>+'QTR Raw'!AX82</f>
        <v>155.88999999999999</v>
      </c>
      <c r="CE145" s="23">
        <f>+CE180*CE10/90</f>
        <v>155.99126171548761</v>
      </c>
      <c r="CF145" s="23">
        <f>+'QTR Raw'!AZ82</f>
        <v>194.99</v>
      </c>
      <c r="CG145" s="23">
        <f>+CG180*CG10/90</f>
        <v>188.89904599708882</v>
      </c>
      <c r="CH145" s="23">
        <f t="shared" si="1192"/>
        <v>144.66</v>
      </c>
      <c r="CI145" s="23">
        <f>+CI180*CI10/90</f>
        <v>133.38827975476045</v>
      </c>
      <c r="CJ145" s="23">
        <f>+'QTR Raw'!BD82</f>
        <v>125.26</v>
      </c>
      <c r="CK145" s="24">
        <f t="shared" ref="CK145:DB145" si="1216">+CK180*CK10/90</f>
        <v>128.84098346905253</v>
      </c>
      <c r="CL145" s="23">
        <f>+'QTR Raw'!BF82</f>
        <v>95.48</v>
      </c>
      <c r="CM145" s="24">
        <f t="shared" si="1216"/>
        <v>81.611225509843422</v>
      </c>
      <c r="CN145" s="24">
        <f t="shared" si="1216"/>
        <v>82.382678921008164</v>
      </c>
      <c r="CO145" s="24">
        <f t="shared" si="1216"/>
        <v>86.121759359308072</v>
      </c>
      <c r="CP145" s="24">
        <f t="shared" si="1216"/>
        <v>86.990889400013302</v>
      </c>
      <c r="CQ145" s="24">
        <f t="shared" si="1216"/>
        <v>73.383708494053678</v>
      </c>
      <c r="CR145" s="24">
        <f t="shared" si="1216"/>
        <v>74.293444382331145</v>
      </c>
      <c r="CS145" s="24">
        <f t="shared" si="1216"/>
        <v>77.893745305937273</v>
      </c>
      <c r="CT145" s="24">
        <f t="shared" si="1216"/>
        <v>78.651645767725071</v>
      </c>
      <c r="CU145" s="24">
        <f t="shared" si="1216"/>
        <v>66.221325739764893</v>
      </c>
      <c r="CV145" s="24">
        <f t="shared" si="1216"/>
        <v>67.101922491466041</v>
      </c>
      <c r="CW145" s="24">
        <f t="shared" si="1216"/>
        <v>70.380827046779487</v>
      </c>
      <c r="CX145" s="24">
        <f t="shared" si="1216"/>
        <v>71.047703886304035</v>
      </c>
      <c r="CY145" s="24">
        <f t="shared" si="1216"/>
        <v>59.805633548743948</v>
      </c>
      <c r="CZ145" s="24">
        <f t="shared" si="1216"/>
        <v>60.612981425743826</v>
      </c>
      <c r="DA145" s="24">
        <f t="shared" si="1216"/>
        <v>63.576498049655079</v>
      </c>
      <c r="DB145" s="24">
        <f t="shared" si="1216"/>
        <v>64.174854561609365</v>
      </c>
      <c r="DE145" s="123"/>
      <c r="DF145" s="23">
        <v>95.48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8.0299999999999994</v>
      </c>
      <c r="D146" s="23">
        <f>'Annual Raw'!E79</f>
        <v>10.41</v>
      </c>
      <c r="E146" s="23">
        <f>'Annual Raw'!F79</f>
        <v>40.22</v>
      </c>
      <c r="F146" s="23">
        <f>'Annual Raw'!G79</f>
        <v>48.89</v>
      </c>
      <c r="G146" s="23">
        <f>'Annual Raw'!H79</f>
        <v>51.86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121.36</v>
      </c>
      <c r="N146" s="23">
        <f>'Annual Raw'!O79</f>
        <v>34.770000000000003</v>
      </c>
      <c r="O146" s="23">
        <f>'Annual Raw'!P79</f>
        <v>38.22</v>
      </c>
      <c r="P146" s="23">
        <f>'Annual Raw'!Q79</f>
        <v>59.98</v>
      </c>
      <c r="Q146" s="23">
        <f>'Annual Raw'!R79</f>
        <v>25.27</v>
      </c>
      <c r="R146" s="23">
        <f>'Annual Raw'!S79</f>
        <v>20.55</v>
      </c>
      <c r="S146" s="23">
        <f>'Annual Raw'!T79</f>
        <v>12.35</v>
      </c>
      <c r="T146" s="23">
        <f>'Annual Raw'!U79</f>
        <v>11.86</v>
      </c>
      <c r="U146" s="23">
        <f>'Annual Raw'!V79</f>
        <v>21.45</v>
      </c>
      <c r="V146" s="23">
        <f>'Annual Raw'!W79</f>
        <v>19.84</v>
      </c>
      <c r="W146" s="23">
        <f>'Annual Raw'!X79</f>
        <v>18.87</v>
      </c>
      <c r="X146" s="23">
        <f>'Annual Raw'!Y79</f>
        <v>27.92</v>
      </c>
      <c r="Y146" s="23">
        <f>'Annual Raw'!Z79</f>
        <v>39.81</v>
      </c>
      <c r="Z146" s="23">
        <f>'Annual Raw'!AA79</f>
        <v>38.909999999999997</v>
      </c>
      <c r="AA146" s="23">
        <f>'Annual Raw'!AB79</f>
        <v>26.08</v>
      </c>
      <c r="AB146" s="24">
        <f t="shared" si="1210"/>
        <v>436.06597700706294</v>
      </c>
      <c r="AC146" s="24">
        <f t="shared" si="1211"/>
        <v>394.26320378454727</v>
      </c>
      <c r="AD146" s="24">
        <f t="shared" si="1212"/>
        <v>356.14633466760404</v>
      </c>
      <c r="AE146" s="24">
        <f t="shared" si="1213"/>
        <v>321.6942699023615</v>
      </c>
      <c r="AJ146" s="23">
        <f>+'QTR Raw'!D84</f>
        <v>193.68</v>
      </c>
      <c r="AK146" s="23">
        <f t="shared" si="1214"/>
        <v>193.68</v>
      </c>
      <c r="AL146" s="23">
        <f>+'QTR Raw'!F84</f>
        <v>97.75</v>
      </c>
      <c r="AM146" s="23">
        <f t="shared" si="1214"/>
        <v>97.75</v>
      </c>
      <c r="AN146" s="23">
        <f>+'QTR Raw'!H84</f>
        <v>88.85</v>
      </c>
      <c r="AO146" s="23">
        <f t="shared" si="1214"/>
        <v>88.85</v>
      </c>
      <c r="AP146" s="23">
        <f>+'QTR Raw'!J84</f>
        <v>63.73</v>
      </c>
      <c r="AQ146" s="23">
        <f t="shared" si="1214"/>
        <v>63.73</v>
      </c>
      <c r="AR146" s="23">
        <f>+'QTR Raw'!L84</f>
        <v>83.17</v>
      </c>
      <c r="AS146" s="23">
        <f t="shared" si="1214"/>
        <v>83.17</v>
      </c>
      <c r="AT146" s="23">
        <f>+'QTR Raw'!N84</f>
        <v>122.29</v>
      </c>
      <c r="AU146" s="23">
        <f t="shared" si="1214"/>
        <v>122.29</v>
      </c>
      <c r="AV146" s="23">
        <f>+'QTR Raw'!P84</f>
        <v>124.92</v>
      </c>
      <c r="AW146" s="23">
        <f t="shared" si="1214"/>
        <v>124.92</v>
      </c>
      <c r="AX146" s="23">
        <f>+'QTR Raw'!R84</f>
        <v>92.7</v>
      </c>
      <c r="AY146" s="23">
        <f t="shared" si="1214"/>
        <v>92.7</v>
      </c>
      <c r="AZ146" s="23">
        <f>+'QTR Raw'!T84</f>
        <v>110.97</v>
      </c>
      <c r="BA146" s="23">
        <f t="shared" si="1214"/>
        <v>110.97</v>
      </c>
      <c r="BB146" s="23">
        <f>+'QTR Raw'!V84</f>
        <v>292.24</v>
      </c>
      <c r="BC146" s="23">
        <f t="shared" si="1214"/>
        <v>292.24</v>
      </c>
      <c r="BD146" s="23">
        <f>+'QTR Raw'!X84</f>
        <v>334.673</v>
      </c>
      <c r="BE146" s="23">
        <f t="shared" si="1214"/>
        <v>334.673</v>
      </c>
      <c r="BF146" s="23">
        <f>+'QTR Raw'!Z84</f>
        <v>1293.48</v>
      </c>
      <c r="BG146" s="23">
        <f t="shared" si="1214"/>
        <v>1293.48</v>
      </c>
      <c r="BH146" s="23">
        <f>+'QTR Raw'!AB84</f>
        <v>1291.08</v>
      </c>
      <c r="BI146" s="23">
        <f t="shared" si="1214"/>
        <v>1291.08</v>
      </c>
      <c r="BJ146" s="23">
        <f>+'QTR Raw'!AD84</f>
        <v>2571.83</v>
      </c>
      <c r="BK146" s="23">
        <f t="shared" si="1214"/>
        <v>2571.83</v>
      </c>
      <c r="BL146" s="23">
        <f>+'QTR Raw'!AF84</f>
        <v>215.41</v>
      </c>
      <c r="BM146" s="23">
        <f t="shared" si="1214"/>
        <v>215.41</v>
      </c>
      <c r="BN146" s="23">
        <f>+'QTR Raw'!AH84</f>
        <v>389.37</v>
      </c>
      <c r="BO146" s="23">
        <f t="shared" si="1214"/>
        <v>389.37</v>
      </c>
      <c r="BP146" s="23">
        <f>+'QTR Raw'!AJ84</f>
        <v>242.81</v>
      </c>
      <c r="BQ146" s="23">
        <f t="shared" si="1214"/>
        <v>242.81</v>
      </c>
      <c r="BR146" s="23">
        <f>+'QTR Raw'!AL84</f>
        <v>296.25</v>
      </c>
      <c r="BS146" s="23">
        <f t="shared" si="1214"/>
        <v>296.25</v>
      </c>
      <c r="BT146" s="23">
        <f>+'QTR Raw'!AN84</f>
        <v>273.64</v>
      </c>
      <c r="BU146" s="23">
        <f t="shared" si="1214"/>
        <v>273.64</v>
      </c>
      <c r="BV146" s="23">
        <f>+'QTR Raw'!AP84</f>
        <v>139.51</v>
      </c>
      <c r="BW146" s="23">
        <f t="shared" si="1214"/>
        <v>139.51</v>
      </c>
      <c r="BX146" s="23">
        <f>+'QTR Raw'!AR84</f>
        <v>157.83000000000001</v>
      </c>
      <c r="BY146" s="23">
        <f t="shared" si="1214"/>
        <v>157.83000000000001</v>
      </c>
      <c r="BZ146" s="23">
        <f>+'QTR Raw'!AT84</f>
        <v>81.11</v>
      </c>
      <c r="CA146" s="23">
        <f t="shared" si="1214"/>
        <v>81.11</v>
      </c>
      <c r="CB146" s="23">
        <f>+'QTR Raw'!AV84</f>
        <v>45.65</v>
      </c>
      <c r="CC146" s="23">
        <f t="shared" si="1214"/>
        <v>45.65</v>
      </c>
      <c r="CD146" s="23">
        <f>+'QTR Raw'!AX84</f>
        <v>67.760000000000005</v>
      </c>
      <c r="CE146" s="23">
        <f t="shared" si="1214"/>
        <v>67.760000000000005</v>
      </c>
      <c r="CF146" s="23">
        <f>+'QTR Raw'!AZ84</f>
        <v>56.79</v>
      </c>
      <c r="CG146" s="23">
        <f t="shared" ref="CG146:CG147" si="1217">+CF146</f>
        <v>56.79</v>
      </c>
      <c r="CH146" s="23">
        <f t="shared" si="1192"/>
        <v>38.909999999999997</v>
      </c>
      <c r="CI146" s="23">
        <f>CI10/90*CI181</f>
        <v>208.15985175333307</v>
      </c>
      <c r="CJ146" s="23">
        <f>+'QTR Raw'!BD84</f>
        <v>54.83</v>
      </c>
      <c r="CK146" s="24">
        <f t="shared" ref="CK146:DB146" si="1218">CK10/90*CK181</f>
        <v>328.14027260336212</v>
      </c>
      <c r="CL146" s="23">
        <f>+'QTR Raw'!BF84</f>
        <v>50.09</v>
      </c>
      <c r="CM146" s="24">
        <f t="shared" si="1218"/>
        <v>409.09891865858043</v>
      </c>
      <c r="CN146" s="24">
        <f t="shared" si="1218"/>
        <v>412.96604299510813</v>
      </c>
      <c r="CO146" s="24">
        <f t="shared" si="1218"/>
        <v>431.70922145529983</v>
      </c>
      <c r="CP146" s="24">
        <f t="shared" si="1218"/>
        <v>436.06597700706294</v>
      </c>
      <c r="CQ146" s="24">
        <f t="shared" si="1218"/>
        <v>367.85620611043117</v>
      </c>
      <c r="CR146" s="24">
        <f t="shared" si="1218"/>
        <v>372.41650974310153</v>
      </c>
      <c r="CS146" s="24">
        <f t="shared" si="1218"/>
        <v>390.46401736832524</v>
      </c>
      <c r="CT146" s="24">
        <f t="shared" si="1218"/>
        <v>394.26320378454727</v>
      </c>
      <c r="CU146" s="24">
        <f t="shared" si="1218"/>
        <v>331.95277467078205</v>
      </c>
      <c r="CV146" s="24">
        <f t="shared" si="1218"/>
        <v>336.36701029394084</v>
      </c>
      <c r="CW146" s="24">
        <f t="shared" si="1218"/>
        <v>352.80342942113106</v>
      </c>
      <c r="CX146" s="24">
        <f t="shared" si="1218"/>
        <v>356.14633466760404</v>
      </c>
      <c r="CY146" s="24">
        <f t="shared" si="1218"/>
        <v>299.79233691977197</v>
      </c>
      <c r="CZ146" s="24">
        <f t="shared" si="1218"/>
        <v>303.83939222862909</v>
      </c>
      <c r="DA146" s="24">
        <f t="shared" si="1218"/>
        <v>318.69484181531118</v>
      </c>
      <c r="DB146" s="24">
        <f t="shared" si="1218"/>
        <v>321.6942699023615</v>
      </c>
      <c r="DE146" s="123"/>
      <c r="DF146" s="23">
        <v>50.09</v>
      </c>
    </row>
    <row r="147" spans="1:110" s="23" customFormat="1" outlineLevel="1" x14ac:dyDescent="0.2">
      <c r="A147" s="23" t="s">
        <v>64</v>
      </c>
      <c r="B147" s="23">
        <f>'Annual Raw'!C80</f>
        <v>293.15390000000002</v>
      </c>
      <c r="C147" s="23">
        <f>'Annual Raw'!D80</f>
        <v>45.54</v>
      </c>
      <c r="D147" s="23">
        <f>'Annual Raw'!E80</f>
        <v>20.079999999999998</v>
      </c>
      <c r="E147" s="23">
        <f>'Annual Raw'!F80</f>
        <v>48.14</v>
      </c>
      <c r="F147" s="23">
        <f>'Annual Raw'!G80</f>
        <v>93.4</v>
      </c>
      <c r="G147" s="23">
        <f>'Annual Raw'!H80</f>
        <v>94.73</v>
      </c>
      <c r="H147" s="23">
        <f>'Annual Raw'!I80</f>
        <v>171.37</v>
      </c>
      <c r="I147" s="23">
        <f>'Annual Raw'!J80</f>
        <v>216.99</v>
      </c>
      <c r="J147" s="23">
        <f>'Annual Raw'!K80</f>
        <v>308.75</v>
      </c>
      <c r="K147" s="23">
        <f>'Annual Raw'!L80</f>
        <v>331.14</v>
      </c>
      <c r="L147" s="23">
        <f>'Annual Raw'!M80</f>
        <v>517.46</v>
      </c>
      <c r="M147" s="23">
        <f>'Annual Raw'!N80</f>
        <v>272.33</v>
      </c>
      <c r="N147" s="23">
        <f>'Annual Raw'!O80</f>
        <v>323.58999999999997</v>
      </c>
      <c r="O147" s="23">
        <f>'Annual Raw'!P80</f>
        <v>156.71</v>
      </c>
      <c r="P147" s="23">
        <f>'Annual Raw'!Q80</f>
        <v>165.02</v>
      </c>
      <c r="Q147" s="23">
        <f>'Annual Raw'!R80</f>
        <v>67.430000000000007</v>
      </c>
      <c r="R147" s="23">
        <f>'Annual Raw'!S80</f>
        <v>286.19</v>
      </c>
      <c r="S147" s="23">
        <f>'Annual Raw'!T80</f>
        <v>216.13</v>
      </c>
      <c r="T147" s="23">
        <f>'Annual Raw'!U80</f>
        <v>225.89</v>
      </c>
      <c r="U147" s="23">
        <f>'Annual Raw'!V80</f>
        <v>367.92</v>
      </c>
      <c r="V147" s="23">
        <f>'Annual Raw'!W80</f>
        <v>276.41000000000003</v>
      </c>
      <c r="W147" s="23">
        <f>'Annual Raw'!X80</f>
        <v>120.64</v>
      </c>
      <c r="X147" s="23">
        <f>'Annual Raw'!Y80</f>
        <v>53.19</v>
      </c>
      <c r="Y147" s="23">
        <f>'Annual Raw'!Z80</f>
        <v>27.95</v>
      </c>
      <c r="Z147" s="23">
        <f>'Annual Raw'!AA80</f>
        <v>10.48</v>
      </c>
      <c r="AA147" s="23">
        <f>'Annual Raw'!AB80</f>
        <v>24.01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262.52</v>
      </c>
      <c r="AK147" s="23">
        <f t="shared" si="1214"/>
        <v>262.52</v>
      </c>
      <c r="AL147" s="23">
        <f>+'QTR Raw'!F85</f>
        <v>260.61</v>
      </c>
      <c r="AM147" s="23">
        <f t="shared" si="1214"/>
        <v>260.61</v>
      </c>
      <c r="AN147" s="23">
        <f>+'QTR Raw'!H85</f>
        <v>162.21</v>
      </c>
      <c r="AO147" s="23">
        <f t="shared" si="1214"/>
        <v>162.21</v>
      </c>
      <c r="AP147" s="23">
        <f>+'QTR Raw'!J85</f>
        <v>131.19999999999999</v>
      </c>
      <c r="AQ147" s="23">
        <f t="shared" si="1214"/>
        <v>131.19999999999999</v>
      </c>
      <c r="AR147" s="23">
        <f>+'QTR Raw'!L85</f>
        <v>108.89</v>
      </c>
      <c r="AS147" s="23">
        <f t="shared" si="1214"/>
        <v>108.89</v>
      </c>
      <c r="AT147" s="23">
        <f>+'QTR Raw'!N85</f>
        <v>102.71</v>
      </c>
      <c r="AU147" s="23">
        <f t="shared" si="1214"/>
        <v>102.71</v>
      </c>
      <c r="AV147" s="23">
        <f>+'QTR Raw'!P85</f>
        <v>84.04</v>
      </c>
      <c r="AW147" s="23">
        <f t="shared" si="1214"/>
        <v>84.04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14.5</v>
      </c>
      <c r="BC147" s="23">
        <f t="shared" si="1214"/>
        <v>14.5</v>
      </c>
      <c r="BD147" s="23">
        <f>+'QTR Raw'!X85</f>
        <v>19.29</v>
      </c>
      <c r="BE147" s="23">
        <f t="shared" si="1214"/>
        <v>19.29</v>
      </c>
      <c r="BF147" s="23">
        <f>+'QTR Raw'!Z85</f>
        <v>16.149999999999999</v>
      </c>
      <c r="BG147" s="23">
        <f t="shared" si="1214"/>
        <v>16.149999999999999</v>
      </c>
      <c r="BH147" s="23">
        <f>+'QTR Raw'!AB85</f>
        <v>10.16</v>
      </c>
      <c r="BI147" s="23">
        <f t="shared" si="1214"/>
        <v>10.16</v>
      </c>
      <c r="BJ147" s="23">
        <f>+'QTR Raw'!AD85</f>
        <v>76.930000000000007</v>
      </c>
      <c r="BK147" s="23">
        <f t="shared" si="1214"/>
        <v>76.930000000000007</v>
      </c>
      <c r="BL147" s="23">
        <f>+'QTR Raw'!AF85</f>
        <v>6.88</v>
      </c>
      <c r="BM147" s="23">
        <f t="shared" si="1214"/>
        <v>6.88</v>
      </c>
      <c r="BN147" s="23">
        <f>+'QTR Raw'!AH85</f>
        <v>0</v>
      </c>
      <c r="BO147" s="23">
        <f t="shared" si="1214"/>
        <v>0</v>
      </c>
      <c r="BP147" s="23">
        <f>+'QTR Raw'!AJ85</f>
        <v>76.92</v>
      </c>
      <c r="BQ147" s="23">
        <f t="shared" si="1214"/>
        <v>76.92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10.48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316.97060000000005</v>
      </c>
      <c r="C148" s="22">
        <f t="shared" ref="C148:V148" si="1219">SUM(C142:C147)</f>
        <v>88.4</v>
      </c>
      <c r="D148" s="22">
        <f t="shared" si="1219"/>
        <v>76.899999999999991</v>
      </c>
      <c r="E148" s="22">
        <f t="shared" si="1219"/>
        <v>309.61</v>
      </c>
      <c r="F148" s="22">
        <f t="shared" si="1219"/>
        <v>284.58000000000004</v>
      </c>
      <c r="G148" s="22">
        <f t="shared" si="1219"/>
        <v>302.39000000000004</v>
      </c>
      <c r="H148" s="22">
        <f t="shared" si="1219"/>
        <v>343.90999999999997</v>
      </c>
      <c r="I148" s="22">
        <f t="shared" si="1219"/>
        <v>420.69</v>
      </c>
      <c r="J148" s="22">
        <f t="shared" si="1219"/>
        <v>563.42999999999995</v>
      </c>
      <c r="K148" s="22">
        <f t="shared" si="1219"/>
        <v>629.97</v>
      </c>
      <c r="L148" s="22">
        <f>SUM(L142:L147)</f>
        <v>816.22</v>
      </c>
      <c r="M148" s="22">
        <f>SUM(M142:M147)</f>
        <v>911.01</v>
      </c>
      <c r="N148" s="22">
        <f t="shared" si="1219"/>
        <v>1158.25</v>
      </c>
      <c r="O148" s="22">
        <f t="shared" si="1219"/>
        <v>1089.23</v>
      </c>
      <c r="P148" s="22">
        <f t="shared" si="1219"/>
        <v>1759.92</v>
      </c>
      <c r="Q148" s="22">
        <f t="shared" si="1219"/>
        <v>1193.3700000000001</v>
      </c>
      <c r="R148" s="22">
        <f t="shared" si="1219"/>
        <v>1225.7999999999997</v>
      </c>
      <c r="S148" s="22">
        <f t="shared" si="1219"/>
        <v>2089.6900000000005</v>
      </c>
      <c r="T148" s="22">
        <f t="shared" si="1219"/>
        <v>3006.4600000000005</v>
      </c>
      <c r="U148" s="22">
        <f t="shared" si="1219"/>
        <v>696.74</v>
      </c>
      <c r="V148" s="22">
        <f t="shared" si="1219"/>
        <v>536.36</v>
      </c>
      <c r="W148" s="22">
        <f t="shared" ref="W148" si="1220">SUM(W142:W147)</f>
        <v>439.75</v>
      </c>
      <c r="X148" s="22">
        <f t="shared" ref="X148:Y148" si="1221">SUM(X142:X147)</f>
        <v>355.23</v>
      </c>
      <c r="Y148" s="22">
        <f t="shared" si="1221"/>
        <v>392.79999999999995</v>
      </c>
      <c r="Z148" s="22">
        <f t="shared" ref="Z148:AA148" si="1222">SUM(Z142:Z147)</f>
        <v>370.40999999999997</v>
      </c>
      <c r="AA148" s="22">
        <f t="shared" si="1222"/>
        <v>335.81</v>
      </c>
      <c r="AB148" s="21">
        <f t="shared" ref="AA148:AD148" si="1223">SUM(AB142:AB147)</f>
        <v>523.0568664070762</v>
      </c>
      <c r="AC148" s="21">
        <f t="shared" si="1223"/>
        <v>472.91484955227236</v>
      </c>
      <c r="AD148" s="21">
        <f t="shared" si="1223"/>
        <v>427.19403855390806</v>
      </c>
      <c r="AE148" s="21">
        <f t="shared" ref="AE148" si="1224">SUM(AE142:AE147)</f>
        <v>385.86912446397088</v>
      </c>
      <c r="AJ148" s="22">
        <f t="shared" ref="AJ148" si="1225">SUM(AJ142:AJ147)</f>
        <v>985.41000000000008</v>
      </c>
      <c r="AK148" s="22">
        <f t="shared" ref="AK148" si="1226">SUM(AK142:AK147)</f>
        <v>989.38579171656534</v>
      </c>
      <c r="AL148" s="22">
        <f t="shared" ref="AL148:AM148" si="1227">SUM(AL142:AL147)</f>
        <v>1158.25</v>
      </c>
      <c r="AM148" s="22">
        <f t="shared" si="1227"/>
        <v>1161.0853300841177</v>
      </c>
      <c r="AN148" s="22">
        <f t="shared" ref="AN148:AO148" si="1228">SUM(AN142:AN147)</f>
        <v>1086.3900000000001</v>
      </c>
      <c r="AO148" s="22">
        <f t="shared" si="1228"/>
        <v>1088.3476315672997</v>
      </c>
      <c r="AP148" s="22">
        <f t="shared" ref="AP148:CE148" si="1229">SUM(AP142:AP147)</f>
        <v>1089.23</v>
      </c>
      <c r="AQ148" s="22">
        <f t="shared" si="1229"/>
        <v>1097.5872388255532</v>
      </c>
      <c r="AR148" s="22">
        <f t="shared" si="1229"/>
        <v>1115.94</v>
      </c>
      <c r="AS148" s="22">
        <f t="shared" si="1229"/>
        <v>1129.5304369306339</v>
      </c>
      <c r="AT148" s="22">
        <f t="shared" si="1229"/>
        <v>1759.92</v>
      </c>
      <c r="AU148" s="22">
        <f t="shared" si="1229"/>
        <v>1761.2550695673153</v>
      </c>
      <c r="AV148" s="22">
        <f t="shared" si="1229"/>
        <v>1241.7000000000003</v>
      </c>
      <c r="AW148" s="22">
        <f t="shared" si="1229"/>
        <v>1239.9837887067397</v>
      </c>
      <c r="AX148" s="22">
        <f t="shared" si="1229"/>
        <v>3193.8399999999997</v>
      </c>
      <c r="AY148" s="22">
        <f t="shared" si="1229"/>
        <v>3194.6748468970031</v>
      </c>
      <c r="AZ148" s="22">
        <f t="shared" si="1229"/>
        <v>1193.54</v>
      </c>
      <c r="BA148" s="22">
        <f t="shared" si="1229"/>
        <v>1167.3381049648574</v>
      </c>
      <c r="BB148" s="22">
        <f t="shared" si="1229"/>
        <v>3702.46</v>
      </c>
      <c r="BC148" s="22">
        <f t="shared" si="1229"/>
        <v>3685.7875979414284</v>
      </c>
      <c r="BD148" s="22">
        <f t="shared" si="1229"/>
        <v>1220.5329999999999</v>
      </c>
      <c r="BE148" s="22">
        <f t="shared" si="1229"/>
        <v>1169.5591744158967</v>
      </c>
      <c r="BF148" s="22">
        <f t="shared" si="1229"/>
        <v>2089.69</v>
      </c>
      <c r="BG148" s="22">
        <f t="shared" si="1229"/>
        <v>2070.122954259667</v>
      </c>
      <c r="BH148" s="22">
        <f t="shared" si="1229"/>
        <v>2110.6099999999997</v>
      </c>
      <c r="BI148" s="22">
        <f t="shared" si="1229"/>
        <v>2102.3667589485458</v>
      </c>
      <c r="BJ148" s="22">
        <f t="shared" si="1229"/>
        <v>3006.4599999999996</v>
      </c>
      <c r="BK148" s="22">
        <f t="shared" si="1229"/>
        <v>3000.2227754532773</v>
      </c>
      <c r="BL148" s="22">
        <f t="shared" si="1229"/>
        <v>761.14999999999986</v>
      </c>
      <c r="BM148" s="22">
        <f t="shared" si="1229"/>
        <v>752.10777621601619</v>
      </c>
      <c r="BN148" s="22">
        <f t="shared" si="1229"/>
        <v>910.18</v>
      </c>
      <c r="BO148" s="22">
        <f t="shared" si="1229"/>
        <v>902.85460754017299</v>
      </c>
      <c r="BP148" s="22">
        <f t="shared" si="1229"/>
        <v>764.2299999999999</v>
      </c>
      <c r="BQ148" s="22">
        <f t="shared" si="1229"/>
        <v>771.36955232603441</v>
      </c>
      <c r="BR148" s="22">
        <f t="shared" si="1229"/>
        <v>687.57</v>
      </c>
      <c r="BS148" s="22">
        <f t="shared" si="1229"/>
        <v>688.37788118662593</v>
      </c>
      <c r="BT148" s="22">
        <f t="shared" si="1229"/>
        <v>633.64</v>
      </c>
      <c r="BU148" s="22">
        <f t="shared" si="1229"/>
        <v>637.65641366223906</v>
      </c>
      <c r="BV148" s="22">
        <f t="shared" si="1229"/>
        <v>541.27</v>
      </c>
      <c r="BW148" s="22">
        <f t="shared" si="1229"/>
        <v>538.46989735317834</v>
      </c>
      <c r="BX148" s="22">
        <f t="shared" si="1229"/>
        <v>456.45000000000005</v>
      </c>
      <c r="BY148" s="22">
        <f t="shared" si="1229"/>
        <v>457.20069653533096</v>
      </c>
      <c r="BZ148" s="22">
        <f t="shared" si="1229"/>
        <v>419.70000000000005</v>
      </c>
      <c r="CA148" s="22">
        <f t="shared" si="1229"/>
        <v>421.80663691857353</v>
      </c>
      <c r="CB148" s="22">
        <f t="shared" si="1229"/>
        <v>399.12</v>
      </c>
      <c r="CC148" s="22">
        <f t="shared" si="1229"/>
        <v>403.25072449619967</v>
      </c>
      <c r="CD148" s="22">
        <f t="shared" si="1229"/>
        <v>518.6</v>
      </c>
      <c r="CE148" s="22">
        <f t="shared" si="1229"/>
        <v>518.70126171548759</v>
      </c>
      <c r="CF148" s="22">
        <f t="shared" ref="CF148:CG148" si="1230">SUM(CF142:CF147)</f>
        <v>555.34</v>
      </c>
      <c r="CG148" s="22">
        <f t="shared" si="1230"/>
        <v>549.24904599708884</v>
      </c>
      <c r="CH148" s="22">
        <f t="shared" ref="CH148:CI148" si="1231">SUM(CH142:CH147)</f>
        <v>370.40999999999997</v>
      </c>
      <c r="CI148" s="22">
        <f t="shared" si="1231"/>
        <v>341.54813150809355</v>
      </c>
      <c r="CJ148" s="22">
        <f t="shared" ref="CJ148:DB148" si="1232">SUM(CJ142:CJ147)</f>
        <v>444.28</v>
      </c>
      <c r="CK148" s="21">
        <f t="shared" si="1232"/>
        <v>456.98125607241468</v>
      </c>
      <c r="CL148" s="22">
        <f t="shared" ref="CL148" si="1233">SUM(CL142:CL147)</f>
        <v>574.1</v>
      </c>
      <c r="CM148" s="21">
        <f t="shared" si="1232"/>
        <v>490.71014416842388</v>
      </c>
      <c r="CN148" s="21">
        <f t="shared" si="1232"/>
        <v>495.34872191611629</v>
      </c>
      <c r="CO148" s="21">
        <f t="shared" si="1232"/>
        <v>517.83098081460787</v>
      </c>
      <c r="CP148" s="21">
        <f t="shared" si="1232"/>
        <v>523.0568664070762</v>
      </c>
      <c r="CQ148" s="21">
        <f t="shared" si="1232"/>
        <v>441.23991460448485</v>
      </c>
      <c r="CR148" s="21">
        <f t="shared" si="1232"/>
        <v>446.70995412543266</v>
      </c>
      <c r="CS148" s="21">
        <f t="shared" si="1232"/>
        <v>468.35776267426252</v>
      </c>
      <c r="CT148" s="21">
        <f t="shared" si="1232"/>
        <v>472.91484955227236</v>
      </c>
      <c r="CU148" s="21">
        <f t="shared" si="1232"/>
        <v>398.17410041054694</v>
      </c>
      <c r="CV148" s="21">
        <f t="shared" si="1232"/>
        <v>403.46893278540688</v>
      </c>
      <c r="CW148" s="21">
        <f t="shared" si="1232"/>
        <v>423.18425646791053</v>
      </c>
      <c r="CX148" s="21">
        <f t="shared" si="1232"/>
        <v>427.19403855390806</v>
      </c>
      <c r="CY148" s="21">
        <f t="shared" si="1232"/>
        <v>359.59797046851594</v>
      </c>
      <c r="CZ148" s="21">
        <f t="shared" si="1232"/>
        <v>364.45237365437293</v>
      </c>
      <c r="DA148" s="21">
        <f t="shared" si="1232"/>
        <v>382.27133986496625</v>
      </c>
      <c r="DB148" s="21">
        <f t="shared" si="1232"/>
        <v>385.86912446397088</v>
      </c>
      <c r="DE148" s="126"/>
      <c r="DF148" s="22">
        <v>574.1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235.65</v>
      </c>
      <c r="N149" s="23">
        <f>'Annual Raw'!O50+'Annual Raw'!O58</f>
        <v>66.86</v>
      </c>
      <c r="O149" s="23">
        <f>'Annual Raw'!P50+'Annual Raw'!P58</f>
        <v>22.63</v>
      </c>
      <c r="P149" s="23">
        <f>'Annual Raw'!Q50+'Annual Raw'!Q58</f>
        <v>11.77</v>
      </c>
      <c r="Q149" s="23">
        <f>'Annual Raw'!R50+'Annual Raw'!R58</f>
        <v>280.82</v>
      </c>
      <c r="R149" s="23">
        <f>'Annual Raw'!S50+'Annual Raw'!S58</f>
        <v>0</v>
      </c>
      <c r="S149" s="23">
        <f>'Annual Raw'!T50+'Annual Raw'!T58</f>
        <v>1322.85</v>
      </c>
      <c r="T149" s="23">
        <f>'Annual Raw'!U50+'Annual Raw'!U58</f>
        <v>2209.1999999999998</v>
      </c>
      <c r="U149" s="23">
        <f>'Annual Raw'!V50+'Annual Raw'!V58</f>
        <v>172.97</v>
      </c>
      <c r="V149" s="23">
        <f>'Annual Raw'!W50+'Annual Raw'!W58</f>
        <v>119.23</v>
      </c>
      <c r="W149" s="23">
        <f>'Annual Raw'!X50+'Annual Raw'!X58</f>
        <v>62.34</v>
      </c>
      <c r="X149" s="23">
        <f>'Annual Raw'!Y50+'Annual Raw'!Y58</f>
        <v>15.54</v>
      </c>
      <c r="Y149" s="23">
        <f>'Annual Raw'!Z50+'Annual Raw'!Z58</f>
        <v>65.59</v>
      </c>
      <c r="Z149" s="23">
        <f>'Annual Raw'!AA50+'Annual Raw'!AA58</f>
        <v>51.21</v>
      </c>
      <c r="AA149" s="23">
        <f>'Annual Raw'!AB50+'Annual Raw'!AB58</f>
        <v>215.31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180.88</v>
      </c>
      <c r="AK149" s="23">
        <f t="shared" ref="AK149:CE155" si="1238">+AJ149</f>
        <v>180.88</v>
      </c>
      <c r="AL149" s="23">
        <f>+'QTR Raw'!F64</f>
        <v>66.86</v>
      </c>
      <c r="AM149" s="23">
        <f t="shared" si="1238"/>
        <v>66.86</v>
      </c>
      <c r="AN149" s="23">
        <f>+'QTR Raw'!H64</f>
        <v>48.42</v>
      </c>
      <c r="AO149" s="23">
        <f t="shared" si="1238"/>
        <v>48.42</v>
      </c>
      <c r="AP149" s="23">
        <f>+'QTR Raw'!J64</f>
        <v>22.63</v>
      </c>
      <c r="AQ149" s="23">
        <f t="shared" si="1238"/>
        <v>22.63</v>
      </c>
      <c r="AR149" s="23">
        <f>+'QTR Raw'!L64</f>
        <v>24.63</v>
      </c>
      <c r="AS149" s="23">
        <f t="shared" si="1238"/>
        <v>24.63</v>
      </c>
      <c r="AT149" s="23">
        <f>+'QTR Raw'!N64</f>
        <v>11.77</v>
      </c>
      <c r="AU149" s="23">
        <f t="shared" si="1238"/>
        <v>11.77</v>
      </c>
      <c r="AV149" s="23">
        <f>+'QTR Raw'!P64</f>
        <v>143.91</v>
      </c>
      <c r="AW149" s="23">
        <f t="shared" si="1238"/>
        <v>143.91</v>
      </c>
      <c r="AX149" s="23">
        <f>+'QTR Raw'!R64</f>
        <v>280.82</v>
      </c>
      <c r="AY149" s="23">
        <f t="shared" si="1238"/>
        <v>280.82</v>
      </c>
      <c r="AZ149" s="23">
        <f>+'QTR Raw'!T64</f>
        <v>444.19</v>
      </c>
      <c r="BA149" s="23">
        <f t="shared" si="1238"/>
        <v>444.19</v>
      </c>
      <c r="BB149" s="23">
        <f>+'QTR Raw'!V64</f>
        <v>0</v>
      </c>
      <c r="BC149" s="23">
        <f t="shared" si="1238"/>
        <v>0</v>
      </c>
      <c r="BD149" s="23">
        <f>+'QTR Raw'!X64</f>
        <v>122.96</v>
      </c>
      <c r="BE149" s="23">
        <f t="shared" si="1238"/>
        <v>122.96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20.49</v>
      </c>
      <c r="BK149" s="23">
        <f t="shared" si="1238"/>
        <v>20.49</v>
      </c>
      <c r="BL149" s="23">
        <f>+'QTR Raw'!AF64</f>
        <v>187.99</v>
      </c>
      <c r="BM149" s="23">
        <f t="shared" si="1238"/>
        <v>187.99</v>
      </c>
      <c r="BN149" s="23">
        <f>+'QTR Raw'!AH64</f>
        <v>172.97</v>
      </c>
      <c r="BO149" s="23">
        <f t="shared" si="1238"/>
        <v>172.97</v>
      </c>
      <c r="BP149" s="23">
        <f>+'QTR Raw'!AJ64</f>
        <v>138.84</v>
      </c>
      <c r="BQ149" s="23">
        <f t="shared" si="1238"/>
        <v>138.84</v>
      </c>
      <c r="BR149" s="23">
        <f>+'QTR Raw'!AL64</f>
        <v>119.23</v>
      </c>
      <c r="BS149" s="23">
        <f t="shared" si="1238"/>
        <v>119.23</v>
      </c>
      <c r="BT149" s="23">
        <f>+'QTR Raw'!AN64</f>
        <v>83.14</v>
      </c>
      <c r="BU149" s="23">
        <f t="shared" si="1238"/>
        <v>83.14</v>
      </c>
      <c r="BV149" s="23">
        <f>+'QTR Raw'!AP64</f>
        <v>62.34</v>
      </c>
      <c r="BW149" s="23">
        <f t="shared" si="1238"/>
        <v>62.34</v>
      </c>
      <c r="BX149" s="23">
        <f>+'QTR Raw'!AR64</f>
        <v>37.72</v>
      </c>
      <c r="BY149" s="23">
        <f t="shared" si="1238"/>
        <v>37.72</v>
      </c>
      <c r="BZ149" s="23">
        <f>+'QTR Raw'!AT64</f>
        <v>15.54</v>
      </c>
      <c r="CA149" s="23">
        <f t="shared" si="1238"/>
        <v>15.54</v>
      </c>
      <c r="CB149" s="23">
        <f>+'QTR Raw'!AV64</f>
        <v>13.72</v>
      </c>
      <c r="CC149" s="23">
        <f t="shared" si="1238"/>
        <v>13.72</v>
      </c>
      <c r="CD149" s="23">
        <f>+'QTR Raw'!AX64</f>
        <v>65.59</v>
      </c>
      <c r="CE149" s="23">
        <f t="shared" si="1238"/>
        <v>65.59</v>
      </c>
      <c r="CF149" s="23">
        <f>+'QTR Raw'!AZ64</f>
        <v>55.83</v>
      </c>
      <c r="CG149" s="23">
        <f t="shared" ref="CG149:CG152" si="1239">+CF149</f>
        <v>55.83</v>
      </c>
      <c r="CH149" s="23">
        <f t="shared" si="1192"/>
        <v>51.21</v>
      </c>
      <c r="CJ149" s="23">
        <f>+'QTR Raw'!BD64</f>
        <v>75.430000000000007</v>
      </c>
      <c r="CK149" s="24"/>
      <c r="CL149" s="23">
        <f>+'QTR Raw'!BF64</f>
        <v>215.31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215.31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4.5199999999999996</v>
      </c>
      <c r="N151" s="23">
        <f>'Annual Raw'!O52</f>
        <v>5.15</v>
      </c>
      <c r="O151" s="23">
        <f>'Annual Raw'!P52</f>
        <v>4.22</v>
      </c>
      <c r="P151" s="23">
        <f>'Annual Raw'!Q52</f>
        <v>4.33</v>
      </c>
      <c r="Q151" s="23">
        <f>'Annual Raw'!R52</f>
        <v>3.26</v>
      </c>
      <c r="R151" s="23">
        <f>'Annual Raw'!S52</f>
        <v>1.58</v>
      </c>
      <c r="S151" s="23">
        <f>'Annual Raw'!T52</f>
        <v>124.21</v>
      </c>
      <c r="T151" s="23">
        <f>'Annual Raw'!U52</f>
        <v>1.86</v>
      </c>
      <c r="U151" s="23">
        <f>'Annual Raw'!V52</f>
        <v>4.57</v>
      </c>
      <c r="V151" s="23">
        <f>'Annual Raw'!W52</f>
        <v>2.75</v>
      </c>
      <c r="W151" s="23">
        <f>'Annual Raw'!X52</f>
        <v>0.46</v>
      </c>
      <c r="X151" s="23">
        <f>'Annual Raw'!Y52</f>
        <v>1.22</v>
      </c>
      <c r="Y151" s="23">
        <f>'Annual Raw'!Z52</f>
        <v>2.97</v>
      </c>
      <c r="Z151" s="23">
        <f>'Annual Raw'!AA52</f>
        <v>0.89</v>
      </c>
      <c r="AA151" s="23">
        <f>'Annual Raw'!AB52</f>
        <v>5.19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5.16</v>
      </c>
      <c r="AK151" s="23">
        <f t="shared" si="1238"/>
        <v>5.16</v>
      </c>
      <c r="AL151" s="23">
        <f>+'QTR Raw'!F66</f>
        <v>5.15</v>
      </c>
      <c r="AM151" s="23">
        <f t="shared" si="1238"/>
        <v>5.15</v>
      </c>
      <c r="AN151" s="23">
        <f>+'QTR Raw'!H66</f>
        <v>4.95</v>
      </c>
      <c r="AO151" s="23">
        <f t="shared" si="1238"/>
        <v>4.95</v>
      </c>
      <c r="AP151" s="23">
        <f>+'QTR Raw'!J66</f>
        <v>4.22</v>
      </c>
      <c r="AQ151" s="23">
        <f t="shared" si="1238"/>
        <v>4.22</v>
      </c>
      <c r="AR151" s="23">
        <f>+'QTR Raw'!L66</f>
        <v>4.49</v>
      </c>
      <c r="AS151" s="23">
        <f t="shared" si="1238"/>
        <v>4.49</v>
      </c>
      <c r="AT151" s="23">
        <f>+'QTR Raw'!N66</f>
        <v>4.33</v>
      </c>
      <c r="AU151" s="23">
        <f t="shared" si="1238"/>
        <v>4.33</v>
      </c>
      <c r="AV151" s="23">
        <f>+'QTR Raw'!P66</f>
        <v>3.98</v>
      </c>
      <c r="AW151" s="23">
        <f t="shared" si="1238"/>
        <v>3.98</v>
      </c>
      <c r="AX151" s="23">
        <f>+'QTR Raw'!R66</f>
        <v>3.26</v>
      </c>
      <c r="AY151" s="23">
        <f t="shared" si="1238"/>
        <v>3.26</v>
      </c>
      <c r="AZ151" s="23">
        <f>+'QTR Raw'!T66</f>
        <v>3.62</v>
      </c>
      <c r="BA151" s="23">
        <f t="shared" si="1238"/>
        <v>3.62</v>
      </c>
      <c r="BB151" s="23">
        <f>+'QTR Raw'!V66</f>
        <v>1.58</v>
      </c>
      <c r="BC151" s="23">
        <f t="shared" si="1238"/>
        <v>1.58</v>
      </c>
      <c r="BD151" s="23">
        <f>+'QTR Raw'!X66</f>
        <v>1.65</v>
      </c>
      <c r="BE151" s="23">
        <f t="shared" si="1238"/>
        <v>1.65</v>
      </c>
      <c r="BF151" s="23">
        <f>+'QTR Raw'!Z66</f>
        <v>124.21</v>
      </c>
      <c r="BG151" s="23">
        <f t="shared" si="1238"/>
        <v>124.21</v>
      </c>
      <c r="BH151" s="23">
        <f>+'QTR Raw'!AB66</f>
        <v>139.55000000000001</v>
      </c>
      <c r="BI151" s="23">
        <f t="shared" si="1238"/>
        <v>139.55000000000001</v>
      </c>
      <c r="BJ151" s="23">
        <f>+'QTR Raw'!AD66</f>
        <v>1.86</v>
      </c>
      <c r="BK151" s="23">
        <f t="shared" si="1238"/>
        <v>1.86</v>
      </c>
      <c r="BL151" s="23">
        <f>+'QTR Raw'!AF66</f>
        <v>1.92</v>
      </c>
      <c r="BM151" s="23">
        <f t="shared" si="1238"/>
        <v>1.92</v>
      </c>
      <c r="BN151" s="23">
        <f>+'QTR Raw'!AH66</f>
        <v>4.57</v>
      </c>
      <c r="BO151" s="23">
        <f t="shared" si="1238"/>
        <v>4.57</v>
      </c>
      <c r="BP151" s="23">
        <f>+'QTR Raw'!AJ66</f>
        <v>0.81</v>
      </c>
      <c r="BQ151" s="23">
        <f t="shared" si="1238"/>
        <v>0.81</v>
      </c>
      <c r="BR151" s="23">
        <f>+'QTR Raw'!AL66</f>
        <v>2.75</v>
      </c>
      <c r="BS151" s="23">
        <f t="shared" si="1238"/>
        <v>2.75</v>
      </c>
      <c r="BT151" s="23">
        <f>+'QTR Raw'!AN66</f>
        <v>3.06</v>
      </c>
      <c r="BU151" s="23">
        <f t="shared" si="1238"/>
        <v>3.06</v>
      </c>
      <c r="BV151" s="23">
        <f>+'QTR Raw'!AP66</f>
        <v>0.46</v>
      </c>
      <c r="BW151" s="23">
        <f t="shared" si="1238"/>
        <v>0.46</v>
      </c>
      <c r="BX151" s="23">
        <f>+'QTR Raw'!AR66</f>
        <v>0.78</v>
      </c>
      <c r="BY151" s="23">
        <f t="shared" si="1238"/>
        <v>0.78</v>
      </c>
      <c r="BZ151" s="23">
        <f>+'QTR Raw'!AT66</f>
        <v>1.22</v>
      </c>
      <c r="CA151" s="23">
        <f t="shared" si="1238"/>
        <v>1.22</v>
      </c>
      <c r="CB151" s="23">
        <f>+'QTR Raw'!AV66</f>
        <v>2.0299999999999998</v>
      </c>
      <c r="CC151" s="23">
        <f t="shared" si="1238"/>
        <v>2.0299999999999998</v>
      </c>
      <c r="CD151" s="23">
        <f>+'QTR Raw'!AX66</f>
        <v>2.97</v>
      </c>
      <c r="CE151" s="23">
        <f t="shared" si="1238"/>
        <v>2.97</v>
      </c>
      <c r="CF151" s="23">
        <f>+'QTR Raw'!AZ66</f>
        <v>3.58</v>
      </c>
      <c r="CG151" s="23">
        <f t="shared" si="1239"/>
        <v>3.58</v>
      </c>
      <c r="CH151" s="23">
        <f t="shared" si="1192"/>
        <v>0.89</v>
      </c>
      <c r="CJ151" s="23">
        <f>+'QTR Raw'!BD66</f>
        <v>0.93</v>
      </c>
      <c r="CK151" s="24"/>
      <c r="CL151" s="23">
        <f>+'QTR Raw'!BF66</f>
        <v>5.19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5.19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384.68960233941789</v>
      </c>
      <c r="AC152" s="24">
        <f t="shared" si="1235"/>
        <v>347.81194378410726</v>
      </c>
      <c r="AD152" s="24">
        <f t="shared" si="1236"/>
        <v>314.18592387844734</v>
      </c>
      <c r="AE152" s="24">
        <f t="shared" si="1237"/>
        <v>283.79292879711272</v>
      </c>
      <c r="AJ152" s="23">
        <f>+'QTR Raw'!D87</f>
        <v>1539.58</v>
      </c>
      <c r="AK152" s="23">
        <f t="shared" si="1238"/>
        <v>1539.58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296.30160249132348</v>
      </c>
      <c r="CJ152" s="23">
        <f>+'QTR Raw'!BD87</f>
        <v>0</v>
      </c>
      <c r="CK152" s="24">
        <f t="shared" ref="CK152:DB152" si="1240">CK10/90*CK184</f>
        <v>278.64459860902394</v>
      </c>
      <c r="CL152" s="23">
        <f>+'QTR Raw'!BF87</f>
        <v>0</v>
      </c>
      <c r="CM152" s="24">
        <f t="shared" si="1240"/>
        <v>360.89974598891069</v>
      </c>
      <c r="CN152" s="24">
        <f t="shared" si="1240"/>
        <v>364.31125388371674</v>
      </c>
      <c r="CO152" s="24">
        <f t="shared" si="1240"/>
        <v>380.84615054755602</v>
      </c>
      <c r="CP152" s="24">
        <f t="shared" si="1240"/>
        <v>384.68960233941789</v>
      </c>
      <c r="CQ152" s="24">
        <f t="shared" si="1240"/>
        <v>324.51616293929919</v>
      </c>
      <c r="CR152" s="24">
        <f t="shared" si="1240"/>
        <v>328.53918120602935</v>
      </c>
      <c r="CS152" s="24">
        <f t="shared" si="1240"/>
        <v>344.46036950697419</v>
      </c>
      <c r="CT152" s="24">
        <f t="shared" si="1240"/>
        <v>347.81194378410726</v>
      </c>
      <c r="CU152" s="24">
        <f t="shared" si="1240"/>
        <v>292.84279814726568</v>
      </c>
      <c r="CV152" s="24">
        <f t="shared" si="1240"/>
        <v>296.73695782961568</v>
      </c>
      <c r="CW152" s="24">
        <f t="shared" si="1240"/>
        <v>311.23687268497798</v>
      </c>
      <c r="CX152" s="24">
        <f t="shared" si="1240"/>
        <v>314.18592387844734</v>
      </c>
      <c r="CY152" s="24">
        <f t="shared" si="1240"/>
        <v>264.47143541355422</v>
      </c>
      <c r="CZ152" s="24">
        <f t="shared" si="1240"/>
        <v>268.04167519262478</v>
      </c>
      <c r="DA152" s="24">
        <f t="shared" si="1240"/>
        <v>281.14688700781176</v>
      </c>
      <c r="DB152" s="24">
        <f t="shared" si="1240"/>
        <v>283.79292879711272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760.84910000000002</v>
      </c>
      <c r="C153" s="23">
        <f>'Annual Raw'!D54</f>
        <v>955.45</v>
      </c>
      <c r="D153" s="23">
        <f>'Annual Raw'!E54</f>
        <v>707.45</v>
      </c>
      <c r="E153" s="23">
        <f>'Annual Raw'!F54</f>
        <v>561.91999999999996</v>
      </c>
      <c r="F153" s="23">
        <f>'Annual Raw'!G54</f>
        <v>758.69</v>
      </c>
      <c r="G153" s="23">
        <f>'Annual Raw'!H54</f>
        <v>877.8</v>
      </c>
      <c r="H153" s="23">
        <f>'Annual Raw'!I54</f>
        <v>975.74</v>
      </c>
      <c r="I153" s="23">
        <f>'Annual Raw'!J54</f>
        <v>844.67</v>
      </c>
      <c r="J153" s="23">
        <f>'Annual Raw'!K54</f>
        <v>872.21</v>
      </c>
      <c r="K153" s="23">
        <f>'Annual Raw'!L54</f>
        <v>1416.3</v>
      </c>
      <c r="L153" s="23">
        <f>'Annual Raw'!M54</f>
        <v>1449.61</v>
      </c>
      <c r="M153" s="23">
        <f>'Annual Raw'!N54</f>
        <v>766.58</v>
      </c>
      <c r="N153" s="23">
        <f>'Annual Raw'!O54</f>
        <v>692.48</v>
      </c>
      <c r="O153" s="23">
        <f>'Annual Raw'!P54</f>
        <v>711.53</v>
      </c>
      <c r="P153" s="23">
        <f>'Annual Raw'!Q54</f>
        <v>704.23</v>
      </c>
      <c r="Q153" s="23">
        <f>'Annual Raw'!R54</f>
        <v>608.11</v>
      </c>
      <c r="R153" s="23">
        <f>'Annual Raw'!S54</f>
        <v>521.25</v>
      </c>
      <c r="S153" s="23">
        <f>'Annual Raw'!T54</f>
        <v>482.19</v>
      </c>
      <c r="T153" s="23">
        <f>'Annual Raw'!U54</f>
        <v>208.66</v>
      </c>
      <c r="U153" s="23">
        <f>'Annual Raw'!V54</f>
        <v>291.07</v>
      </c>
      <c r="V153" s="23">
        <f>'Annual Raw'!W54</f>
        <v>258.7</v>
      </c>
      <c r="W153" s="23">
        <f>'Annual Raw'!X54</f>
        <v>224.21</v>
      </c>
      <c r="X153" s="23">
        <f>'Annual Raw'!Y54</f>
        <v>209.09</v>
      </c>
      <c r="Y153" s="23">
        <f>'Annual Raw'!Z54</f>
        <v>267.14</v>
      </c>
      <c r="Z153" s="23">
        <f>'Annual Raw'!AA54</f>
        <v>210.58</v>
      </c>
      <c r="AA153" s="23">
        <f>'Annual Raw'!AB54</f>
        <v>239.14</v>
      </c>
      <c r="AB153" s="24">
        <f t="shared" si="1234"/>
        <v>217.87810317468765</v>
      </c>
      <c r="AC153" s="24">
        <f t="shared" si="1235"/>
        <v>196.99156439980908</v>
      </c>
      <c r="AD153" s="24">
        <f t="shared" si="1236"/>
        <v>177.94666848942964</v>
      </c>
      <c r="AE153" s="24">
        <f t="shared" si="1237"/>
        <v>160.73287306098931</v>
      </c>
      <c r="AJ153" s="23">
        <f>+'QTR Raw'!D89</f>
        <v>0</v>
      </c>
      <c r="AK153" s="23">
        <f>+AK183*AK10/90</f>
        <v>0</v>
      </c>
      <c r="AL153" s="23">
        <f>+'QTR Raw'!F89</f>
        <v>692.48</v>
      </c>
      <c r="AM153" s="23">
        <f>+AM183*AM10/90</f>
        <v>699.13855928595547</v>
      </c>
      <c r="AN153" s="23">
        <f>+'QTR Raw'!H89</f>
        <v>716</v>
      </c>
      <c r="AO153" s="23">
        <f>+AO183*AO10/90</f>
        <v>720.61635609849668</v>
      </c>
      <c r="AP153" s="23">
        <f>+'QTR Raw'!J89</f>
        <v>711.53</v>
      </c>
      <c r="AQ153" s="23">
        <f>+AQ183*AQ10/90</f>
        <v>734.21589249788599</v>
      </c>
      <c r="AR153" s="23">
        <f>+'QTR Raw'!L89</f>
        <v>782.38</v>
      </c>
      <c r="AS153" s="23">
        <f>+AS183*AS10/90</f>
        <v>825.07720935545615</v>
      </c>
      <c r="AT153" s="23">
        <f>+'QTR Raw'!N89</f>
        <v>704.23</v>
      </c>
      <c r="AU153" s="23">
        <f>+AU183*AU10/90</f>
        <v>708.65716033992817</v>
      </c>
      <c r="AV153" s="23">
        <f>+'QTR Raw'!P89</f>
        <v>776.84</v>
      </c>
      <c r="AW153" s="23">
        <f>+AW183*AW10/90</f>
        <v>771.88746812386148</v>
      </c>
      <c r="AX153" s="23">
        <f>+'QTR Raw'!R89</f>
        <v>608.11</v>
      </c>
      <c r="AY153" s="23">
        <f>+AY183*AY10/90</f>
        <v>609.82768421483536</v>
      </c>
      <c r="AZ153" s="23">
        <f>+'QTR Raw'!T89</f>
        <v>774</v>
      </c>
      <c r="BA153" s="23">
        <f>+BA183*BA10/90</f>
        <v>699.08766712027057</v>
      </c>
      <c r="BB153" s="23">
        <f>+'QTR Raw'!V89</f>
        <v>521.25</v>
      </c>
      <c r="BC153" s="23">
        <f>+BC183*BC10/90</f>
        <v>483.29197609508321</v>
      </c>
      <c r="BD153" s="23">
        <f>+'QTR Raw'!X89</f>
        <v>630.41999999999996</v>
      </c>
      <c r="BE153" s="23">
        <f>+BE183*BE10/90</f>
        <v>511.82783435535191</v>
      </c>
      <c r="BF153" s="23">
        <f>+'QTR Raw'!Z89</f>
        <v>482.19</v>
      </c>
      <c r="BG153" s="23">
        <f>+BG183*BG10/90</f>
        <v>422.47837551084552</v>
      </c>
      <c r="BH153" s="23">
        <f>+'QTR Raw'!AB89</f>
        <v>436.34</v>
      </c>
      <c r="BI153" s="23">
        <f>+BI183*BI10/90</f>
        <v>414.09186614466819</v>
      </c>
      <c r="BJ153" s="23">
        <f>+'QTR Raw'!AD89</f>
        <v>208.66</v>
      </c>
      <c r="BK153" s="23">
        <f>+BK183*BK10/90</f>
        <v>194.08925129960696</v>
      </c>
      <c r="BL153" s="23">
        <f>+'QTR Raw'!AF89</f>
        <v>306.45</v>
      </c>
      <c r="BM153" s="23">
        <f>+BM183*BM10/90</f>
        <v>289.11831699648599</v>
      </c>
      <c r="BN153" s="23">
        <f>+'QTR Raw'!AH89</f>
        <v>291.07</v>
      </c>
      <c r="BO153" s="23">
        <f>+BO183*BO10/90</f>
        <v>273.55273099505564</v>
      </c>
      <c r="BP153" s="23">
        <f>+'QTR Raw'!AJ89</f>
        <v>335.88</v>
      </c>
      <c r="BQ153" s="23">
        <f>+BQ183*BQ10/90</f>
        <v>364.3432977479934</v>
      </c>
      <c r="BR153" s="23">
        <f>+'QTR Raw'!AL89</f>
        <v>258.7</v>
      </c>
      <c r="BS153" s="23">
        <f>+BS183*BS10/90</f>
        <v>261.3719363715179</v>
      </c>
      <c r="BT153" s="23">
        <f>+'QTR Raw'!AN89</f>
        <v>238.65</v>
      </c>
      <c r="BU153" s="23">
        <f>+BU183*BU10/90</f>
        <v>252.36857908248697</v>
      </c>
      <c r="BV153" s="23">
        <f>+'QTR Raw'!AP89</f>
        <v>224.21</v>
      </c>
      <c r="BW153" s="23">
        <f>+BW183*BW10/90</f>
        <v>219.03175012830857</v>
      </c>
      <c r="BX153" s="23">
        <f>+'QTR Raw'!AR89</f>
        <v>240.85</v>
      </c>
      <c r="BY153" s="23">
        <f>+BY183*BY10/90</f>
        <v>244.52789382698259</v>
      </c>
      <c r="BZ153" s="23">
        <f>+'QTR Raw'!AT89</f>
        <v>209.09</v>
      </c>
      <c r="CA153" s="23">
        <f>+CA183*CA10/90</f>
        <v>213.10565059079713</v>
      </c>
      <c r="CB153" s="23">
        <f>+'QTR Raw'!AV89</f>
        <v>250.14</v>
      </c>
      <c r="CC153" s="23">
        <f>+CC183*CC10/90</f>
        <v>258.17217836970917</v>
      </c>
      <c r="CD153" s="23">
        <f>+'QTR Raw'!AX89</f>
        <v>267.14</v>
      </c>
      <c r="CE153" s="23">
        <f>+CE183*CE10/90</f>
        <v>267.31352655510528</v>
      </c>
      <c r="CF153" s="23">
        <f>+'QTR Raw'!AZ89</f>
        <v>308.52999999999997</v>
      </c>
      <c r="CG153" s="23">
        <f>+CG183*CG10/90</f>
        <v>298.89236710334785</v>
      </c>
      <c r="CH153" s="23">
        <f t="shared" si="1192"/>
        <v>210.58</v>
      </c>
      <c r="CI153" s="23">
        <f>+CI183*CI10/90</f>
        <v>194.17187854802611</v>
      </c>
      <c r="CJ153" s="23">
        <f>+'QTR Raw'!BD89</f>
        <v>262.94</v>
      </c>
      <c r="CK153" s="24">
        <f t="shared" ref="CK153:DB153" si="1241">+CK183*CK10/90</f>
        <v>270.45703491419988</v>
      </c>
      <c r="CL153" s="23">
        <f>+'QTR Raw'!BF89</f>
        <v>239.14</v>
      </c>
      <c r="CM153" s="24">
        <f t="shared" si="1241"/>
        <v>204.40415237142807</v>
      </c>
      <c r="CN153" s="24">
        <f t="shared" si="1241"/>
        <v>206.33634098418398</v>
      </c>
      <c r="CO153" s="24">
        <f t="shared" si="1241"/>
        <v>215.70127286536368</v>
      </c>
      <c r="CP153" s="24">
        <f t="shared" si="1241"/>
        <v>217.87810317468765</v>
      </c>
      <c r="CQ153" s="24">
        <f t="shared" si="1241"/>
        <v>183.79744500699616</v>
      </c>
      <c r="CR153" s="24">
        <f t="shared" si="1241"/>
        <v>186.07597705897223</v>
      </c>
      <c r="CS153" s="24">
        <f t="shared" si="1241"/>
        <v>195.0933206164834</v>
      </c>
      <c r="CT153" s="24">
        <f t="shared" si="1241"/>
        <v>196.99156439980908</v>
      </c>
      <c r="CU153" s="24">
        <f t="shared" si="1241"/>
        <v>165.8584817491346</v>
      </c>
      <c r="CV153" s="24">
        <f t="shared" si="1241"/>
        <v>168.06403167793448</v>
      </c>
      <c r="CW153" s="24">
        <f t="shared" si="1241"/>
        <v>176.27640322545915</v>
      </c>
      <c r="CX153" s="24">
        <f t="shared" si="1241"/>
        <v>177.94666848942964</v>
      </c>
      <c r="CY153" s="24">
        <f t="shared" si="1241"/>
        <v>149.7896858697803</v>
      </c>
      <c r="CZ153" s="24">
        <f t="shared" si="1241"/>
        <v>151.81177605940903</v>
      </c>
      <c r="DA153" s="24">
        <f t="shared" si="1241"/>
        <v>159.2342243778227</v>
      </c>
      <c r="DB153" s="24">
        <f t="shared" si="1241"/>
        <v>160.73287306098931</v>
      </c>
      <c r="DE153" s="123"/>
      <c r="DF153" s="23">
        <v>239.14</v>
      </c>
    </row>
    <row r="154" spans="1:110" s="23" customFormat="1" outlineLevel="1" x14ac:dyDescent="0.2">
      <c r="A154" s="23" t="s">
        <v>71</v>
      </c>
      <c r="B154" s="23">
        <f>'Annual Raw'!C55-Template!B126</f>
        <v>16.061199999999999</v>
      </c>
      <c r="C154" s="23">
        <f>'Annual Raw'!D55-Template!C126</f>
        <v>8.24</v>
      </c>
      <c r="D154" s="23">
        <f>'Annual Raw'!E55-Template!D126</f>
        <v>16.16</v>
      </c>
      <c r="E154" s="23">
        <f>'Annual Raw'!F55-Template!E126</f>
        <v>115.59</v>
      </c>
      <c r="F154" s="23">
        <f>'Annual Raw'!G55-Template!F126</f>
        <v>169.8</v>
      </c>
      <c r="G154" s="23">
        <f>'Annual Raw'!H55-Template!G126</f>
        <v>196.39</v>
      </c>
      <c r="H154" s="23">
        <f>'Annual Raw'!I55-Template!H126</f>
        <v>96.05</v>
      </c>
      <c r="I154" s="23">
        <f>'Annual Raw'!J55-Template!I126</f>
        <v>137.24</v>
      </c>
      <c r="J154" s="23">
        <f>'Annual Raw'!K55-Template!J126</f>
        <v>151.93</v>
      </c>
      <c r="K154" s="23">
        <f>'Annual Raw'!L55-Template!K126</f>
        <v>136.63999999999999</v>
      </c>
      <c r="L154" s="23">
        <f>'Annual Raw'!M55-Template!L126</f>
        <v>169.44</v>
      </c>
      <c r="M154" s="23">
        <f>'Annual Raw'!N55-Template!M126</f>
        <v>608.28</v>
      </c>
      <c r="N154" s="23">
        <f>'Annual Raw'!O55-Template!N126</f>
        <v>481.67000000000007</v>
      </c>
      <c r="O154" s="23">
        <f>'Annual Raw'!P55-Template!O126</f>
        <v>286.16999999999996</v>
      </c>
      <c r="P154" s="23">
        <f>'Annual Raw'!Q55-Template!P126</f>
        <v>346.28999999999996</v>
      </c>
      <c r="Q154" s="23">
        <f>'Annual Raw'!R55-Template!Q126</f>
        <v>355.9</v>
      </c>
      <c r="R154" s="23">
        <f>'Annual Raw'!S55-Template!R126</f>
        <v>389.12999999999988</v>
      </c>
      <c r="S154" s="23">
        <f>'Annual Raw'!T55-Template!S126</f>
        <v>141.12999999999965</v>
      </c>
      <c r="T154" s="23">
        <f>'Annual Raw'!U55-Template!T126</f>
        <v>330.37999999999965</v>
      </c>
      <c r="U154" s="23">
        <f>'Annual Raw'!V55-Template!U126</f>
        <v>156.44999999999982</v>
      </c>
      <c r="V154" s="23">
        <f>'Annual Raw'!W55-Template!V126</f>
        <v>134.53999999999996</v>
      </c>
      <c r="W154" s="23">
        <f>'Annual Raw'!X55-Template!W126</f>
        <v>149.46999999999935</v>
      </c>
      <c r="X154" s="23">
        <f>'Annual Raw'!Y55-Template!X126</f>
        <v>158.34000000000015</v>
      </c>
      <c r="Y154" s="23">
        <f>'Annual Raw'!Z55-Template!Y126</f>
        <v>211.82000000000062</v>
      </c>
      <c r="Z154" s="23">
        <f>'Annual Raw'!AA55-Template!Z126</f>
        <v>213.38000000000102</v>
      </c>
      <c r="AA154" s="23">
        <f>'Annual Raw'!AB55-Template!AA126</f>
        <v>151.64000000000033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759.82</v>
      </c>
      <c r="AM154" s="23">
        <f t="shared" si="1238"/>
        <v>759.82</v>
      </c>
      <c r="AN154" s="23">
        <f>+'QTR Raw'!H91</f>
        <v>763.42</v>
      </c>
      <c r="AO154" s="23">
        <f t="shared" si="1238"/>
        <v>763.42</v>
      </c>
      <c r="AP154" s="23">
        <f>+'QTR Raw'!J91</f>
        <v>669.9</v>
      </c>
      <c r="AQ154" s="23">
        <f t="shared" si="1238"/>
        <v>669.9</v>
      </c>
      <c r="AR154" s="23">
        <f>+'QTR Raw'!L91</f>
        <v>736.05</v>
      </c>
      <c r="AS154" s="23">
        <f t="shared" si="1238"/>
        <v>736.05</v>
      </c>
      <c r="AT154" s="23">
        <f>+'QTR Raw'!N91</f>
        <v>985.25</v>
      </c>
      <c r="AU154" s="23">
        <f t="shared" si="1238"/>
        <v>985.25</v>
      </c>
      <c r="AV154" s="23">
        <f>+'QTR Raw'!P91</f>
        <v>1229.45</v>
      </c>
      <c r="AW154" s="23">
        <f t="shared" si="1238"/>
        <v>1229.45</v>
      </c>
      <c r="AX154" s="23">
        <f>+'QTR Raw'!R91</f>
        <v>1350.05</v>
      </c>
      <c r="AY154" s="23">
        <f t="shared" si="1238"/>
        <v>1350.05</v>
      </c>
      <c r="AZ154" s="23">
        <f>+'QTR Raw'!T91</f>
        <v>1876.28</v>
      </c>
      <c r="BA154" s="23">
        <f t="shared" si="1238"/>
        <v>1876.28</v>
      </c>
      <c r="BB154" s="23">
        <f>+'QTR Raw'!V91</f>
        <v>1640.88</v>
      </c>
      <c r="BC154" s="23">
        <f t="shared" si="1238"/>
        <v>1640.88</v>
      </c>
      <c r="BD154" s="23">
        <f>+'QTR Raw'!X91</f>
        <v>2241.61</v>
      </c>
      <c r="BE154" s="23">
        <f t="shared" si="1238"/>
        <v>2241.61</v>
      </c>
      <c r="BF154" s="23">
        <f>+'QTR Raw'!Z91</f>
        <v>3873.34</v>
      </c>
      <c r="BG154" s="23">
        <f t="shared" si="1238"/>
        <v>3873.34</v>
      </c>
      <c r="BH154" s="23">
        <f>+'QTR Raw'!AB91</f>
        <v>4023.63</v>
      </c>
      <c r="BI154" s="23">
        <f t="shared" si="1238"/>
        <v>4023.63</v>
      </c>
      <c r="BJ154" s="23">
        <f>+'QTR Raw'!AD91</f>
        <v>6424.87</v>
      </c>
      <c r="BK154" s="23">
        <f t="shared" si="1238"/>
        <v>6424.87</v>
      </c>
      <c r="BL154" s="23">
        <f>+'QTR Raw'!AF91</f>
        <v>3592.07</v>
      </c>
      <c r="BM154" s="23">
        <f t="shared" si="1238"/>
        <v>3592.07</v>
      </c>
      <c r="BN154" s="23">
        <f>+'QTR Raw'!AH91</f>
        <v>6381.24</v>
      </c>
      <c r="BO154" s="23">
        <f t="shared" si="1238"/>
        <v>6381.24</v>
      </c>
      <c r="BP154" s="23">
        <f>+'QTR Raw'!AJ91</f>
        <v>4393.76</v>
      </c>
      <c r="BQ154" s="23">
        <f t="shared" si="1238"/>
        <v>4393.76</v>
      </c>
      <c r="BR154" s="23">
        <f>+'QTR Raw'!AL91</f>
        <v>134.54</v>
      </c>
      <c r="BS154" s="23">
        <f t="shared" si="1238"/>
        <v>134.54</v>
      </c>
      <c r="BT154" s="23">
        <f>+'QTR Raw'!AN91</f>
        <v>170.01</v>
      </c>
      <c r="BU154" s="23">
        <f t="shared" si="1238"/>
        <v>170.01</v>
      </c>
      <c r="BV154" s="23">
        <f>+'QTR Raw'!AP91</f>
        <v>149.47</v>
      </c>
      <c r="BW154" s="23">
        <f t="shared" si="1238"/>
        <v>149.47</v>
      </c>
      <c r="BX154" s="23">
        <f>+'QTR Raw'!AR91</f>
        <v>127.39</v>
      </c>
      <c r="BY154" s="23">
        <f t="shared" si="1238"/>
        <v>127.39</v>
      </c>
      <c r="BZ154" s="23">
        <f>+'QTR Raw'!AT91</f>
        <v>158.34</v>
      </c>
      <c r="CA154" s="23">
        <f t="shared" si="1238"/>
        <v>158.34</v>
      </c>
      <c r="CB154" s="23">
        <f>+'QTR Raw'!AV91</f>
        <v>125.15</v>
      </c>
      <c r="CC154" s="23">
        <f t="shared" si="1238"/>
        <v>125.15</v>
      </c>
      <c r="CD154" s="23">
        <f>+'QTR Raw'!AX91</f>
        <v>211.82</v>
      </c>
      <c r="CE154" s="23">
        <f t="shared" si="1238"/>
        <v>211.82</v>
      </c>
      <c r="CF154" s="23">
        <f>+'QTR Raw'!AZ91</f>
        <v>186.13</v>
      </c>
      <c r="CG154" s="23">
        <f t="shared" ref="CG154:CG155" si="1242">+CF154</f>
        <v>186.13</v>
      </c>
      <c r="CH154" s="23">
        <f t="shared" si="1192"/>
        <v>213.38000000000102</v>
      </c>
      <c r="CJ154" s="23">
        <f>+'QTR Raw'!BD91</f>
        <v>147.37</v>
      </c>
      <c r="CK154" s="24"/>
      <c r="CL154" s="23">
        <f>+'QTR Raw'!BF91</f>
        <v>151.63999999999999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151.63999999999999</v>
      </c>
    </row>
    <row r="155" spans="1:110" s="23" customFormat="1" outlineLevel="1" x14ac:dyDescent="0.2">
      <c r="A155" s="23" t="s">
        <v>72</v>
      </c>
      <c r="B155" s="23">
        <f>'Annual Raw'!C57</f>
        <v>50</v>
      </c>
      <c r="C155" s="23">
        <f>'Annual Raw'!D57</f>
        <v>52.66</v>
      </c>
      <c r="D155" s="23">
        <f>'Annual Raw'!E57</f>
        <v>102.06</v>
      </c>
      <c r="E155" s="23">
        <f>'Annual Raw'!F57</f>
        <v>18.03</v>
      </c>
      <c r="F155" s="23">
        <f>'Annual Raw'!G57</f>
        <v>91.35</v>
      </c>
      <c r="G155" s="23">
        <f>'Annual Raw'!H57</f>
        <v>77.94</v>
      </c>
      <c r="H155" s="23">
        <f>'Annual Raw'!I57</f>
        <v>77.91</v>
      </c>
      <c r="I155" s="23">
        <f>'Annual Raw'!J57</f>
        <v>33.090000000000003</v>
      </c>
      <c r="J155" s="23">
        <f>'Annual Raw'!K57</f>
        <v>36.71</v>
      </c>
      <c r="K155" s="23">
        <f>'Annual Raw'!L57</f>
        <v>12.65</v>
      </c>
      <c r="L155" s="23">
        <f>'Annual Raw'!M57</f>
        <v>191.56</v>
      </c>
      <c r="M155" s="23">
        <f>'Annual Raw'!N57</f>
        <v>169.95</v>
      </c>
      <c r="N155" s="23">
        <f>'Annual Raw'!O57</f>
        <v>411.04</v>
      </c>
      <c r="O155" s="23">
        <f>'Annual Raw'!P57</f>
        <v>474.72</v>
      </c>
      <c r="P155" s="23">
        <f>'Annual Raw'!Q57</f>
        <v>535.22</v>
      </c>
      <c r="Q155" s="23">
        <f>'Annual Raw'!R57</f>
        <v>546.37</v>
      </c>
      <c r="R155" s="23">
        <f>'Annual Raw'!S57</f>
        <v>683.29</v>
      </c>
      <c r="S155" s="23">
        <f>'Annual Raw'!T57</f>
        <v>890.92</v>
      </c>
      <c r="T155" s="23">
        <f>'Annual Raw'!U57</f>
        <v>55.12</v>
      </c>
      <c r="U155" s="23">
        <f>'Annual Raw'!V57</f>
        <v>1866.94</v>
      </c>
      <c r="V155" s="23">
        <f>'Annual Raw'!W57</f>
        <v>55.74</v>
      </c>
      <c r="W155" s="23">
        <f>'Annual Raw'!X57</f>
        <v>56.69</v>
      </c>
      <c r="X155" s="23">
        <f>'Annual Raw'!Y57</f>
        <v>55.93</v>
      </c>
      <c r="Y155" s="23">
        <f>'Annual Raw'!Z57</f>
        <v>58</v>
      </c>
      <c r="Z155" s="23">
        <f>'Annual Raw'!AA57</f>
        <v>55.86</v>
      </c>
      <c r="AA155" s="23">
        <f>'Annual Raw'!AB57</f>
        <v>50.09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222.87</v>
      </c>
      <c r="AK155" s="23">
        <f t="shared" si="1238"/>
        <v>222.87</v>
      </c>
      <c r="AL155" s="23">
        <f>+'QTR Raw'!F92</f>
        <v>411.04</v>
      </c>
      <c r="AM155" s="23">
        <f t="shared" si="1238"/>
        <v>411.04</v>
      </c>
      <c r="AN155" s="23">
        <f>+'QTR Raw'!H92</f>
        <v>433.13</v>
      </c>
      <c r="AO155" s="23">
        <f t="shared" si="1238"/>
        <v>433.13</v>
      </c>
      <c r="AP155" s="23">
        <f>+'QTR Raw'!J92</f>
        <v>474.72</v>
      </c>
      <c r="AQ155" s="23">
        <f t="shared" si="1238"/>
        <v>474.72</v>
      </c>
      <c r="AR155" s="23">
        <f>+'QTR Raw'!L92</f>
        <v>490.6</v>
      </c>
      <c r="AS155" s="23">
        <f t="shared" si="1238"/>
        <v>490.6</v>
      </c>
      <c r="AT155" s="23">
        <f>+'QTR Raw'!N92</f>
        <v>535.22</v>
      </c>
      <c r="AU155" s="23">
        <f t="shared" si="1238"/>
        <v>535.22</v>
      </c>
      <c r="AV155" s="23">
        <f>+'QTR Raw'!P92</f>
        <v>576.07000000000005</v>
      </c>
      <c r="AW155" s="23">
        <f t="shared" si="1238"/>
        <v>576.07000000000005</v>
      </c>
      <c r="AX155" s="23">
        <f>+'QTR Raw'!R92</f>
        <v>546.37</v>
      </c>
      <c r="AY155" s="23">
        <f t="shared" si="1238"/>
        <v>546.37</v>
      </c>
      <c r="AZ155" s="23">
        <f>+'QTR Raw'!T92</f>
        <v>564.65</v>
      </c>
      <c r="BA155" s="23">
        <f t="shared" si="1238"/>
        <v>564.65</v>
      </c>
      <c r="BB155" s="23">
        <f>+'QTR Raw'!V92</f>
        <v>683.29</v>
      </c>
      <c r="BC155" s="23">
        <f t="shared" si="1238"/>
        <v>683.29</v>
      </c>
      <c r="BD155" s="23">
        <f>+'QTR Raw'!X92</f>
        <v>687.23</v>
      </c>
      <c r="BE155" s="23">
        <f t="shared" si="1238"/>
        <v>687.23</v>
      </c>
      <c r="BF155" s="23">
        <f>+'QTR Raw'!Z92</f>
        <v>890.92</v>
      </c>
      <c r="BG155" s="23">
        <f t="shared" si="1238"/>
        <v>890.92</v>
      </c>
      <c r="BH155" s="23">
        <f>+'QTR Raw'!AB92</f>
        <v>933.06</v>
      </c>
      <c r="BI155" s="23">
        <f t="shared" si="1238"/>
        <v>933.06</v>
      </c>
      <c r="BJ155" s="23">
        <f>+'QTR Raw'!AD92</f>
        <v>55.12</v>
      </c>
      <c r="BK155" s="23">
        <f t="shared" si="1238"/>
        <v>55.12</v>
      </c>
      <c r="BL155" s="23">
        <f>+'QTR Raw'!AF92</f>
        <v>2009.1</v>
      </c>
      <c r="BM155" s="23">
        <f t="shared" si="1238"/>
        <v>2009.1</v>
      </c>
      <c r="BN155" s="23">
        <f>+'QTR Raw'!AH92</f>
        <v>1866.94</v>
      </c>
      <c r="BO155" s="23">
        <f t="shared" si="1238"/>
        <v>1866.94</v>
      </c>
      <c r="BP155" s="23">
        <f>+'QTR Raw'!AJ92</f>
        <v>53.45</v>
      </c>
      <c r="BQ155" s="23">
        <f t="shared" si="1238"/>
        <v>53.45</v>
      </c>
      <c r="BR155" s="23">
        <f>+'QTR Raw'!AL92</f>
        <v>55.74</v>
      </c>
      <c r="BS155" s="23">
        <f t="shared" si="1238"/>
        <v>55.74</v>
      </c>
      <c r="BT155" s="23">
        <f>+'QTR Raw'!AN92</f>
        <v>53.34</v>
      </c>
      <c r="BU155" s="23">
        <f t="shared" si="1238"/>
        <v>53.34</v>
      </c>
      <c r="BV155" s="23">
        <f>+'QTR Raw'!AP92</f>
        <v>56.69</v>
      </c>
      <c r="BW155" s="23">
        <f t="shared" si="1238"/>
        <v>56.69</v>
      </c>
      <c r="BX155" s="23">
        <f>+'QTR Raw'!AR92</f>
        <v>55.74</v>
      </c>
      <c r="BY155" s="23">
        <f t="shared" si="1238"/>
        <v>55.74</v>
      </c>
      <c r="BZ155" s="23">
        <f>+'QTR Raw'!AT92</f>
        <v>55.93</v>
      </c>
      <c r="CA155" s="23">
        <f t="shared" si="1238"/>
        <v>55.93</v>
      </c>
      <c r="CB155" s="23">
        <f>+'QTR Raw'!AV92</f>
        <v>54.2</v>
      </c>
      <c r="CC155" s="23">
        <f t="shared" si="1238"/>
        <v>54.2</v>
      </c>
      <c r="CD155" s="23">
        <f>+'QTR Raw'!AX92</f>
        <v>58</v>
      </c>
      <c r="CE155" s="23">
        <f t="shared" si="1238"/>
        <v>58</v>
      </c>
      <c r="CF155" s="23">
        <f>+'QTR Raw'!AZ92</f>
        <v>57.74</v>
      </c>
      <c r="CG155" s="23">
        <f t="shared" si="1242"/>
        <v>57.74</v>
      </c>
      <c r="CH155" s="23">
        <f t="shared" si="1192"/>
        <v>55.86</v>
      </c>
      <c r="CJ155" s="23">
        <f>+'QTR Raw'!BD92</f>
        <v>47.17</v>
      </c>
      <c r="CK155" s="24"/>
      <c r="CL155" s="23">
        <f>+'QTR Raw'!BF92</f>
        <v>50.09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50.09</v>
      </c>
    </row>
    <row r="156" spans="1:110" s="22" customFormat="1" x14ac:dyDescent="0.2">
      <c r="A156" s="22" t="s">
        <v>73</v>
      </c>
      <c r="B156" s="22">
        <f>SUM(B149:B155)</f>
        <v>826.91030000000001</v>
      </c>
      <c r="C156" s="22">
        <f t="shared" ref="C156:V156" si="1243">SUM(C149:C155)</f>
        <v>1016.35</v>
      </c>
      <c r="D156" s="22">
        <f t="shared" si="1243"/>
        <v>825.67000000000007</v>
      </c>
      <c r="E156" s="22">
        <f t="shared" si="1243"/>
        <v>695.54</v>
      </c>
      <c r="F156" s="22">
        <f t="shared" si="1243"/>
        <v>1019.84</v>
      </c>
      <c r="G156" s="22">
        <f t="shared" si="1243"/>
        <v>1152.1300000000001</v>
      </c>
      <c r="H156" s="22">
        <f t="shared" si="1243"/>
        <v>1149.7</v>
      </c>
      <c r="I156" s="22">
        <f t="shared" si="1243"/>
        <v>1015</v>
      </c>
      <c r="J156" s="22">
        <f t="shared" si="1243"/>
        <v>1060.8500000000001</v>
      </c>
      <c r="K156" s="22">
        <f t="shared" si="1243"/>
        <v>1565.5900000000001</v>
      </c>
      <c r="L156" s="22">
        <f t="shared" si="1243"/>
        <v>1810.61</v>
      </c>
      <c r="M156" s="22">
        <f t="shared" si="1243"/>
        <v>1784.98</v>
      </c>
      <c r="N156" s="22">
        <f t="shared" si="1243"/>
        <v>1657.2</v>
      </c>
      <c r="O156" s="22">
        <f t="shared" si="1243"/>
        <v>1499.27</v>
      </c>
      <c r="P156" s="22">
        <f t="shared" si="1243"/>
        <v>1601.84</v>
      </c>
      <c r="Q156" s="22">
        <f t="shared" si="1243"/>
        <v>1794.46</v>
      </c>
      <c r="R156" s="22">
        <f t="shared" si="1243"/>
        <v>1595.25</v>
      </c>
      <c r="S156" s="22">
        <f t="shared" si="1243"/>
        <v>2961.2999999999997</v>
      </c>
      <c r="T156" s="22">
        <f t="shared" si="1243"/>
        <v>2805.2199999999993</v>
      </c>
      <c r="U156" s="22">
        <f t="shared" si="1243"/>
        <v>2492</v>
      </c>
      <c r="V156" s="22">
        <f t="shared" si="1243"/>
        <v>570.96</v>
      </c>
      <c r="W156" s="22">
        <f t="shared" ref="W156" si="1244">SUM(W149:W155)</f>
        <v>493.16999999999933</v>
      </c>
      <c r="X156" s="22">
        <f t="shared" ref="X156:Y156" si="1245">SUM(X149:X155)</f>
        <v>440.12000000000018</v>
      </c>
      <c r="Y156" s="22">
        <f t="shared" si="1245"/>
        <v>605.52000000000066</v>
      </c>
      <c r="Z156" s="22">
        <f t="shared" ref="Z156:AA156" si="1246">SUM(Z149:Z155)</f>
        <v>531.92000000000098</v>
      </c>
      <c r="AA156" s="22">
        <f t="shared" si="1246"/>
        <v>661.37000000000035</v>
      </c>
      <c r="AB156" s="21">
        <f t="shared" ref="AA156:AD156" si="1247">SUM(AB149:AB155)</f>
        <v>602.56770551410557</v>
      </c>
      <c r="AC156" s="21">
        <f t="shared" si="1247"/>
        <v>544.80350818391639</v>
      </c>
      <c r="AD156" s="21">
        <f t="shared" si="1247"/>
        <v>492.13259236787701</v>
      </c>
      <c r="AE156" s="21">
        <f t="shared" ref="AE156" si="1248">SUM(AE149:AE155)</f>
        <v>444.525801858102</v>
      </c>
      <c r="AJ156" s="22">
        <f t="shared" ref="AJ156" si="1249">SUM(AJ149:AJ155)</f>
        <v>1948.4899999999998</v>
      </c>
      <c r="AK156" s="22">
        <f t="shared" ref="AK156" si="1250">SUM(AK149:AK155)</f>
        <v>1948.4899999999998</v>
      </c>
      <c r="AL156" s="22">
        <f t="shared" ref="AL156:AM156" si="1251">SUM(AL149:AL155)</f>
        <v>1935.35</v>
      </c>
      <c r="AM156" s="22">
        <f t="shared" si="1251"/>
        <v>1942.0085592859555</v>
      </c>
      <c r="AN156" s="22">
        <f t="shared" ref="AN156:AO156" si="1252">SUM(AN149:AN155)</f>
        <v>1965.92</v>
      </c>
      <c r="AO156" s="22">
        <f t="shared" si="1252"/>
        <v>1970.5363560984965</v>
      </c>
      <c r="AP156" s="22">
        <f t="shared" ref="AP156:CE156" si="1253">SUM(AP149:AP155)</f>
        <v>1883</v>
      </c>
      <c r="AQ156" s="22">
        <f t="shared" si="1253"/>
        <v>1905.685892497886</v>
      </c>
      <c r="AR156" s="22">
        <f t="shared" si="1253"/>
        <v>2038.15</v>
      </c>
      <c r="AS156" s="22">
        <f t="shared" si="1253"/>
        <v>2080.847209355456</v>
      </c>
      <c r="AT156" s="22">
        <f t="shared" si="1253"/>
        <v>2240.8000000000002</v>
      </c>
      <c r="AU156" s="22">
        <f t="shared" si="1253"/>
        <v>2245.2271603399286</v>
      </c>
      <c r="AV156" s="22">
        <f t="shared" si="1253"/>
        <v>2730.2500000000005</v>
      </c>
      <c r="AW156" s="22">
        <f t="shared" si="1253"/>
        <v>2725.2974681238616</v>
      </c>
      <c r="AX156" s="22">
        <f t="shared" si="1253"/>
        <v>2788.6099999999997</v>
      </c>
      <c r="AY156" s="22">
        <f t="shared" si="1253"/>
        <v>2790.3276842148352</v>
      </c>
      <c r="AZ156" s="22">
        <f t="shared" si="1253"/>
        <v>3662.7400000000002</v>
      </c>
      <c r="BA156" s="22">
        <f t="shared" si="1253"/>
        <v>3587.8276671202707</v>
      </c>
      <c r="BB156" s="22">
        <f t="shared" si="1253"/>
        <v>2847</v>
      </c>
      <c r="BC156" s="22">
        <f t="shared" si="1253"/>
        <v>2809.0419760950831</v>
      </c>
      <c r="BD156" s="22">
        <f t="shared" si="1253"/>
        <v>3683.8700000000003</v>
      </c>
      <c r="BE156" s="22">
        <f t="shared" si="1253"/>
        <v>3565.2778343553523</v>
      </c>
      <c r="BF156" s="22">
        <f t="shared" si="1253"/>
        <v>5370.66</v>
      </c>
      <c r="BG156" s="22">
        <f t="shared" si="1253"/>
        <v>5310.9483755108458</v>
      </c>
      <c r="BH156" s="22">
        <f t="shared" ref="BH156" si="1254">SUM(BH149:BH155)</f>
        <v>5532.58</v>
      </c>
      <c r="BI156" s="22">
        <f t="shared" si="1253"/>
        <v>5510.3318661446683</v>
      </c>
      <c r="BJ156" s="22">
        <f t="shared" si="1253"/>
        <v>6711</v>
      </c>
      <c r="BK156" s="22">
        <f t="shared" si="1253"/>
        <v>6696.4292512996071</v>
      </c>
      <c r="BL156" s="22">
        <f t="shared" si="1253"/>
        <v>6097.5300000000007</v>
      </c>
      <c r="BM156" s="22">
        <f t="shared" si="1253"/>
        <v>6080.198316996486</v>
      </c>
      <c r="BN156" s="22">
        <f t="shared" si="1253"/>
        <v>8716.7899999999991</v>
      </c>
      <c r="BO156" s="22">
        <f t="shared" si="1253"/>
        <v>8699.2727309950551</v>
      </c>
      <c r="BP156" s="22">
        <f t="shared" si="1253"/>
        <v>4922.74</v>
      </c>
      <c r="BQ156" s="22">
        <f t="shared" si="1253"/>
        <v>4951.203297747993</v>
      </c>
      <c r="BR156" s="22">
        <f t="shared" si="1253"/>
        <v>570.96</v>
      </c>
      <c r="BS156" s="22">
        <f t="shared" si="1253"/>
        <v>573.6319363715179</v>
      </c>
      <c r="BT156" s="22">
        <f t="shared" si="1253"/>
        <v>548.20000000000005</v>
      </c>
      <c r="BU156" s="22">
        <f t="shared" si="1253"/>
        <v>561.91857908248699</v>
      </c>
      <c r="BV156" s="22">
        <f t="shared" si="1253"/>
        <v>493.17</v>
      </c>
      <c r="BW156" s="22">
        <f t="shared" si="1253"/>
        <v>487.99175012830852</v>
      </c>
      <c r="BX156" s="22">
        <f t="shared" si="1253"/>
        <v>462.48</v>
      </c>
      <c r="BY156" s="22">
        <f t="shared" si="1253"/>
        <v>466.15789382698256</v>
      </c>
      <c r="BZ156" s="22">
        <f t="shared" si="1253"/>
        <v>440.12</v>
      </c>
      <c r="CA156" s="22">
        <f t="shared" si="1253"/>
        <v>444.13565059079713</v>
      </c>
      <c r="CB156" s="22">
        <f t="shared" si="1253"/>
        <v>445.23999999999995</v>
      </c>
      <c r="CC156" s="22">
        <f t="shared" si="1253"/>
        <v>453.27217836970914</v>
      </c>
      <c r="CD156" s="22">
        <f t="shared" si="1253"/>
        <v>605.52</v>
      </c>
      <c r="CE156" s="22">
        <f t="shared" si="1253"/>
        <v>605.69352655510534</v>
      </c>
      <c r="CF156" s="22">
        <f t="shared" ref="CF156:CG156" si="1255">SUM(CF149:CF155)</f>
        <v>611.80999999999995</v>
      </c>
      <c r="CG156" s="22">
        <f t="shared" si="1255"/>
        <v>602.17236710334782</v>
      </c>
      <c r="CH156" s="22">
        <f t="shared" ref="CH156:CI156" si="1256">SUM(CH149:CH155)</f>
        <v>531.92000000000098</v>
      </c>
      <c r="CI156" s="22">
        <f t="shared" si="1256"/>
        <v>490.47348103934962</v>
      </c>
      <c r="CJ156" s="22">
        <f t="shared" ref="CJ156:DB156" si="1257">SUM(CJ149:CJ155)</f>
        <v>533.84</v>
      </c>
      <c r="CK156" s="21">
        <f t="shared" si="1257"/>
        <v>549.10163352322388</v>
      </c>
      <c r="CL156" s="22">
        <f t="shared" ref="CL156" si="1258">SUM(CL149:CL155)</f>
        <v>661.37</v>
      </c>
      <c r="CM156" s="21">
        <f t="shared" si="1257"/>
        <v>565.30389836033874</v>
      </c>
      <c r="CN156" s="21">
        <f t="shared" si="1257"/>
        <v>570.64759486790069</v>
      </c>
      <c r="CO156" s="21">
        <f t="shared" si="1257"/>
        <v>596.54742341291967</v>
      </c>
      <c r="CP156" s="21">
        <f t="shared" si="1257"/>
        <v>602.56770551410557</v>
      </c>
      <c r="CQ156" s="21">
        <f t="shared" si="1257"/>
        <v>508.31360794629535</v>
      </c>
      <c r="CR156" s="21">
        <f t="shared" si="1257"/>
        <v>514.61515826500158</v>
      </c>
      <c r="CS156" s="21">
        <f t="shared" si="1257"/>
        <v>539.55369012345761</v>
      </c>
      <c r="CT156" s="21">
        <f t="shared" si="1257"/>
        <v>544.80350818391639</v>
      </c>
      <c r="CU156" s="21">
        <f t="shared" si="1257"/>
        <v>458.70127989640025</v>
      </c>
      <c r="CV156" s="21">
        <f t="shared" si="1257"/>
        <v>464.80098950755018</v>
      </c>
      <c r="CW156" s="21">
        <f t="shared" si="1257"/>
        <v>487.51327591043713</v>
      </c>
      <c r="CX156" s="21">
        <f t="shared" si="1257"/>
        <v>492.13259236787701</v>
      </c>
      <c r="CY156" s="21">
        <f t="shared" si="1257"/>
        <v>414.26112128333455</v>
      </c>
      <c r="CZ156" s="21">
        <f t="shared" si="1257"/>
        <v>419.85345125203378</v>
      </c>
      <c r="DA156" s="21">
        <f t="shared" si="1257"/>
        <v>440.38111138563443</v>
      </c>
      <c r="DB156" s="21">
        <f t="shared" si="1257"/>
        <v>444.525801858102</v>
      </c>
      <c r="DE156" s="126"/>
      <c r="DF156" s="22">
        <v>661.37</v>
      </c>
    </row>
    <row r="157" spans="1:110" s="22" customFormat="1" x14ac:dyDescent="0.2">
      <c r="A157" s="22" t="s">
        <v>74</v>
      </c>
      <c r="B157" s="22">
        <f>B148-B156</f>
        <v>-509.93969999999996</v>
      </c>
      <c r="C157" s="22">
        <f t="shared" ref="C157:V157" si="1259">C148-C156</f>
        <v>-927.95</v>
      </c>
      <c r="D157" s="22">
        <f t="shared" si="1259"/>
        <v>-748.7700000000001</v>
      </c>
      <c r="E157" s="22">
        <f t="shared" si="1259"/>
        <v>-385.92999999999995</v>
      </c>
      <c r="F157" s="22">
        <f t="shared" si="1259"/>
        <v>-735.26</v>
      </c>
      <c r="G157" s="22">
        <f t="shared" si="1259"/>
        <v>-849.74</v>
      </c>
      <c r="H157" s="22">
        <f t="shared" si="1259"/>
        <v>-805.79000000000008</v>
      </c>
      <c r="I157" s="22">
        <f t="shared" si="1259"/>
        <v>-594.30999999999995</v>
      </c>
      <c r="J157" s="22">
        <f t="shared" si="1259"/>
        <v>-497.42000000000019</v>
      </c>
      <c r="K157" s="22">
        <f t="shared" si="1259"/>
        <v>-935.62000000000012</v>
      </c>
      <c r="L157" s="22">
        <f t="shared" si="1259"/>
        <v>-994.38999999999987</v>
      </c>
      <c r="M157" s="22">
        <f t="shared" si="1259"/>
        <v>-873.97</v>
      </c>
      <c r="N157" s="22">
        <f t="shared" si="1259"/>
        <v>-498.95000000000005</v>
      </c>
      <c r="O157" s="22">
        <f t="shared" si="1259"/>
        <v>-410.03999999999996</v>
      </c>
      <c r="P157" s="22">
        <f t="shared" si="1259"/>
        <v>158.08000000000015</v>
      </c>
      <c r="Q157" s="22">
        <f t="shared" si="1259"/>
        <v>-601.08999999999992</v>
      </c>
      <c r="R157" s="22">
        <f t="shared" si="1259"/>
        <v>-369.45000000000027</v>
      </c>
      <c r="S157" s="22">
        <f t="shared" si="1259"/>
        <v>-871.60999999999922</v>
      </c>
      <c r="T157" s="22">
        <f t="shared" si="1259"/>
        <v>201.24000000000115</v>
      </c>
      <c r="U157" s="22">
        <f t="shared" si="1259"/>
        <v>-1795.26</v>
      </c>
      <c r="V157" s="22">
        <f t="shared" si="1259"/>
        <v>-34.600000000000023</v>
      </c>
      <c r="W157" s="22">
        <f t="shared" ref="W157" si="1260">W148-W156</f>
        <v>-53.419999999999334</v>
      </c>
      <c r="X157" s="22">
        <f t="shared" ref="X157:Y157" si="1261">X148-X156</f>
        <v>-84.890000000000157</v>
      </c>
      <c r="Y157" s="22">
        <f t="shared" si="1261"/>
        <v>-212.72000000000071</v>
      </c>
      <c r="Z157" s="22">
        <f t="shared" ref="Z157:AA157" si="1262">Z148-Z156</f>
        <v>-161.51000000000101</v>
      </c>
      <c r="AA157" s="22">
        <f t="shared" si="1262"/>
        <v>-325.56000000000034</v>
      </c>
      <c r="AB157" s="21">
        <f t="shared" ref="AA157:AD157" si="1263">AB148-AB156</f>
        <v>-79.510839107029369</v>
      </c>
      <c r="AC157" s="21">
        <f t="shared" si="1263"/>
        <v>-71.888658631644034</v>
      </c>
      <c r="AD157" s="21">
        <f t="shared" si="1263"/>
        <v>-64.938553813968952</v>
      </c>
      <c r="AE157" s="21">
        <f t="shared" ref="AE157" si="1264">AE148-AE156</f>
        <v>-58.656677394131123</v>
      </c>
      <c r="AJ157" s="22">
        <f t="shared" ref="AJ157" si="1265">AJ148-AJ156</f>
        <v>-963.0799999999997</v>
      </c>
      <c r="AK157" s="22">
        <f t="shared" ref="AK157" si="1266">AK148-AK156</f>
        <v>-959.10420828343445</v>
      </c>
      <c r="AL157" s="22">
        <f t="shared" ref="AL157:AM157" si="1267">AL148-AL156</f>
        <v>-777.09999999999991</v>
      </c>
      <c r="AM157" s="22">
        <f t="shared" si="1267"/>
        <v>-780.92322920183778</v>
      </c>
      <c r="AN157" s="22">
        <f t="shared" ref="AN157:AO157" si="1268">AN148-AN156</f>
        <v>-879.53</v>
      </c>
      <c r="AO157" s="22">
        <f t="shared" si="1268"/>
        <v>-882.18872453119684</v>
      </c>
      <c r="AP157" s="22">
        <f t="shared" ref="AP157:CE157" si="1269">AP148-AP156</f>
        <v>-793.77</v>
      </c>
      <c r="AQ157" s="22">
        <f t="shared" si="1269"/>
        <v>-808.09865367233283</v>
      </c>
      <c r="AR157" s="22">
        <f t="shared" si="1269"/>
        <v>-922.21</v>
      </c>
      <c r="AS157" s="22">
        <f t="shared" si="1269"/>
        <v>-951.31677242482215</v>
      </c>
      <c r="AT157" s="22">
        <f t="shared" si="1269"/>
        <v>-480.88000000000011</v>
      </c>
      <c r="AU157" s="22">
        <f t="shared" si="1269"/>
        <v>-483.97209077261323</v>
      </c>
      <c r="AV157" s="22">
        <f t="shared" si="1269"/>
        <v>-1488.5500000000002</v>
      </c>
      <c r="AW157" s="22">
        <f t="shared" si="1269"/>
        <v>-1485.3136794171219</v>
      </c>
      <c r="AX157" s="22">
        <f t="shared" si="1269"/>
        <v>405.23</v>
      </c>
      <c r="AY157" s="22">
        <f t="shared" si="1269"/>
        <v>404.34716268216789</v>
      </c>
      <c r="AZ157" s="22">
        <f t="shared" si="1269"/>
        <v>-2469.2000000000003</v>
      </c>
      <c r="BA157" s="22">
        <f t="shared" si="1269"/>
        <v>-2420.4895621554133</v>
      </c>
      <c r="BB157" s="22">
        <f t="shared" si="1269"/>
        <v>855.46</v>
      </c>
      <c r="BC157" s="22">
        <f t="shared" si="1269"/>
        <v>876.74562184634533</v>
      </c>
      <c r="BD157" s="22">
        <f t="shared" si="1269"/>
        <v>-2463.3370000000004</v>
      </c>
      <c r="BE157" s="22">
        <f t="shared" si="1269"/>
        <v>-2395.7186599394554</v>
      </c>
      <c r="BF157" s="22">
        <f t="shared" si="1269"/>
        <v>-3280.97</v>
      </c>
      <c r="BG157" s="22">
        <f t="shared" si="1269"/>
        <v>-3240.8254212511788</v>
      </c>
      <c r="BH157" s="22">
        <f t="shared" ref="BH157" si="1270">BH148-BH156</f>
        <v>-3421.9700000000003</v>
      </c>
      <c r="BI157" s="22">
        <f t="shared" si="1269"/>
        <v>-3407.9651071961225</v>
      </c>
      <c r="BJ157" s="22">
        <f t="shared" si="1269"/>
        <v>-3704.5400000000004</v>
      </c>
      <c r="BK157" s="22">
        <f t="shared" si="1269"/>
        <v>-3696.2064758463298</v>
      </c>
      <c r="BL157" s="22">
        <f t="shared" si="1269"/>
        <v>-5336.380000000001</v>
      </c>
      <c r="BM157" s="22">
        <f t="shared" si="1269"/>
        <v>-5328.0905407804694</v>
      </c>
      <c r="BN157" s="22">
        <f t="shared" si="1269"/>
        <v>-7806.6099999999988</v>
      </c>
      <c r="BO157" s="22">
        <f t="shared" si="1269"/>
        <v>-7796.4181234548823</v>
      </c>
      <c r="BP157" s="22">
        <f t="shared" si="1269"/>
        <v>-4158.51</v>
      </c>
      <c r="BQ157" s="22">
        <f t="shared" si="1269"/>
        <v>-4179.8337454219582</v>
      </c>
      <c r="BR157" s="22">
        <f t="shared" si="1269"/>
        <v>116.61000000000001</v>
      </c>
      <c r="BS157" s="22">
        <f t="shared" si="1269"/>
        <v>114.74594481510803</v>
      </c>
      <c r="BT157" s="22">
        <f t="shared" si="1269"/>
        <v>85.439999999999941</v>
      </c>
      <c r="BU157" s="22">
        <f t="shared" si="1269"/>
        <v>75.737834579752075</v>
      </c>
      <c r="BV157" s="22">
        <f t="shared" si="1269"/>
        <v>48.099999999999966</v>
      </c>
      <c r="BW157" s="22">
        <f t="shared" si="1269"/>
        <v>50.478147224869815</v>
      </c>
      <c r="BX157" s="22">
        <f t="shared" si="1269"/>
        <v>-6.0299999999999727</v>
      </c>
      <c r="BY157" s="22">
        <f t="shared" si="1269"/>
        <v>-8.9571972916515961</v>
      </c>
      <c r="BZ157" s="22">
        <f t="shared" si="1269"/>
        <v>-20.419999999999959</v>
      </c>
      <c r="CA157" s="22">
        <f t="shared" si="1269"/>
        <v>-22.329013672223596</v>
      </c>
      <c r="CB157" s="22">
        <f t="shared" si="1269"/>
        <v>-46.119999999999948</v>
      </c>
      <c r="CC157" s="22">
        <f t="shared" si="1269"/>
        <v>-50.021453873509472</v>
      </c>
      <c r="CD157" s="22">
        <f t="shared" si="1269"/>
        <v>-86.919999999999959</v>
      </c>
      <c r="CE157" s="22">
        <f t="shared" si="1269"/>
        <v>-86.992264839617746</v>
      </c>
      <c r="CF157" s="22">
        <f t="shared" ref="CF157:CG157" si="1271">CF148-CF156</f>
        <v>-56.469999999999914</v>
      </c>
      <c r="CG157" s="22">
        <f t="shared" si="1271"/>
        <v>-52.923321106258982</v>
      </c>
      <c r="CH157" s="22">
        <f t="shared" ref="CH157:CI157" si="1272">CH148-CH156</f>
        <v>-161.51000000000101</v>
      </c>
      <c r="CI157" s="22">
        <f t="shared" si="1272"/>
        <v>-148.92534953125607</v>
      </c>
      <c r="CJ157" s="22">
        <f t="shared" ref="CJ157:DB157" si="1273">CJ148-CJ156</f>
        <v>-89.560000000000059</v>
      </c>
      <c r="CK157" s="21">
        <f t="shared" si="1273"/>
        <v>-92.120377450809201</v>
      </c>
      <c r="CL157" s="22">
        <f t="shared" ref="CL157" si="1274">CL148-CL156</f>
        <v>-87.269999999999982</v>
      </c>
      <c r="CM157" s="21">
        <f t="shared" si="1273"/>
        <v>-74.593754191914854</v>
      </c>
      <c r="CN157" s="21">
        <f t="shared" si="1273"/>
        <v>-75.298872951784404</v>
      </c>
      <c r="CO157" s="21">
        <f t="shared" si="1273"/>
        <v>-78.716442598311801</v>
      </c>
      <c r="CP157" s="21">
        <f t="shared" si="1273"/>
        <v>-79.510839107029369</v>
      </c>
      <c r="CQ157" s="21">
        <f t="shared" si="1273"/>
        <v>-67.073693341810497</v>
      </c>
      <c r="CR157" s="21">
        <f t="shared" si="1273"/>
        <v>-67.905204139568923</v>
      </c>
      <c r="CS157" s="21">
        <f t="shared" si="1273"/>
        <v>-71.195927449195096</v>
      </c>
      <c r="CT157" s="21">
        <f t="shared" si="1273"/>
        <v>-71.888658631644034</v>
      </c>
      <c r="CU157" s="21">
        <f t="shared" si="1273"/>
        <v>-60.52717948585331</v>
      </c>
      <c r="CV157" s="21">
        <f t="shared" si="1273"/>
        <v>-61.332056722143307</v>
      </c>
      <c r="CW157" s="21">
        <f t="shared" si="1273"/>
        <v>-64.329019442526601</v>
      </c>
      <c r="CX157" s="21">
        <f t="shared" si="1273"/>
        <v>-64.938553813968952</v>
      </c>
      <c r="CY157" s="21">
        <f t="shared" si="1273"/>
        <v>-54.663150814818607</v>
      </c>
      <c r="CZ157" s="21">
        <f t="shared" si="1273"/>
        <v>-55.401077597660844</v>
      </c>
      <c r="DA157" s="21">
        <f t="shared" si="1273"/>
        <v>-58.109771520668176</v>
      </c>
      <c r="DB157" s="21">
        <f t="shared" si="1273"/>
        <v>-58.656677394131123</v>
      </c>
      <c r="DE157" s="126"/>
      <c r="DF157" s="22">
        <v>-87.269999999999982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17.5167</v>
      </c>
      <c r="C159" s="23">
        <f>'Annual Raw'!D75</f>
        <v>11.6</v>
      </c>
      <c r="D159" s="23">
        <f>'Annual Raw'!E75</f>
        <v>56.76</v>
      </c>
      <c r="E159" s="23">
        <f>'Annual Raw'!F75</f>
        <v>45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10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50.35</v>
      </c>
      <c r="O159" s="23">
        <f>'Annual Raw'!P75</f>
        <v>0</v>
      </c>
      <c r="P159" s="23">
        <f>'Annual Raw'!Q75</f>
        <v>0</v>
      </c>
      <c r="Q159" s="23">
        <f>'Annual Raw'!R75</f>
        <v>592.08000000000004</v>
      </c>
      <c r="R159" s="23">
        <f>'Annual Raw'!S75</f>
        <v>679.62</v>
      </c>
      <c r="S159" s="23">
        <f>'Annual Raw'!T75</f>
        <v>377.79</v>
      </c>
      <c r="T159" s="23">
        <f>'Annual Raw'!U75</f>
        <v>608.63</v>
      </c>
      <c r="U159" s="23">
        <f>'Annual Raw'!V75</f>
        <v>0</v>
      </c>
      <c r="V159" s="23">
        <f>'Annual Raw'!W75</f>
        <v>70.23</v>
      </c>
      <c r="W159" s="23">
        <f>'Annual Raw'!X75</f>
        <v>100.5</v>
      </c>
      <c r="X159" s="23">
        <f>'Annual Raw'!Y75</f>
        <v>66.41</v>
      </c>
      <c r="Y159" s="23">
        <f>'Annual Raw'!Z75</f>
        <v>34.35</v>
      </c>
      <c r="Z159" s="23">
        <f>'Annual Raw'!AA75</f>
        <v>57.98</v>
      </c>
      <c r="AA159" s="23">
        <f>'Annual Raw'!AB75</f>
        <v>23.13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50.35</v>
      </c>
      <c r="AN159" s="23">
        <f>+'QTR Raw'!H80</f>
        <v>81.3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592.08000000000004</v>
      </c>
      <c r="AZ159" s="23">
        <f>+'QTR Raw'!T80</f>
        <v>677.91</v>
      </c>
      <c r="BB159" s="23">
        <f>+'QTR Raw'!V80</f>
        <v>679.62</v>
      </c>
      <c r="BD159" s="23">
        <f>+'QTR Raw'!X80</f>
        <v>353.29</v>
      </c>
      <c r="BF159" s="23">
        <f>+'QTR Raw'!Z80</f>
        <v>377.79</v>
      </c>
      <c r="BH159" s="23">
        <f>+'QTR Raw'!AB80</f>
        <v>317.74</v>
      </c>
      <c r="BJ159" s="23">
        <f>+'QTR Raw'!AD80</f>
        <v>608.63</v>
      </c>
      <c r="BL159" s="23">
        <f>+'QTR Raw'!AF80</f>
        <v>61.73</v>
      </c>
      <c r="BN159" s="23">
        <f>+'QTR Raw'!AH80</f>
        <v>0</v>
      </c>
      <c r="BP159" s="23">
        <f>+'QTR Raw'!AJ80</f>
        <v>146.13999999999999</v>
      </c>
      <c r="BR159" s="23">
        <f>+'QTR Raw'!AL80</f>
        <v>70.23</v>
      </c>
      <c r="BT159" s="23">
        <f>+'QTR Raw'!AN80</f>
        <v>108.38</v>
      </c>
      <c r="BV159" s="23">
        <f>+'QTR Raw'!AP80</f>
        <v>100.5</v>
      </c>
      <c r="BX159" s="23">
        <f>+'QTR Raw'!AR80</f>
        <v>124.29</v>
      </c>
      <c r="BZ159" s="23">
        <f>+'QTR Raw'!AT80</f>
        <v>66.41</v>
      </c>
      <c r="CB159" s="23">
        <f>+'QTR Raw'!AV80</f>
        <v>72.45</v>
      </c>
      <c r="CD159" s="23">
        <f>+'QTR Raw'!AX80</f>
        <v>34.35</v>
      </c>
      <c r="CF159" s="23">
        <f>+'QTR Raw'!AZ80</f>
        <v>22.95</v>
      </c>
      <c r="CH159" s="23">
        <f t="shared" ref="CH159:CH160" si="1279">Z159</f>
        <v>57.98</v>
      </c>
      <c r="CJ159" s="23">
        <f>+'QTR Raw'!BD80</f>
        <v>68.209999999999994</v>
      </c>
      <c r="CK159" s="24"/>
      <c r="CL159" s="23">
        <f>+'QTR Raw'!BF80</f>
        <v>23.13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23.13</v>
      </c>
    </row>
    <row r="160" spans="1:110" s="23" customFormat="1" outlineLevel="1" x14ac:dyDescent="0.2">
      <c r="A160" s="23" t="s">
        <v>76</v>
      </c>
      <c r="B160" s="23">
        <f>'Annual Raw'!C78</f>
        <v>85.211699999999993</v>
      </c>
      <c r="C160" s="23">
        <f>'Annual Raw'!D78</f>
        <v>89.64</v>
      </c>
      <c r="D160" s="23">
        <f>'Annual Raw'!E78</f>
        <v>122.46</v>
      </c>
      <c r="E160" s="23">
        <f>'Annual Raw'!F78</f>
        <v>61.46</v>
      </c>
      <c r="F160" s="23">
        <f>'Annual Raw'!G78</f>
        <v>82.02</v>
      </c>
      <c r="G160" s="23">
        <f>'Annual Raw'!H78</f>
        <v>27.39</v>
      </c>
      <c r="H160" s="23">
        <f>'Annual Raw'!I78</f>
        <v>83.61</v>
      </c>
      <c r="I160" s="23">
        <f>'Annual Raw'!J78</f>
        <v>34.46</v>
      </c>
      <c r="J160" s="23">
        <f>'Annual Raw'!K78</f>
        <v>27.49</v>
      </c>
      <c r="K160" s="23">
        <f>'Annual Raw'!L78</f>
        <v>23.01</v>
      </c>
      <c r="L160" s="23">
        <f>'Annual Raw'!M78</f>
        <v>74.680000000000007</v>
      </c>
      <c r="M160" s="23">
        <f>'Annual Raw'!N78</f>
        <v>137.38999999999999</v>
      </c>
      <c r="N160" s="23">
        <f>'Annual Raw'!O78</f>
        <v>86.46</v>
      </c>
      <c r="O160" s="23">
        <f>'Annual Raw'!P78</f>
        <v>21.65</v>
      </c>
      <c r="P160" s="23">
        <f>'Annual Raw'!Q78</f>
        <v>49.49</v>
      </c>
      <c r="Q160" s="23">
        <f>'Annual Raw'!R78</f>
        <v>66.989999999999995</v>
      </c>
      <c r="R160" s="23">
        <f>'Annual Raw'!S78</f>
        <v>37.03</v>
      </c>
      <c r="S160" s="23">
        <f>'Annual Raw'!T78</f>
        <v>39.159999999999997</v>
      </c>
      <c r="T160" s="23">
        <f>'Annual Raw'!U78</f>
        <v>171.13</v>
      </c>
      <c r="U160" s="23">
        <f>'Annual Raw'!V78</f>
        <v>84.53</v>
      </c>
      <c r="V160" s="23">
        <f>'Annual Raw'!W78</f>
        <v>43.29</v>
      </c>
      <c r="W160" s="23">
        <f>'Annual Raw'!X78</f>
        <v>17.02</v>
      </c>
      <c r="X160" s="23">
        <f>'Annual Raw'!Y78</f>
        <v>14.26</v>
      </c>
      <c r="Y160" s="23">
        <f>'Annual Raw'!Z78</f>
        <v>32.49</v>
      </c>
      <c r="Z160" s="23">
        <f>'Annual Raw'!AA78</f>
        <v>42.45</v>
      </c>
      <c r="AA160" s="23">
        <f>'Annual Raw'!AB78</f>
        <v>15.63</v>
      </c>
      <c r="AB160" s="24">
        <f t="shared" si="1275"/>
        <v>-260.52626383425729</v>
      </c>
      <c r="AC160" s="24">
        <f t="shared" si="1276"/>
        <v>-626.39475043709137</v>
      </c>
      <c r="AD160" s="24">
        <f t="shared" si="1277"/>
        <v>-1056.8546606884256</v>
      </c>
      <c r="AE160" s="24">
        <f t="shared" si="1278"/>
        <v>-1549.9223036224225</v>
      </c>
      <c r="AJ160" s="23">
        <f>+'QTR Raw'!D83</f>
        <v>194.37</v>
      </c>
      <c r="AK160" s="23">
        <f t="shared" ref="AK160:AM160" si="1280">+AK210</f>
        <v>-6.7657917165649053</v>
      </c>
      <c r="AL160" s="23">
        <f>+'QTR Raw'!F83</f>
        <v>86.46</v>
      </c>
      <c r="AM160" s="23">
        <f t="shared" si="1280"/>
        <v>13.743229201838105</v>
      </c>
      <c r="AN160" s="23">
        <f>+'QTR Raw'!H83</f>
        <v>110.86</v>
      </c>
      <c r="AO160" s="23">
        <f t="shared" ref="AO160" si="1281">+AO210</f>
        <v>38.458724531197504</v>
      </c>
      <c r="AP160" s="23">
        <f>+'QTR Raw'!J83</f>
        <v>21.65</v>
      </c>
      <c r="AQ160" s="23">
        <f t="shared" ref="AQ160" si="1282">+AQ210</f>
        <v>-86.931346327666901</v>
      </c>
      <c r="AR160" s="23">
        <f>+'QTR Raw'!L83</f>
        <v>21.71</v>
      </c>
      <c r="AS160" s="23">
        <f t="shared" ref="AS160" si="1283">+AS210</f>
        <v>-118.2532275751777</v>
      </c>
      <c r="AT160" s="23">
        <f>+'QTR Raw'!N83</f>
        <v>49.49</v>
      </c>
      <c r="AU160" s="23">
        <f t="shared" ref="AU160" si="1284">+AU210</f>
        <v>-30.947909227386361</v>
      </c>
      <c r="AV160" s="23">
        <f>+'QTR Raw'!P83</f>
        <v>341.9</v>
      </c>
      <c r="AW160" s="23">
        <f t="shared" ref="AW160" si="1285">+AW210</f>
        <v>261.52367941712106</v>
      </c>
      <c r="AX160" s="23">
        <f>+'QTR Raw'!R83</f>
        <v>66.989999999999995</v>
      </c>
      <c r="AY160" s="23">
        <f t="shared" ref="AY160" si="1286">+AY210</f>
        <v>551.88283731783258</v>
      </c>
      <c r="AZ160" s="23">
        <f>+'QTR Raw'!T83</f>
        <v>219.24</v>
      </c>
      <c r="BA160" s="23">
        <f t="shared" ref="BA160" si="1287">+BA210</f>
        <v>433.69956215541299</v>
      </c>
      <c r="BB160" s="23">
        <f>+'QTR Raw'!V83</f>
        <v>37.03</v>
      </c>
      <c r="BC160" s="23">
        <f t="shared" ref="BC160" si="1288">+BC210</f>
        <v>213.93437815365456</v>
      </c>
      <c r="BD160" s="23">
        <f>+'QTR Raw'!X83</f>
        <v>19.21</v>
      </c>
      <c r="BE160" s="23">
        <f t="shared" ref="BE160" si="1289">+BE210</f>
        <v>-175.86834006054477</v>
      </c>
      <c r="BF160" s="23">
        <f>+'QTR Raw'!Z83</f>
        <v>39.159999999999997</v>
      </c>
      <c r="BG160" s="23">
        <f t="shared" ref="BG160" si="1290">+BG210</f>
        <v>-78.624578748820909</v>
      </c>
      <c r="BH160" s="23">
        <f>+'QTR Raw'!AB83</f>
        <v>23.92</v>
      </c>
      <c r="BI160" s="23">
        <f t="shared" ref="BI160" si="1291">+BI210</f>
        <v>-81.764892803875966</v>
      </c>
      <c r="BJ160" s="23">
        <f>+'QTR Raw'!AD83</f>
        <v>171.13</v>
      </c>
      <c r="BK160" s="23">
        <f t="shared" ref="BK160" si="1292">+BK210</f>
        <v>542.57647584633116</v>
      </c>
      <c r="BL160" s="23">
        <f>+'QTR Raw'!AF83</f>
        <v>27.97</v>
      </c>
      <c r="BM160" s="23">
        <f t="shared" ref="BM160" si="1293">+BM210</f>
        <v>-195.43945921952911</v>
      </c>
      <c r="BN160" s="23">
        <f>+'QTR Raw'!AH83</f>
        <v>84.53</v>
      </c>
      <c r="BO160" s="23">
        <f t="shared" ref="BO160" si="1294">+BO210</f>
        <v>-994.92187654511713</v>
      </c>
      <c r="BP160" s="23">
        <f>+'QTR Raw'!AJ83</f>
        <v>47.28</v>
      </c>
      <c r="BQ160" s="23">
        <f t="shared" ref="BQ160" si="1295">+BQ210</f>
        <v>-83.206254578041211</v>
      </c>
      <c r="BR160" s="23">
        <f>+'QTR Raw'!AL83</f>
        <v>43.29</v>
      </c>
      <c r="BS160" s="23">
        <f t="shared" ref="BS160" si="1296">+BS210</f>
        <v>-203.065944815108</v>
      </c>
      <c r="BT160" s="23">
        <f>+'QTR Raw'!AN83</f>
        <v>15.09</v>
      </c>
      <c r="BU160" s="23">
        <f t="shared" ref="BU160" si="1297">+BU210</f>
        <v>-169.12783457975209</v>
      </c>
      <c r="BV160" s="23">
        <f>+'QTR Raw'!AP83</f>
        <v>17.02</v>
      </c>
      <c r="BW160" s="23">
        <f t="shared" ref="BW160" si="1298">+BW210</f>
        <v>-179.95814722486989</v>
      </c>
      <c r="BX160" s="23">
        <f>+'QTR Raw'!AR83</f>
        <v>17.11</v>
      </c>
      <c r="BY160" s="23">
        <f t="shared" ref="BY160" si="1299">+BY210</f>
        <v>-135.46280270834842</v>
      </c>
      <c r="BZ160" s="23">
        <f>+'QTR Raw'!AT83</f>
        <v>14.26</v>
      </c>
      <c r="CA160" s="23">
        <f t="shared" ref="CA160" si="1300">+CA210</f>
        <v>-218.60098632777641</v>
      </c>
      <c r="CB160" s="23">
        <f>+'QTR Raw'!AV83</f>
        <v>15.03</v>
      </c>
      <c r="CC160" s="23">
        <f t="shared" ref="CC160" si="1301">+CC210</f>
        <v>-216.30854612649051</v>
      </c>
      <c r="CD160" s="23">
        <f>+'QTR Raw'!AX83</f>
        <v>32.49</v>
      </c>
      <c r="CE160" s="23">
        <f t="shared" ref="CE160" si="1302">+CE210</f>
        <v>-256.48773516038216</v>
      </c>
      <c r="CF160" s="23">
        <f>+'QTR Raw'!AZ83</f>
        <v>21.41</v>
      </c>
      <c r="CG160" s="23">
        <f t="shared" ref="CG160:CI160" si="1303">+CG210</f>
        <v>-274.29667889374088</v>
      </c>
      <c r="CH160" s="23">
        <f t="shared" si="1279"/>
        <v>42.45</v>
      </c>
      <c r="CI160" s="23">
        <f t="shared" si="1303"/>
        <v>-200.18465046874496</v>
      </c>
      <c r="CJ160" s="23">
        <f>+'QTR Raw'!BD83</f>
        <v>4.8899999999999997</v>
      </c>
      <c r="CK160" s="24">
        <f t="shared" ref="CK160:DB160" si="1304">+CK210</f>
        <v>-39.099622549190869</v>
      </c>
      <c r="CL160" s="23">
        <f>+'QTR Raw'!BF83</f>
        <v>15.63</v>
      </c>
      <c r="CM160" s="24">
        <f t="shared" si="1304"/>
        <v>-52.222890701590948</v>
      </c>
      <c r="CN160" s="24">
        <f t="shared" si="1304"/>
        <v>-128.05682020439303</v>
      </c>
      <c r="CO160" s="24">
        <f t="shared" si="1304"/>
        <v>-192.06150351103315</v>
      </c>
      <c r="CP160" s="24">
        <f t="shared" si="1304"/>
        <v>-260.52626383425729</v>
      </c>
      <c r="CQ160" s="24">
        <f t="shared" si="1304"/>
        <v>-365.92600438892924</v>
      </c>
      <c r="CR160" s="24">
        <f t="shared" si="1304"/>
        <v>-457.12446268475503</v>
      </c>
      <c r="CS160" s="24">
        <f t="shared" si="1304"/>
        <v>-540.44620724503307</v>
      </c>
      <c r="CT160" s="24">
        <f t="shared" si="1304"/>
        <v>-626.39475043709137</v>
      </c>
      <c r="CU160" s="24">
        <f t="shared" si="1304"/>
        <v>-746.09518976699189</v>
      </c>
      <c r="CV160" s="24">
        <f t="shared" si="1304"/>
        <v>-853.2913775368271</v>
      </c>
      <c r="CW160" s="24">
        <f t="shared" si="1304"/>
        <v>-953.88868590231812</v>
      </c>
      <c r="CX160" s="24">
        <f t="shared" si="1304"/>
        <v>-1056.8546606884256</v>
      </c>
      <c r="CY160" s="24">
        <f t="shared" si="1304"/>
        <v>-1190.6187365432329</v>
      </c>
      <c r="CZ160" s="24">
        <f t="shared" si="1304"/>
        <v>-1313.3798485891416</v>
      </c>
      <c r="DA160" s="24">
        <f t="shared" si="1304"/>
        <v>-1430.4651553384554</v>
      </c>
      <c r="DB160" s="24">
        <f t="shared" si="1304"/>
        <v>-1549.9223036224225</v>
      </c>
      <c r="DE160" s="123"/>
      <c r="DF160" s="23">
        <v>15.63</v>
      </c>
    </row>
    <row r="161" spans="1:110" s="22" customFormat="1" x14ac:dyDescent="0.2">
      <c r="A161" s="22" t="s">
        <v>77</v>
      </c>
      <c r="B161" s="22">
        <f>B159+B160</f>
        <v>102.72839999999999</v>
      </c>
      <c r="C161" s="22">
        <f t="shared" ref="C161:V161" si="1305">C159+C160</f>
        <v>101.24</v>
      </c>
      <c r="D161" s="22">
        <f t="shared" si="1305"/>
        <v>179.22</v>
      </c>
      <c r="E161" s="22">
        <f t="shared" si="1305"/>
        <v>106.46000000000001</v>
      </c>
      <c r="F161" s="22">
        <f t="shared" si="1305"/>
        <v>82.02</v>
      </c>
      <c r="G161" s="22">
        <f t="shared" si="1305"/>
        <v>27.39</v>
      </c>
      <c r="H161" s="22">
        <f t="shared" si="1305"/>
        <v>83.61</v>
      </c>
      <c r="I161" s="22">
        <f t="shared" si="1305"/>
        <v>34.46</v>
      </c>
      <c r="J161" s="22">
        <f t="shared" si="1305"/>
        <v>37.489999999999995</v>
      </c>
      <c r="K161" s="22">
        <f t="shared" si="1305"/>
        <v>23.01</v>
      </c>
      <c r="L161" s="22">
        <f t="shared" si="1305"/>
        <v>74.680000000000007</v>
      </c>
      <c r="M161" s="22">
        <f t="shared" si="1305"/>
        <v>137.38999999999999</v>
      </c>
      <c r="N161" s="22">
        <f t="shared" si="1305"/>
        <v>136.81</v>
      </c>
      <c r="O161" s="22">
        <f t="shared" si="1305"/>
        <v>21.65</v>
      </c>
      <c r="P161" s="22">
        <f t="shared" si="1305"/>
        <v>49.49</v>
      </c>
      <c r="Q161" s="22">
        <f t="shared" si="1305"/>
        <v>659.07</v>
      </c>
      <c r="R161" s="22">
        <f t="shared" si="1305"/>
        <v>716.65</v>
      </c>
      <c r="S161" s="22">
        <f t="shared" si="1305"/>
        <v>416.95000000000005</v>
      </c>
      <c r="T161" s="22">
        <f t="shared" si="1305"/>
        <v>779.76</v>
      </c>
      <c r="U161" s="22">
        <f t="shared" si="1305"/>
        <v>84.53</v>
      </c>
      <c r="V161" s="22">
        <f t="shared" si="1305"/>
        <v>113.52000000000001</v>
      </c>
      <c r="W161" s="22">
        <f t="shared" ref="W161" si="1306">W159+W160</f>
        <v>117.52</v>
      </c>
      <c r="X161" s="22">
        <f t="shared" ref="X161:Y161" si="1307">X159+X160</f>
        <v>80.67</v>
      </c>
      <c r="Y161" s="22">
        <f t="shared" si="1307"/>
        <v>66.84</v>
      </c>
      <c r="Z161" s="22">
        <f t="shared" ref="Z161:AA161" si="1308">Z159+Z160</f>
        <v>100.43</v>
      </c>
      <c r="AA161" s="22">
        <f t="shared" si="1308"/>
        <v>38.76</v>
      </c>
      <c r="AB161" s="21">
        <f t="shared" ref="AA161:AD161" si="1309">AB159+AB160</f>
        <v>-260.52626383425729</v>
      </c>
      <c r="AC161" s="21">
        <f t="shared" si="1309"/>
        <v>-626.39475043709137</v>
      </c>
      <c r="AD161" s="21">
        <f t="shared" si="1309"/>
        <v>-1056.8546606884256</v>
      </c>
      <c r="AE161" s="21">
        <f t="shared" ref="AE161" si="1310">AE159+AE160</f>
        <v>-1549.9223036224225</v>
      </c>
      <c r="AJ161" s="22">
        <f t="shared" ref="AJ161" si="1311">AJ159+AJ160</f>
        <v>194.37</v>
      </c>
      <c r="AK161" s="22">
        <f t="shared" ref="AK161" si="1312">AK159+AK160</f>
        <v>-6.7657917165649053</v>
      </c>
      <c r="AL161" s="22">
        <f t="shared" ref="AL161:AM161" si="1313">AL159+AL160</f>
        <v>136.81</v>
      </c>
      <c r="AM161" s="22">
        <f t="shared" si="1313"/>
        <v>13.743229201838105</v>
      </c>
      <c r="AN161" s="22">
        <f t="shared" ref="AN161:AO161" si="1314">AN159+AN160</f>
        <v>192.16</v>
      </c>
      <c r="AO161" s="22">
        <f t="shared" si="1314"/>
        <v>38.458724531197504</v>
      </c>
      <c r="AP161" s="22">
        <f t="shared" ref="AP161:CE161" si="1315">AP159+AP160</f>
        <v>21.65</v>
      </c>
      <c r="AQ161" s="22">
        <f t="shared" si="1315"/>
        <v>-86.931346327666901</v>
      </c>
      <c r="AR161" s="22">
        <f t="shared" si="1315"/>
        <v>21.71</v>
      </c>
      <c r="AS161" s="22">
        <f t="shared" si="1315"/>
        <v>-118.2532275751777</v>
      </c>
      <c r="AT161" s="22">
        <f t="shared" si="1315"/>
        <v>49.49</v>
      </c>
      <c r="AU161" s="22">
        <f t="shared" si="1315"/>
        <v>-30.947909227386361</v>
      </c>
      <c r="AV161" s="22">
        <f t="shared" si="1315"/>
        <v>341.9</v>
      </c>
      <c r="AW161" s="22">
        <f t="shared" si="1315"/>
        <v>261.52367941712106</v>
      </c>
      <c r="AX161" s="22">
        <f t="shared" si="1315"/>
        <v>659.07</v>
      </c>
      <c r="AY161" s="22">
        <f t="shared" si="1315"/>
        <v>551.88283731783258</v>
      </c>
      <c r="AZ161" s="22">
        <f t="shared" si="1315"/>
        <v>897.15</v>
      </c>
      <c r="BA161" s="22">
        <f t="shared" si="1315"/>
        <v>433.69956215541299</v>
      </c>
      <c r="BB161" s="22">
        <f t="shared" si="1315"/>
        <v>716.65</v>
      </c>
      <c r="BC161" s="22">
        <f t="shared" si="1315"/>
        <v>213.93437815365456</v>
      </c>
      <c r="BD161" s="22">
        <f t="shared" si="1315"/>
        <v>372.5</v>
      </c>
      <c r="BE161" s="22">
        <f t="shared" si="1315"/>
        <v>-175.86834006054477</v>
      </c>
      <c r="BF161" s="22">
        <f t="shared" si="1315"/>
        <v>416.95000000000005</v>
      </c>
      <c r="BG161" s="22">
        <f t="shared" si="1315"/>
        <v>-78.624578748820909</v>
      </c>
      <c r="BH161" s="22">
        <f t="shared" si="1315"/>
        <v>341.66</v>
      </c>
      <c r="BI161" s="22">
        <f t="shared" si="1315"/>
        <v>-81.764892803875966</v>
      </c>
      <c r="BJ161" s="22">
        <f t="shared" si="1315"/>
        <v>779.76</v>
      </c>
      <c r="BK161" s="22">
        <f t="shared" si="1315"/>
        <v>542.57647584633116</v>
      </c>
      <c r="BL161" s="22">
        <f t="shared" si="1315"/>
        <v>89.699999999999989</v>
      </c>
      <c r="BM161" s="22">
        <f t="shared" si="1315"/>
        <v>-195.43945921952911</v>
      </c>
      <c r="BN161" s="22">
        <f t="shared" si="1315"/>
        <v>84.53</v>
      </c>
      <c r="BO161" s="22">
        <f t="shared" si="1315"/>
        <v>-994.92187654511713</v>
      </c>
      <c r="BP161" s="22">
        <f t="shared" si="1315"/>
        <v>193.42</v>
      </c>
      <c r="BQ161" s="22">
        <f t="shared" si="1315"/>
        <v>-83.206254578041211</v>
      </c>
      <c r="BR161" s="22">
        <f t="shared" si="1315"/>
        <v>113.52000000000001</v>
      </c>
      <c r="BS161" s="22">
        <f t="shared" si="1315"/>
        <v>-203.065944815108</v>
      </c>
      <c r="BT161" s="22">
        <f t="shared" si="1315"/>
        <v>123.47</v>
      </c>
      <c r="BU161" s="22">
        <f t="shared" si="1315"/>
        <v>-169.12783457975209</v>
      </c>
      <c r="BV161" s="22">
        <f t="shared" si="1315"/>
        <v>117.52</v>
      </c>
      <c r="BW161" s="22">
        <f t="shared" si="1315"/>
        <v>-179.95814722486989</v>
      </c>
      <c r="BX161" s="22">
        <f t="shared" si="1315"/>
        <v>141.4</v>
      </c>
      <c r="BY161" s="22">
        <f t="shared" si="1315"/>
        <v>-135.46280270834842</v>
      </c>
      <c r="BZ161" s="22">
        <f t="shared" si="1315"/>
        <v>80.67</v>
      </c>
      <c r="CA161" s="22">
        <f t="shared" si="1315"/>
        <v>-218.60098632777641</v>
      </c>
      <c r="CB161" s="22">
        <f t="shared" si="1315"/>
        <v>87.48</v>
      </c>
      <c r="CC161" s="22">
        <f t="shared" si="1315"/>
        <v>-216.30854612649051</v>
      </c>
      <c r="CD161" s="22">
        <f t="shared" si="1315"/>
        <v>66.84</v>
      </c>
      <c r="CE161" s="22">
        <f t="shared" si="1315"/>
        <v>-256.48773516038216</v>
      </c>
      <c r="CF161" s="22">
        <f t="shared" ref="CF161:CG161" si="1316">CF159+CF160</f>
        <v>44.36</v>
      </c>
      <c r="CG161" s="22">
        <f t="shared" si="1316"/>
        <v>-274.29667889374088</v>
      </c>
      <c r="CH161" s="22">
        <f t="shared" ref="CH161:CI161" si="1317">CH159+CH160</f>
        <v>100.43</v>
      </c>
      <c r="CI161" s="22">
        <f t="shared" si="1317"/>
        <v>-200.18465046874496</v>
      </c>
      <c r="CJ161" s="22">
        <f t="shared" ref="CJ161:DB161" si="1318">CJ159+CJ160</f>
        <v>73.099999999999994</v>
      </c>
      <c r="CK161" s="21">
        <f t="shared" si="1318"/>
        <v>-39.099622549190869</v>
      </c>
      <c r="CL161" s="22">
        <f t="shared" ref="CL161" si="1319">CL159+CL160</f>
        <v>38.76</v>
      </c>
      <c r="CM161" s="21">
        <f t="shared" si="1318"/>
        <v>-52.222890701590948</v>
      </c>
      <c r="CN161" s="21">
        <f t="shared" si="1318"/>
        <v>-128.05682020439303</v>
      </c>
      <c r="CO161" s="21">
        <f t="shared" si="1318"/>
        <v>-192.06150351103315</v>
      </c>
      <c r="CP161" s="21">
        <f t="shared" si="1318"/>
        <v>-260.52626383425729</v>
      </c>
      <c r="CQ161" s="21">
        <f t="shared" si="1318"/>
        <v>-365.92600438892924</v>
      </c>
      <c r="CR161" s="21">
        <f t="shared" si="1318"/>
        <v>-457.12446268475503</v>
      </c>
      <c r="CS161" s="21">
        <f t="shared" si="1318"/>
        <v>-540.44620724503307</v>
      </c>
      <c r="CT161" s="21">
        <f t="shared" si="1318"/>
        <v>-626.39475043709137</v>
      </c>
      <c r="CU161" s="21">
        <f t="shared" si="1318"/>
        <v>-746.09518976699189</v>
      </c>
      <c r="CV161" s="21">
        <f t="shared" si="1318"/>
        <v>-853.2913775368271</v>
      </c>
      <c r="CW161" s="21">
        <f t="shared" si="1318"/>
        <v>-953.88868590231812</v>
      </c>
      <c r="CX161" s="21">
        <f t="shared" si="1318"/>
        <v>-1056.8546606884256</v>
      </c>
      <c r="CY161" s="21">
        <f t="shared" si="1318"/>
        <v>-1190.6187365432329</v>
      </c>
      <c r="CZ161" s="21">
        <f t="shared" si="1318"/>
        <v>-1313.3798485891416</v>
      </c>
      <c r="DA161" s="21">
        <f t="shared" si="1318"/>
        <v>-1430.4651553384554</v>
      </c>
      <c r="DB161" s="21">
        <f t="shared" si="1318"/>
        <v>-1549.9223036224225</v>
      </c>
      <c r="DE161" s="126"/>
      <c r="DF161" s="22">
        <v>38.76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3">
        <f>-'Annual Raw'!AB49</f>
        <v>0</v>
      </c>
      <c r="AB163" s="24">
        <f t="shared" ref="AB163:AB164" si="1320">+CP163</f>
        <v>0</v>
      </c>
      <c r="AC163" s="24">
        <f t="shared" ref="AC163:AC164" si="1321">+CT163</f>
        <v>0</v>
      </c>
      <c r="AD163" s="24">
        <f t="shared" ref="AD163:AD164" si="1322">+CX163</f>
        <v>0</v>
      </c>
      <c r="AE163" s="24">
        <f t="shared" ref="AE163:AE164" si="1323">+DB163</f>
        <v>0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0</v>
      </c>
      <c r="BW163" s="23">
        <f t="shared" si="1324"/>
        <v>0</v>
      </c>
      <c r="BX163" s="23">
        <f>+'QTR Raw'!AR96</f>
        <v>0</v>
      </c>
      <c r="BY163" s="23">
        <f t="shared" si="1324"/>
        <v>0</v>
      </c>
      <c r="BZ163" s="23">
        <f>+'QTR Raw'!AT96</f>
        <v>0</v>
      </c>
      <c r="CA163" s="23">
        <f t="shared" si="1324"/>
        <v>0</v>
      </c>
      <c r="CB163" s="23">
        <f>+'QTR Raw'!AV96</f>
        <v>0</v>
      </c>
      <c r="CC163" s="23">
        <f t="shared" si="1324"/>
        <v>0</v>
      </c>
      <c r="CD163" s="23">
        <f>+'QTR Raw'!AX96</f>
        <v>0</v>
      </c>
      <c r="CE163" s="23">
        <f t="shared" si="1324"/>
        <v>0</v>
      </c>
      <c r="CF163" s="23">
        <f>+'QTR Raw'!AZ96</f>
        <v>0</v>
      </c>
      <c r="CG163" s="23">
        <f t="shared" ref="CG163:CI164" si="1325">+CF163</f>
        <v>0</v>
      </c>
      <c r="CH163" s="23">
        <f t="shared" ref="CH163:CH164" si="1326">Z163</f>
        <v>0</v>
      </c>
      <c r="CI163" s="23">
        <f t="shared" si="1325"/>
        <v>0</v>
      </c>
      <c r="CJ163" s="23">
        <f>+'QTR Raw'!BD96</f>
        <v>0</v>
      </c>
      <c r="CK163" s="24">
        <f t="shared" ref="CK163:CK164" si="1327">+CJ163</f>
        <v>0</v>
      </c>
      <c r="CL163" s="23">
        <f>+'QTR Raw'!BF96</f>
        <v>0</v>
      </c>
      <c r="CM163" s="24">
        <f t="shared" ref="CM163:CM164" si="1328">+CL163</f>
        <v>0</v>
      </c>
      <c r="CN163" s="24">
        <f t="shared" ref="CN163:CN164" si="1329">+CM163</f>
        <v>0</v>
      </c>
      <c r="CO163" s="24">
        <f t="shared" ref="CO163:CO164" si="1330">+CN163</f>
        <v>0</v>
      </c>
      <c r="CP163" s="24">
        <f t="shared" ref="CP163:CP164" si="1331">+CO163</f>
        <v>0</v>
      </c>
      <c r="CQ163" s="24">
        <f t="shared" ref="CQ163:CQ164" si="1332">+CP163</f>
        <v>0</v>
      </c>
      <c r="CR163" s="24">
        <f t="shared" ref="CR163:CR164" si="1333">+CQ163</f>
        <v>0</v>
      </c>
      <c r="CS163" s="24">
        <f t="shared" ref="CS163:CS164" si="1334">+CR163</f>
        <v>0</v>
      </c>
      <c r="CT163" s="24">
        <f t="shared" ref="CT163:CT164" si="1335">+CS163</f>
        <v>0</v>
      </c>
      <c r="CU163" s="24">
        <f t="shared" ref="CU163:CU164" si="1336">+CT163</f>
        <v>0</v>
      </c>
      <c r="CV163" s="24">
        <f t="shared" ref="CV163:CV164" si="1337">+CU163</f>
        <v>0</v>
      </c>
      <c r="CW163" s="24">
        <f t="shared" ref="CW163:CW164" si="1338">+CV163</f>
        <v>0</v>
      </c>
      <c r="CX163" s="24">
        <f t="shared" ref="CX163:CX164" si="1339">+CW163</f>
        <v>0</v>
      </c>
      <c r="CY163" s="24">
        <f t="shared" ref="CY163:CY164" si="1340">+CX163</f>
        <v>0</v>
      </c>
      <c r="CZ163" s="24">
        <f t="shared" ref="CZ163:CZ164" si="1341">+CY163</f>
        <v>0</v>
      </c>
      <c r="DA163" s="24">
        <f t="shared" ref="DA163:DA164" si="1342">+CZ163</f>
        <v>0</v>
      </c>
      <c r="DB163" s="24">
        <f t="shared" ref="DB163:DB164" si="1343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17.890999999999998</v>
      </c>
      <c r="C164" s="23">
        <f>'Annual Raw'!D83</f>
        <v>11.94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1330.4495000000002</v>
      </c>
      <c r="C165" s="26">
        <f t="shared" si="1345"/>
        <v>1181.77</v>
      </c>
      <c r="D165" s="26">
        <f t="shared" si="1345"/>
        <v>1336.2999999999997</v>
      </c>
      <c r="E165" s="26">
        <f t="shared" si="1345"/>
        <v>1835.6600000000003</v>
      </c>
      <c r="F165" s="26">
        <f t="shared" si="1345"/>
        <v>1839.14</v>
      </c>
      <c r="G165" s="26">
        <f t="shared" si="1345"/>
        <v>1614.2400000000002</v>
      </c>
      <c r="H165" s="26">
        <f t="shared" si="1345"/>
        <v>1707.66</v>
      </c>
      <c r="I165" s="26">
        <f t="shared" si="1345"/>
        <v>2426.2800000000002</v>
      </c>
      <c r="J165" s="26">
        <f t="shared" si="1345"/>
        <v>2965.62</v>
      </c>
      <c r="K165" s="26">
        <f t="shared" si="1345"/>
        <v>3243.2999999999997</v>
      </c>
      <c r="L165" s="26">
        <f t="shared" si="1345"/>
        <v>4036.17</v>
      </c>
      <c r="M165" s="26">
        <f t="shared" si="1345"/>
        <v>4314.0600000000004</v>
      </c>
      <c r="N165" s="26">
        <f t="shared" si="1345"/>
        <v>4454.3099999999995</v>
      </c>
      <c r="O165" s="26">
        <f t="shared" si="1345"/>
        <v>4167.119999999999</v>
      </c>
      <c r="P165" s="26">
        <f t="shared" si="1345"/>
        <v>4442.1000000000004</v>
      </c>
      <c r="Q165" s="26">
        <f t="shared" si="1345"/>
        <v>7667.420000000001</v>
      </c>
      <c r="R165" s="26">
        <f t="shared" si="1345"/>
        <v>10310.68</v>
      </c>
      <c r="S165" s="26">
        <f t="shared" si="1345"/>
        <v>418.8600000000007</v>
      </c>
      <c r="T165" s="26">
        <f t="shared" si="1345"/>
        <v>1725.3800000000008</v>
      </c>
      <c r="U165" s="26">
        <f t="shared" si="1345"/>
        <v>-777.78999999999985</v>
      </c>
      <c r="V165" s="26">
        <f t="shared" si="1345"/>
        <v>938.3399999999998</v>
      </c>
      <c r="W165" s="26">
        <f t="shared" si="1345"/>
        <v>871.36000000000058</v>
      </c>
      <c r="X165" s="26">
        <f t="shared" ref="X165:Y165" si="1346">X163+X161+X157+X140+X138+X164</f>
        <v>770.61999999999966</v>
      </c>
      <c r="Y165" s="26">
        <f t="shared" si="1346"/>
        <v>701.46999999999969</v>
      </c>
      <c r="Z165" s="26">
        <f t="shared" ref="Z165:AA165" si="1347">Z163+Z161+Z157+Z140+Z138+Z164</f>
        <v>771.86999999999898</v>
      </c>
      <c r="AA165" s="26">
        <f t="shared" si="1347"/>
        <v>679.66000000000008</v>
      </c>
      <c r="AB165" s="27">
        <f t="shared" ref="AA165:AD165" si="1348">AB163+AB161+AB157+AB140+AB138+AB164</f>
        <v>262.40492101916698</v>
      </c>
      <c r="AC165" s="27">
        <f t="shared" si="1348"/>
        <v>-199.00587951974734</v>
      </c>
      <c r="AD165" s="27">
        <f t="shared" si="1348"/>
        <v>-707.16600099623997</v>
      </c>
      <c r="AE165" s="27">
        <f t="shared" ref="AE165" si="1349">AE163+AE161+AE157+AE140+AE138+AE164</f>
        <v>-1263.4105095614345</v>
      </c>
      <c r="AJ165" s="26">
        <f t="shared" ref="AJ165" si="1350">AJ163+AJ161+AJ157+AJ140+AJ138+AJ164</f>
        <v>4180.05</v>
      </c>
      <c r="AK165" s="26">
        <f t="shared" ref="AK165:AL165" si="1351">AK163+AK161+AK157+AK140+AK138+AK164</f>
        <v>3982.8900000000008</v>
      </c>
      <c r="AL165" s="26">
        <f t="shared" si="1351"/>
        <v>4176.16</v>
      </c>
      <c r="AM165" s="26">
        <f t="shared" ref="AM165:AO165" si="1352">AM163+AM161+AM157+AM140+AM138+AM164</f>
        <v>4049.27</v>
      </c>
      <c r="AN165" s="26">
        <f t="shared" si="1352"/>
        <v>4219.53</v>
      </c>
      <c r="AO165" s="26">
        <f t="shared" si="1352"/>
        <v>4063.17</v>
      </c>
      <c r="AP165" s="26">
        <f t="shared" ref="AP165:CE165" si="1353">AP163+AP161+AP157+AP140+AP138+AP164</f>
        <v>3783.3900000000003</v>
      </c>
      <c r="AQ165" s="26">
        <f t="shared" si="1353"/>
        <v>3660.4800000000005</v>
      </c>
      <c r="AR165" s="26">
        <f t="shared" si="1353"/>
        <v>3481.1499999999996</v>
      </c>
      <c r="AS165" s="26">
        <f t="shared" si="1353"/>
        <v>3312.08</v>
      </c>
      <c r="AT165" s="26">
        <f t="shared" si="1353"/>
        <v>3803.1399999999994</v>
      </c>
      <c r="AU165" s="26">
        <f t="shared" si="1353"/>
        <v>3719.61</v>
      </c>
      <c r="AV165" s="26">
        <f t="shared" si="1353"/>
        <v>6960.24</v>
      </c>
      <c r="AW165" s="26">
        <f t="shared" si="1353"/>
        <v>6883.0999999999995</v>
      </c>
      <c r="AX165" s="26">
        <f t="shared" si="1353"/>
        <v>6673.27</v>
      </c>
      <c r="AY165" s="26">
        <f t="shared" si="1353"/>
        <v>6565.2000000000007</v>
      </c>
      <c r="AZ165" s="26">
        <f t="shared" si="1353"/>
        <v>6190.71</v>
      </c>
      <c r="BA165" s="26">
        <f t="shared" si="1353"/>
        <v>5775.9699999999993</v>
      </c>
      <c r="BB165" s="26">
        <f t="shared" si="1353"/>
        <v>9058.93</v>
      </c>
      <c r="BC165" s="26">
        <f t="shared" si="1353"/>
        <v>8577.5</v>
      </c>
      <c r="BD165" s="26">
        <f t="shared" si="1353"/>
        <v>-212.60700000000043</v>
      </c>
      <c r="BE165" s="26">
        <f t="shared" si="1353"/>
        <v>-693.35699999999997</v>
      </c>
      <c r="BF165" s="26">
        <f t="shared" si="1353"/>
        <v>-1990.4999999999995</v>
      </c>
      <c r="BG165" s="26">
        <f t="shared" si="1353"/>
        <v>-2445.9299999999998</v>
      </c>
      <c r="BH165" s="26">
        <f t="shared" ref="BH165" si="1354">BH163+BH161+BH157+BH140+BH138+BH164</f>
        <v>-2239.5700000000006</v>
      </c>
      <c r="BI165" s="26">
        <f t="shared" si="1353"/>
        <v>-2648.9899999999989</v>
      </c>
      <c r="BJ165" s="26">
        <f t="shared" si="1353"/>
        <v>-2180.4000000000005</v>
      </c>
      <c r="BK165" s="26">
        <f t="shared" si="1353"/>
        <v>-2409.2499999999986</v>
      </c>
      <c r="BL165" s="26">
        <f t="shared" si="1353"/>
        <v>-4298.9600000000009</v>
      </c>
      <c r="BM165" s="26">
        <f t="shared" si="1353"/>
        <v>-4575.8099999999986</v>
      </c>
      <c r="BN165" s="26">
        <f t="shared" si="1353"/>
        <v>-7002.579999999999</v>
      </c>
      <c r="BO165" s="26">
        <f t="shared" si="1353"/>
        <v>-8071.84</v>
      </c>
      <c r="BP165" s="26">
        <f t="shared" si="1353"/>
        <v>-3250.98</v>
      </c>
      <c r="BQ165" s="26">
        <f t="shared" si="1353"/>
        <v>-3548.9299999999989</v>
      </c>
      <c r="BR165" s="26">
        <f t="shared" si="1353"/>
        <v>938.33999999999992</v>
      </c>
      <c r="BS165" s="26">
        <f t="shared" si="1353"/>
        <v>619.89</v>
      </c>
      <c r="BT165" s="26">
        <f t="shared" si="1353"/>
        <v>906.93999999999994</v>
      </c>
      <c r="BU165" s="26">
        <f t="shared" si="1353"/>
        <v>604.64</v>
      </c>
      <c r="BV165" s="26">
        <f t="shared" si="1353"/>
        <v>871.3599999999999</v>
      </c>
      <c r="BW165" s="26">
        <f t="shared" si="1353"/>
        <v>576.26</v>
      </c>
      <c r="BX165" s="26">
        <f t="shared" si="1353"/>
        <v>832.28</v>
      </c>
      <c r="BY165" s="26">
        <f t="shared" si="1353"/>
        <v>552.49</v>
      </c>
      <c r="BZ165" s="26">
        <f t="shared" si="1353"/>
        <v>770.62</v>
      </c>
      <c r="CA165" s="26">
        <f t="shared" si="1353"/>
        <v>469.44</v>
      </c>
      <c r="CB165" s="26">
        <f t="shared" si="1353"/>
        <v>745.64</v>
      </c>
      <c r="CC165" s="26">
        <f t="shared" si="1353"/>
        <v>437.95</v>
      </c>
      <c r="CD165" s="26">
        <f t="shared" si="1353"/>
        <v>701.47000000000014</v>
      </c>
      <c r="CE165" s="26">
        <f t="shared" si="1353"/>
        <v>378.07000000000016</v>
      </c>
      <c r="CF165" s="26">
        <f t="shared" ref="CF165:CG165" si="1355">CF163+CF161+CF157+CF140+CF138+CF164</f>
        <v>715.22000000000014</v>
      </c>
      <c r="CG165" s="26">
        <f t="shared" si="1355"/>
        <v>400.11000000000018</v>
      </c>
      <c r="CH165" s="26">
        <f t="shared" ref="CH165:CI165" si="1356">CH163+CH161+CH157+CH140+CH138+CH164</f>
        <v>771.86999999999898</v>
      </c>
      <c r="CI165" s="26">
        <f t="shared" si="1356"/>
        <v>446.88999999999919</v>
      </c>
      <c r="CJ165" s="26">
        <f t="shared" ref="CJ165:DB165" si="1357">CJ163+CJ161+CJ157+CJ140+CJ138+CJ164</f>
        <v>700.87</v>
      </c>
      <c r="CK165" s="27">
        <f t="shared" si="1357"/>
        <v>550.44000000000005</v>
      </c>
      <c r="CL165" s="26">
        <f t="shared" ref="CL165" si="1358">CL163+CL161+CL157+CL140+CL138+CL164</f>
        <v>679.66000000000008</v>
      </c>
      <c r="CM165" s="27">
        <f t="shared" si="1357"/>
        <v>567.55297546362624</v>
      </c>
      <c r="CN165" s="27">
        <f t="shared" si="1357"/>
        <v>458.84429017706219</v>
      </c>
      <c r="CO165" s="27">
        <f t="shared" si="1357"/>
        <v>360.80446555211165</v>
      </c>
      <c r="CP165" s="27">
        <f t="shared" si="1357"/>
        <v>262.40492101916698</v>
      </c>
      <c r="CQ165" s="27">
        <f t="shared" si="1357"/>
        <v>141.70785386633747</v>
      </c>
      <c r="CR165" s="27">
        <f t="shared" si="1357"/>
        <v>23.281497560361004</v>
      </c>
      <c r="CS165" s="27">
        <f t="shared" si="1357"/>
        <v>-88.453830003337657</v>
      </c>
      <c r="CT165" s="27">
        <f t="shared" si="1357"/>
        <v>-199.00587951974734</v>
      </c>
      <c r="CU165" s="27">
        <f t="shared" si="1357"/>
        <v>-330.10200886592628</v>
      </c>
      <c r="CV165" s="27">
        <f t="shared" si="1357"/>
        <v>-459.76229425271828</v>
      </c>
      <c r="CW165" s="27">
        <f t="shared" si="1357"/>
        <v>-583.97080888344453</v>
      </c>
      <c r="CX165" s="27">
        <f t="shared" si="1357"/>
        <v>-707.16600099623997</v>
      </c>
      <c r="CY165" s="27">
        <f t="shared" si="1357"/>
        <v>-849.32778006735498</v>
      </c>
      <c r="CZ165" s="27">
        <f t="shared" si="1357"/>
        <v>-990.59901717928801</v>
      </c>
      <c r="DA165" s="27">
        <f t="shared" si="1357"/>
        <v>-1127.3077736598991</v>
      </c>
      <c r="DB165" s="27">
        <f t="shared" si="1357"/>
        <v>-1263.4105095614345</v>
      </c>
      <c r="DE165" s="121"/>
      <c r="DF165" s="26">
        <v>679.66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3.751665644813329E-12</v>
      </c>
      <c r="T166" s="23">
        <f t="shared" si="1359"/>
        <v>0</v>
      </c>
      <c r="U166" s="23">
        <f t="shared" si="1359"/>
        <v>1.0231815394945443E-12</v>
      </c>
      <c r="V166" s="23">
        <f t="shared" si="1359"/>
        <v>0</v>
      </c>
      <c r="W166" s="23">
        <f t="shared" si="1359"/>
        <v>-3.637978807091713E-12</v>
      </c>
      <c r="X166" s="23">
        <f t="shared" ref="X166:Y166" si="1360">X165-X129</f>
        <v>0</v>
      </c>
      <c r="Y166" s="23">
        <f t="shared" si="1360"/>
        <v>2.1600499167107046E-12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9.0949470177292824E-13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-2.2737367544323206E-12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-9.9999999983992893E-3</v>
      </c>
      <c r="BC166" s="23">
        <f t="shared" si="1368"/>
        <v>-9.9999999983992893E-3</v>
      </c>
      <c r="BD166" s="23">
        <f t="shared" si="1368"/>
        <v>2.9999999983374437E-3</v>
      </c>
      <c r="BE166" s="23">
        <f t="shared" si="1368"/>
        <v>2.999999998792191E-3</v>
      </c>
      <c r="BF166" s="23">
        <f t="shared" si="1368"/>
        <v>2.2737367544323206E-12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1.2505552149377763E-12</v>
      </c>
      <c r="BU166" s="23">
        <f t="shared" si="1368"/>
        <v>0</v>
      </c>
      <c r="BV166" s="23">
        <f t="shared" si="1368"/>
        <v>0</v>
      </c>
      <c r="BW166" s="23">
        <f t="shared" si="1368"/>
        <v>-2.0463630789890885E-12</v>
      </c>
      <c r="BX166" s="23">
        <f t="shared" si="1368"/>
        <v>1.1368683772161603E-12</v>
      </c>
      <c r="BY166" s="23">
        <f t="shared" si="1368"/>
        <v>2.0463630789890885E-12</v>
      </c>
      <c r="BZ166" s="23">
        <f t="shared" si="1368"/>
        <v>-2.6147972675971687E-12</v>
      </c>
      <c r="CA166" s="23">
        <f t="shared" si="1368"/>
        <v>-2.3305801732931286E-12</v>
      </c>
      <c r="CB166" s="23">
        <f t="shared" si="1368"/>
        <v>0</v>
      </c>
      <c r="CC166" s="23">
        <f t="shared" si="1368"/>
        <v>-7.3896444519050419E-13</v>
      </c>
      <c r="CD166" s="23">
        <f t="shared" si="1368"/>
        <v>2.6147972675971687E-12</v>
      </c>
      <c r="CE166" s="23">
        <f t="shared" si="1368"/>
        <v>4.0927261579781771E-12</v>
      </c>
      <c r="CF166" s="23">
        <f t="shared" ref="CF166:CG166" si="1370">CF165-CF129</f>
        <v>-1.0231815394945443E-12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1.0231815394945443E-12</v>
      </c>
      <c r="CK166" s="24">
        <f t="shared" si="1372"/>
        <v>1.3642420526593924E-12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8.5265128291212022E-13</v>
      </c>
      <c r="CO166" s="24">
        <f t="shared" si="1372"/>
        <v>0</v>
      </c>
      <c r="CP166" s="24">
        <f t="shared" si="1372"/>
        <v>9.0949470177292824E-13</v>
      </c>
      <c r="CQ166" s="24">
        <f t="shared" si="1372"/>
        <v>2.2737367544323206E-13</v>
      </c>
      <c r="CR166" s="24">
        <f t="shared" si="1372"/>
        <v>-4.5474735088646412E-13</v>
      </c>
      <c r="CS166" s="24">
        <f t="shared" si="1372"/>
        <v>5.6843418860808015E-13</v>
      </c>
      <c r="CT166" s="24">
        <f t="shared" si="1372"/>
        <v>0</v>
      </c>
      <c r="CU166" s="24">
        <f t="shared" si="1372"/>
        <v>1.6484591469634324E-12</v>
      </c>
      <c r="CV166" s="24">
        <f t="shared" si="1372"/>
        <v>1.3073986337985843E-12</v>
      </c>
      <c r="CW166" s="24">
        <f t="shared" si="1372"/>
        <v>0</v>
      </c>
      <c r="CX166" s="24">
        <f t="shared" si="1372"/>
        <v>0</v>
      </c>
      <c r="CY166" s="24">
        <f t="shared" si="1372"/>
        <v>-1.8189894035458565E-12</v>
      </c>
      <c r="CZ166" s="24">
        <f t="shared" si="1372"/>
        <v>0</v>
      </c>
      <c r="DA166" s="24">
        <f t="shared" si="1372"/>
        <v>-2.0463630789890885E-12</v>
      </c>
      <c r="DB166" s="24">
        <f t="shared" si="1372"/>
        <v>-2.2737367544323206E-12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248.99800000000002</v>
      </c>
      <c r="C168" s="22">
        <f t="shared" si="1374"/>
        <v>250.29999999999995</v>
      </c>
      <c r="D168" s="22">
        <f t="shared" si="1374"/>
        <v>531.84999999999991</v>
      </c>
      <c r="E168" s="22">
        <f t="shared" si="1374"/>
        <v>1372</v>
      </c>
      <c r="F168" s="22">
        <f t="shared" si="1374"/>
        <v>1800.8200000000002</v>
      </c>
      <c r="G168" s="22">
        <f t="shared" si="1374"/>
        <v>2084.46</v>
      </c>
      <c r="H168" s="22">
        <f t="shared" si="1374"/>
        <v>1945.26</v>
      </c>
      <c r="I168" s="22">
        <f t="shared" si="1374"/>
        <v>2592.41</v>
      </c>
      <c r="J168" s="22">
        <f t="shared" si="1374"/>
        <v>3306.8</v>
      </c>
      <c r="K168" s="22">
        <f t="shared" si="1374"/>
        <v>3916.95</v>
      </c>
      <c r="L168" s="22">
        <f t="shared" si="1374"/>
        <v>4577.92</v>
      </c>
      <c r="M168" s="22">
        <f t="shared" si="1374"/>
        <v>5310.65</v>
      </c>
      <c r="N168" s="22">
        <f t="shared" si="1374"/>
        <v>6110.2499999999991</v>
      </c>
      <c r="O168" s="22">
        <f t="shared" si="1374"/>
        <v>6498.3000000000011</v>
      </c>
      <c r="P168" s="22">
        <f t="shared" si="1374"/>
        <v>7360.6900000000005</v>
      </c>
      <c r="Q168" s="22">
        <f t="shared" si="1374"/>
        <v>10994.54</v>
      </c>
      <c r="R168" s="22">
        <f t="shared" si="1374"/>
        <v>15502.87</v>
      </c>
      <c r="S168" s="22">
        <f t="shared" si="1374"/>
        <v>15161.059999999998</v>
      </c>
      <c r="T168" s="22">
        <f t="shared" si="1374"/>
        <v>15765.449999999999</v>
      </c>
      <c r="U168" s="22">
        <f t="shared" si="1374"/>
        <v>16616.84</v>
      </c>
      <c r="V168" s="22">
        <f t="shared" si="1374"/>
        <v>19315.7</v>
      </c>
      <c r="W168" s="22">
        <f t="shared" si="1374"/>
        <v>19586.320000000003</v>
      </c>
      <c r="X168" s="22">
        <f t="shared" ref="X168:Y168" si="1375">X128-X161</f>
        <v>19744.48</v>
      </c>
      <c r="Y168" s="22">
        <f t="shared" si="1375"/>
        <v>19887.579999999998</v>
      </c>
      <c r="Z168" s="22">
        <f t="shared" ref="Z168:AA168" si="1376">Z128-Z161</f>
        <v>20241.73</v>
      </c>
      <c r="AA168" s="22">
        <f t="shared" si="1376"/>
        <v>20624.280000000002</v>
      </c>
      <c r="AB168" s="21">
        <f t="shared" ref="AA168:AD168" si="1377">AB128-AB161</f>
        <v>20923.566263834258</v>
      </c>
      <c r="AC168" s="21">
        <f t="shared" si="1377"/>
        <v>21289.434750437093</v>
      </c>
      <c r="AD168" s="21">
        <f t="shared" si="1377"/>
        <v>21719.894660688427</v>
      </c>
      <c r="AE168" s="21">
        <f t="shared" ref="AE168" si="1378">AE128-AE161</f>
        <v>22212.962303622422</v>
      </c>
      <c r="AJ168" s="22">
        <f t="shared" ref="AJ168:AM168" si="1379">AJ128-AJ161</f>
        <v>5466.0300000000007</v>
      </c>
      <c r="AK168" s="22">
        <f t="shared" si="1379"/>
        <v>5667.1657917165658</v>
      </c>
      <c r="AL168" s="22">
        <f t="shared" si="1379"/>
        <v>5832.0999999999995</v>
      </c>
      <c r="AM168" s="22">
        <f t="shared" si="1379"/>
        <v>5955.1667707981615</v>
      </c>
      <c r="AN168" s="22">
        <f t="shared" ref="AN168:AO168" si="1380">AN128-AN161</f>
        <v>6112.2400000000007</v>
      </c>
      <c r="AO168" s="22">
        <f t="shared" si="1380"/>
        <v>6265.9412754688028</v>
      </c>
      <c r="AP168" s="22">
        <f t="shared" ref="AP168:CE168" si="1381">AP128-AP161</f>
        <v>6114.5700000000006</v>
      </c>
      <c r="AQ168" s="22">
        <f t="shared" si="1381"/>
        <v>6223.1513463276669</v>
      </c>
      <c r="AR168" s="22">
        <f t="shared" si="1381"/>
        <v>6094.56</v>
      </c>
      <c r="AS168" s="22">
        <f t="shared" si="1381"/>
        <v>6234.5232275751778</v>
      </c>
      <c r="AT168" s="22">
        <f t="shared" si="1381"/>
        <v>6721.7300000000005</v>
      </c>
      <c r="AU168" s="22">
        <f t="shared" si="1381"/>
        <v>6802.1679092273862</v>
      </c>
      <c r="AV168" s="22">
        <f t="shared" si="1381"/>
        <v>9845.4000000000015</v>
      </c>
      <c r="AW168" s="22">
        <f t="shared" si="1381"/>
        <v>9925.7763205828796</v>
      </c>
      <c r="AX168" s="22">
        <f t="shared" si="1381"/>
        <v>10000.390000000001</v>
      </c>
      <c r="AY168" s="22">
        <f t="shared" si="1381"/>
        <v>10107.577162682168</v>
      </c>
      <c r="AZ168" s="22">
        <f t="shared" si="1381"/>
        <v>9326.02</v>
      </c>
      <c r="BA168" s="22">
        <f t="shared" si="1381"/>
        <v>9789.4704378445877</v>
      </c>
      <c r="BB168" s="22">
        <f t="shared" si="1381"/>
        <v>14251.13</v>
      </c>
      <c r="BC168" s="22">
        <f t="shared" si="1381"/>
        <v>14753.845621846343</v>
      </c>
      <c r="BD168" s="22">
        <f t="shared" si="1381"/>
        <v>13932.26</v>
      </c>
      <c r="BE168" s="22">
        <f t="shared" si="1381"/>
        <v>14480.628340060544</v>
      </c>
      <c r="BF168" s="22">
        <f t="shared" si="1381"/>
        <v>12751.699999999999</v>
      </c>
      <c r="BG168" s="22">
        <f t="shared" si="1381"/>
        <v>13247.27457874882</v>
      </c>
      <c r="BH168" s="22">
        <f t="shared" si="1381"/>
        <v>12780.080000000002</v>
      </c>
      <c r="BI168" s="22">
        <f t="shared" si="1381"/>
        <v>13203.504892803878</v>
      </c>
      <c r="BJ168" s="22">
        <f t="shared" si="1381"/>
        <v>11859.67</v>
      </c>
      <c r="BK168" s="22">
        <f t="shared" si="1381"/>
        <v>12096.853524153668</v>
      </c>
      <c r="BL168" s="22">
        <f t="shared" si="1381"/>
        <v>11940.8</v>
      </c>
      <c r="BM168" s="22">
        <f t="shared" si="1381"/>
        <v>12225.939459219529</v>
      </c>
      <c r="BN168" s="22">
        <f t="shared" si="1381"/>
        <v>10392.049999999999</v>
      </c>
      <c r="BO168" s="22">
        <f t="shared" si="1381"/>
        <v>11471.501876545117</v>
      </c>
      <c r="BP168" s="22">
        <f t="shared" si="1381"/>
        <v>14516.31</v>
      </c>
      <c r="BQ168" s="22">
        <f t="shared" si="1381"/>
        <v>14792.93625457804</v>
      </c>
      <c r="BR168" s="22">
        <f t="shared" si="1381"/>
        <v>19315.7</v>
      </c>
      <c r="BS168" s="22">
        <f t="shared" si="1381"/>
        <v>19632.28594481511</v>
      </c>
      <c r="BT168" s="22">
        <f t="shared" si="1381"/>
        <v>19463.87</v>
      </c>
      <c r="BU168" s="22">
        <f t="shared" si="1381"/>
        <v>19756.467834579751</v>
      </c>
      <c r="BV168" s="22">
        <f t="shared" si="1381"/>
        <v>19586.32</v>
      </c>
      <c r="BW168" s="22">
        <f t="shared" si="1381"/>
        <v>19883.798147224868</v>
      </c>
      <c r="BX168" s="22">
        <f t="shared" si="1381"/>
        <v>19250.939999999999</v>
      </c>
      <c r="BY168" s="22">
        <f t="shared" si="1381"/>
        <v>19527.802802708349</v>
      </c>
      <c r="BZ168" s="22">
        <f t="shared" si="1381"/>
        <v>19744.480000000003</v>
      </c>
      <c r="CA168" s="22">
        <f t="shared" si="1381"/>
        <v>20043.750986327777</v>
      </c>
      <c r="CB168" s="22">
        <f t="shared" si="1381"/>
        <v>19801.29</v>
      </c>
      <c r="CC168" s="22">
        <f t="shared" si="1381"/>
        <v>20105.07854612649</v>
      </c>
      <c r="CD168" s="22">
        <f t="shared" si="1381"/>
        <v>19887.579999999998</v>
      </c>
      <c r="CE168" s="22">
        <f t="shared" si="1381"/>
        <v>20210.907735160381</v>
      </c>
      <c r="CF168" s="22">
        <f t="shared" ref="CF168:CG168" si="1382">CF128-CF161</f>
        <v>19683.55</v>
      </c>
      <c r="CG168" s="22">
        <f t="shared" si="1382"/>
        <v>20002.206678893741</v>
      </c>
      <c r="CH168" s="22">
        <f t="shared" ref="CH168:CI168" si="1383">CH128-CH161</f>
        <v>20241.73</v>
      </c>
      <c r="CI168" s="22">
        <f t="shared" si="1383"/>
        <v>20542.344650468745</v>
      </c>
      <c r="CJ168" s="22">
        <f t="shared" ref="CJ168:DB168" si="1384">CJ128-CJ161</f>
        <v>20372.240000000002</v>
      </c>
      <c r="CK168" s="21">
        <f t="shared" si="1384"/>
        <v>20484.439622549191</v>
      </c>
      <c r="CL168" s="22">
        <f t="shared" ref="CL168" si="1385">CL128-CL161</f>
        <v>20624.280000000002</v>
      </c>
      <c r="CM168" s="21">
        <f t="shared" si="1384"/>
        <v>20715.262890701593</v>
      </c>
      <c r="CN168" s="21">
        <f t="shared" si="1384"/>
        <v>20791.096820204395</v>
      </c>
      <c r="CO168" s="21">
        <f t="shared" si="1384"/>
        <v>20855.101503511032</v>
      </c>
      <c r="CP168" s="21">
        <f t="shared" si="1384"/>
        <v>20923.566263834258</v>
      </c>
      <c r="CQ168" s="21">
        <f t="shared" si="1384"/>
        <v>21028.966004388931</v>
      </c>
      <c r="CR168" s="21">
        <f t="shared" si="1384"/>
        <v>21120.164462684756</v>
      </c>
      <c r="CS168" s="21">
        <f t="shared" si="1384"/>
        <v>21203.486207245034</v>
      </c>
      <c r="CT168" s="21">
        <f t="shared" si="1384"/>
        <v>21289.434750437093</v>
      </c>
      <c r="CU168" s="21">
        <f t="shared" si="1384"/>
        <v>21409.135189766992</v>
      </c>
      <c r="CV168" s="21">
        <f t="shared" si="1384"/>
        <v>21516.33137753683</v>
      </c>
      <c r="CW168" s="21">
        <f t="shared" si="1384"/>
        <v>21616.92868590232</v>
      </c>
      <c r="CX168" s="21">
        <f t="shared" si="1384"/>
        <v>21719.894660688427</v>
      </c>
      <c r="CY168" s="21">
        <f t="shared" si="1384"/>
        <v>21853.658736543235</v>
      </c>
      <c r="CZ168" s="21">
        <f t="shared" si="1384"/>
        <v>21976.419848589143</v>
      </c>
      <c r="DA168" s="21">
        <f t="shared" si="1384"/>
        <v>22093.505155338455</v>
      </c>
      <c r="DB168" s="21">
        <f t="shared" si="1384"/>
        <v>22212.962303622422</v>
      </c>
      <c r="DE168" s="126"/>
      <c r="DF168" s="22">
        <v>20624.280000000002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331.22089999999997</v>
      </c>
      <c r="C170" s="49">
        <f>'Annual Raw'!D85</f>
        <v>346.44</v>
      </c>
      <c r="D170" s="49">
        <f>'Annual Raw'!E85</f>
        <v>143.96</v>
      </c>
      <c r="E170" s="49">
        <f>'Annual Raw'!F85</f>
        <v>78.48</v>
      </c>
      <c r="F170" s="49">
        <f>'Annual Raw'!G85</f>
        <v>96.03</v>
      </c>
      <c r="G170" s="49">
        <f>'Annual Raw'!H85</f>
        <v>206.34</v>
      </c>
      <c r="H170" s="49">
        <f>'Annual Raw'!I85</f>
        <v>187.27</v>
      </c>
      <c r="I170" s="49">
        <f>'Annual Raw'!J85</f>
        <v>225.77</v>
      </c>
      <c r="J170" s="49">
        <f>'Annual Raw'!K85</f>
        <v>517.79</v>
      </c>
      <c r="K170" s="49">
        <f>'Annual Raw'!L85</f>
        <v>446.72</v>
      </c>
      <c r="L170" s="49">
        <f>'Annual Raw'!M85</f>
        <v>437.44</v>
      </c>
      <c r="M170" s="49">
        <f>'Annual Raw'!N85</f>
        <v>675.87</v>
      </c>
      <c r="N170" s="49">
        <f>'Annual Raw'!O85</f>
        <v>1518.01</v>
      </c>
      <c r="O170" s="49">
        <f>'Annual Raw'!P85</f>
        <v>1182.8800000000001</v>
      </c>
      <c r="P170" s="49">
        <f>'Annual Raw'!Q85</f>
        <v>1230.9000000000001</v>
      </c>
      <c r="Q170" s="49">
        <f>'Annual Raw'!R85</f>
        <v>1326.18</v>
      </c>
      <c r="R170" s="49">
        <f>'Annual Raw'!S85</f>
        <v>1582.44</v>
      </c>
      <c r="S170" s="49">
        <f>'Annual Raw'!T85</f>
        <v>1328.59</v>
      </c>
      <c r="T170" s="49">
        <f>'Annual Raw'!U85</f>
        <v>1487.35</v>
      </c>
      <c r="U170" s="49">
        <f>'Annual Raw'!V85</f>
        <v>832.67</v>
      </c>
      <c r="V170" s="49">
        <f>'Annual Raw'!W85</f>
        <v>882.95</v>
      </c>
      <c r="W170" s="49">
        <f>'Annual Raw'!X85</f>
        <v>891.37</v>
      </c>
      <c r="X170" s="49">
        <f>'Annual Raw'!Y85</f>
        <v>892.65</v>
      </c>
      <c r="Y170" s="49">
        <f>'Annual Raw'!Z85</f>
        <v>813.86</v>
      </c>
      <c r="Z170" s="49">
        <f>'Annual Raw'!AA85</f>
        <v>809.43</v>
      </c>
      <c r="AA170" s="49">
        <f>'Annual Raw'!AB85</f>
        <v>802.31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293.86</v>
      </c>
      <c r="N171" s="29">
        <f>'Annual Raw'!O95</f>
        <v>675.28</v>
      </c>
      <c r="O171" s="29">
        <f>'Annual Raw'!P95</f>
        <v>51.77</v>
      </c>
      <c r="P171" s="29">
        <f>'Annual Raw'!Q95</f>
        <v>50.21</v>
      </c>
      <c r="Q171" s="29">
        <f>'Annual Raw'!R95</f>
        <v>44.23</v>
      </c>
      <c r="R171" s="29">
        <f>'Annual Raw'!S95</f>
        <v>29.8</v>
      </c>
      <c r="S171" s="29">
        <f>'Annual Raw'!T95</f>
        <v>29.8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331.22089999999997</v>
      </c>
      <c r="C172" s="29">
        <f>'Annual Raw'!D93</f>
        <v>346.44</v>
      </c>
      <c r="D172" s="29">
        <f>'Annual Raw'!E93</f>
        <v>143.96</v>
      </c>
      <c r="E172" s="29">
        <f>'Annual Raw'!F93</f>
        <v>78.48</v>
      </c>
      <c r="F172" s="29">
        <f>'Annual Raw'!G93</f>
        <v>96.03</v>
      </c>
      <c r="G172" s="29">
        <f>'Annual Raw'!H93</f>
        <v>206.34</v>
      </c>
      <c r="H172" s="29">
        <f>'Annual Raw'!I93</f>
        <v>102.61</v>
      </c>
      <c r="I172" s="29">
        <f>'Annual Raw'!J93</f>
        <v>142.44</v>
      </c>
      <c r="J172" s="29">
        <f>'Annual Raw'!K93</f>
        <v>517.79</v>
      </c>
      <c r="K172" s="29">
        <f>'Annual Raw'!L93</f>
        <v>446.72</v>
      </c>
      <c r="L172" s="29">
        <f>'Annual Raw'!M93</f>
        <v>437.44</v>
      </c>
      <c r="M172" s="29">
        <f>'Annual Raw'!N93</f>
        <v>382.01</v>
      </c>
      <c r="N172" s="29">
        <f>'Annual Raw'!O93</f>
        <v>802.75</v>
      </c>
      <c r="O172" s="29">
        <f>'Annual Raw'!P93</f>
        <v>1131.1099999999999</v>
      </c>
      <c r="P172" s="29">
        <f>'Annual Raw'!Q93</f>
        <v>1180.69</v>
      </c>
      <c r="Q172" s="29">
        <f>'Annual Raw'!R93</f>
        <v>1281.95</v>
      </c>
      <c r="R172" s="29">
        <f>'Annual Raw'!S93</f>
        <v>1552.64</v>
      </c>
      <c r="S172" s="29">
        <f>'Annual Raw'!T93</f>
        <v>1298.79</v>
      </c>
      <c r="T172" s="29">
        <f>'Annual Raw'!U93</f>
        <v>1487.35</v>
      </c>
      <c r="U172" s="29">
        <f>'Annual Raw'!V93</f>
        <v>832.67</v>
      </c>
      <c r="V172" s="29">
        <f>'Annual Raw'!W93</f>
        <v>882.95</v>
      </c>
      <c r="W172" s="29">
        <f>'Annual Raw'!X93</f>
        <v>891.37</v>
      </c>
      <c r="X172" s="29">
        <f>'Annual Raw'!Y93</f>
        <v>892.65</v>
      </c>
      <c r="Y172" s="29">
        <f>'Annual Raw'!Z93</f>
        <v>813.86</v>
      </c>
      <c r="Z172" s="29">
        <f>'Annual Raw'!AA93</f>
        <v>809.43</v>
      </c>
      <c r="AA172" s="29">
        <f>'Annual Raw'!AB93</f>
        <v>802.31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84.660000000000011</v>
      </c>
      <c r="I173" s="29">
        <f t="shared" si="1386"/>
        <v>83.330000000000013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39.980000000000018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0.33842145955275799</v>
      </c>
      <c r="C175" s="95">
        <f t="shared" si="1392"/>
        <v>0.41728195801163537</v>
      </c>
      <c r="D175" s="95">
        <f t="shared" si="1392"/>
        <v>0.23025126753354772</v>
      </c>
      <c r="E175" s="95">
        <f t="shared" si="1392"/>
        <v>0.21970884658454645</v>
      </c>
      <c r="F175" s="95">
        <f t="shared" si="1392"/>
        <v>-2.197482837528602</v>
      </c>
      <c r="G175" s="95">
        <f t="shared" si="1392"/>
        <v>-0.41466208476517746</v>
      </c>
      <c r="H175" s="95">
        <f t="shared" si="1392"/>
        <v>-0.58301422745244535</v>
      </c>
      <c r="I175" s="95">
        <f t="shared" si="1392"/>
        <v>-1.1255296874221041</v>
      </c>
      <c r="J175" s="95">
        <f t="shared" si="1392"/>
        <v>-1.3673911321203154</v>
      </c>
      <c r="K175" s="95">
        <f t="shared" si="1392"/>
        <v>-0.64123101656475179</v>
      </c>
      <c r="L175" s="95">
        <f t="shared" si="1392"/>
        <v>-0.7096345083788913</v>
      </c>
      <c r="M175" s="95">
        <f t="shared" si="1392"/>
        <v>-0.59601580274784394</v>
      </c>
      <c r="N175" s="95">
        <f t="shared" si="1392"/>
        <v>-0.84674940733509985</v>
      </c>
      <c r="O175" s="95">
        <f t="shared" si="1392"/>
        <v>-0.50274775483141587</v>
      </c>
      <c r="P175" s="95">
        <f t="shared" si="1392"/>
        <v>-0.41471254144093156</v>
      </c>
      <c r="Q175" s="95">
        <f t="shared" si="1392"/>
        <v>-0.33269362473941289</v>
      </c>
      <c r="R175" s="95">
        <f t="shared" si="1392"/>
        <v>-0.26780891003987245</v>
      </c>
      <c r="S175" s="95">
        <f t="shared" si="1392"/>
        <v>-8.7642776804768063E-2</v>
      </c>
      <c r="T175" s="95">
        <f t="shared" si="1392"/>
        <v>-0.10036214990320402</v>
      </c>
      <c r="U175" s="95">
        <f t="shared" si="1392"/>
        <v>-4.7637872758187462E-2</v>
      </c>
      <c r="V175" s="95">
        <f t="shared" si="1392"/>
        <v>-4.7750566765886751E-2</v>
      </c>
      <c r="W175" s="95">
        <f t="shared" si="1392"/>
        <v>-4.7331525109810285E-2</v>
      </c>
      <c r="X175" s="95">
        <f t="shared" ref="X175:Y175" si="1393">X170/X120</f>
        <v>-4.6847127690895551E-2</v>
      </c>
      <c r="Y175" s="95">
        <f t="shared" si="1393"/>
        <v>-4.2271963517279167E-2</v>
      </c>
      <c r="Z175" s="95">
        <f t="shared" ref="Z175:AA175" si="1394">Z170/Z120</f>
        <v>-4.1360143360164817E-2</v>
      </c>
      <c r="AA175" s="95">
        <f t="shared" si="1394"/>
        <v>-4.0148863705739467E-2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0</v>
      </c>
      <c r="C179" s="67">
        <f t="shared" si="1397"/>
        <v>0</v>
      </c>
      <c r="D179" s="67">
        <f t="shared" si="1397"/>
        <v>0</v>
      </c>
      <c r="E179" s="67">
        <f t="shared" si="1397"/>
        <v>0</v>
      </c>
      <c r="F179" s="67">
        <f t="shared" si="1397"/>
        <v>0</v>
      </c>
      <c r="G179" s="67">
        <f t="shared" si="1397"/>
        <v>0</v>
      </c>
      <c r="H179" s="67">
        <f t="shared" si="1397"/>
        <v>0.57591436978492949</v>
      </c>
      <c r="I179" s="67">
        <f t="shared" si="1397"/>
        <v>0.47463961246258474</v>
      </c>
      <c r="J179" s="67">
        <f t="shared" si="1397"/>
        <v>0.3762056888515124</v>
      </c>
      <c r="K179" s="67">
        <f t="shared" si="1397"/>
        <v>1.1132980979568883</v>
      </c>
      <c r="L179" s="67">
        <f t="shared" si="1397"/>
        <v>0.60898044218062397</v>
      </c>
      <c r="M179" s="67">
        <f t="shared" si="1397"/>
        <v>0.55884409509572264</v>
      </c>
      <c r="N179" s="67">
        <f t="shared" si="1397"/>
        <v>0.44195571143349499</v>
      </c>
      <c r="O179" s="67">
        <f t="shared" si="1397"/>
        <v>0.59336989872509327</v>
      </c>
      <c r="P179" s="67">
        <f t="shared" si="1397"/>
        <v>1.5671355432411598</v>
      </c>
      <c r="Q179" s="67">
        <f t="shared" si="1397"/>
        <v>0.57474706351422733</v>
      </c>
      <c r="R179" s="67">
        <f t="shared" si="1397"/>
        <v>0.27548087061722371</v>
      </c>
      <c r="S179" s="67">
        <f t="shared" si="1397"/>
        <v>2.539456572349091E-2</v>
      </c>
      <c r="T179" s="67">
        <f t="shared" si="1397"/>
        <v>0</v>
      </c>
      <c r="U179" s="67">
        <f t="shared" si="1397"/>
        <v>0</v>
      </c>
      <c r="V179" s="67">
        <f t="shared" si="1397"/>
        <v>0</v>
      </c>
      <c r="W179" s="67">
        <f t="shared" si="1397"/>
        <v>0</v>
      </c>
      <c r="X179" s="67">
        <f t="shared" si="1397"/>
        <v>0</v>
      </c>
      <c r="Y179" s="67">
        <f t="shared" si="1397"/>
        <v>0</v>
      </c>
      <c r="Z179" s="67">
        <f t="shared" si="1397"/>
        <v>0</v>
      </c>
      <c r="AA179" s="67">
        <f t="shared" ref="AA179" si="1398">AA144/AA8*365</f>
        <v>0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>
        <f>AJ144/AI8*90</f>
        <v>0.60570233277249785</v>
      </c>
      <c r="AJ179" s="67">
        <f>AJ144/AJ8*90</f>
        <v>0.62149089382086264</v>
      </c>
      <c r="AK179" s="67">
        <f t="shared" ref="AK179:CE179" si="1399">+AJ179</f>
        <v>0.62149089382086264</v>
      </c>
      <c r="AL179" s="67">
        <f>AL144/AL8*90</f>
        <v>0.42146831280553154</v>
      </c>
      <c r="AM179" s="67">
        <f t="shared" ref="AM179:AM180" si="1400">+AL179</f>
        <v>0.42146831280553154</v>
      </c>
      <c r="AN179" s="67">
        <f>AN144/AN8*90</f>
        <v>0.32797769220555045</v>
      </c>
      <c r="AO179" s="67">
        <f t="shared" ref="AO179:AO180" si="1401">+AN179</f>
        <v>0.32797769220555045</v>
      </c>
      <c r="AP179" s="67">
        <f>AP144/AP8*90</f>
        <v>0.58255824124558997</v>
      </c>
      <c r="AQ179" s="67">
        <f t="shared" ref="AQ179:AQ180" si="1402">+AP179</f>
        <v>0.58255824124558997</v>
      </c>
      <c r="AR179" s="67">
        <f>AR144/AR8*90</f>
        <v>0.81089185252877172</v>
      </c>
      <c r="AS179" s="67">
        <f t="shared" ref="AS179:AS180" si="1403">+AR179</f>
        <v>0.81089185252877172</v>
      </c>
      <c r="AT179" s="67">
        <f>AT144/AT8*90</f>
        <v>1.4983110825156827</v>
      </c>
      <c r="AU179" s="67">
        <f t="shared" ref="AU179:AU180" si="1404">+AT179</f>
        <v>1.4983110825156827</v>
      </c>
      <c r="AV179" s="67">
        <f>AV144/AV8*90</f>
        <v>0.35438765670202504</v>
      </c>
      <c r="AW179" s="67">
        <f t="shared" ref="AW179:AW180" si="1405">+AV179</f>
        <v>0.35438765670202504</v>
      </c>
      <c r="AX179" s="67">
        <f>AX144/AX8*90</f>
        <v>0.57475028655641058</v>
      </c>
      <c r="AY179" s="67">
        <f t="shared" ref="AY179:AY180" si="1406">+AX179</f>
        <v>0.57475028655641058</v>
      </c>
      <c r="AZ179" s="67">
        <f>AZ144/AZ8*90</f>
        <v>0.27019822954223427</v>
      </c>
      <c r="BA179" s="67">
        <f t="shared" ref="BA179:BA180" si="1407">+AZ179</f>
        <v>0.27019822954223427</v>
      </c>
      <c r="BB179" s="67">
        <f>BB144/BB8*90</f>
        <v>0.30777999430037051</v>
      </c>
      <c r="BC179" s="67">
        <f t="shared" ref="BC179:BC180" si="1408">+BB179</f>
        <v>0.30777999430037051</v>
      </c>
      <c r="BD179" s="67">
        <f>BD144/BD8*90</f>
        <v>0.14321198478615227</v>
      </c>
      <c r="BE179" s="67">
        <f t="shared" ref="BE179:BE180" si="1409">+BD179</f>
        <v>0.14321198478615227</v>
      </c>
      <c r="BF179" s="67">
        <f>BF144/BF8*90</f>
        <v>3.0650738761395787E-2</v>
      </c>
      <c r="BG179" s="67">
        <f t="shared" ref="BG179:BG180" si="1410">+BF179</f>
        <v>3.0650738761395787E-2</v>
      </c>
      <c r="BH179" s="67">
        <f>BH144/BH8*90</f>
        <v>0</v>
      </c>
      <c r="BI179" s="67">
        <f t="shared" ref="BI179:BI180" si="1411">+BH179</f>
        <v>0</v>
      </c>
      <c r="BJ179" s="67">
        <f>BJ144/BJ8*90</f>
        <v>0</v>
      </c>
      <c r="BK179" s="67">
        <f t="shared" ref="BK179:BK180" si="1412">+BJ179</f>
        <v>0</v>
      </c>
      <c r="BL179" s="67">
        <f>BL144/BL8*90</f>
        <v>0</v>
      </c>
      <c r="BM179" s="67">
        <f t="shared" ref="BM179:BM180" si="1413">+BL179</f>
        <v>0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62.437749680021732</v>
      </c>
      <c r="C180" s="67">
        <f t="shared" si="1440"/>
        <v>50.348316831683164</v>
      </c>
      <c r="D180" s="67">
        <f t="shared" si="1440"/>
        <v>47.108234378041658</v>
      </c>
      <c r="E180" s="67">
        <f t="shared" si="1440"/>
        <v>135.15690376569037</v>
      </c>
      <c r="F180" s="67">
        <f t="shared" si="1440"/>
        <v>64.319231674241763</v>
      </c>
      <c r="G180" s="67">
        <f t="shared" si="1440"/>
        <v>51.927168464017967</v>
      </c>
      <c r="H180" s="67">
        <f t="shared" si="1440"/>
        <v>44.184565523319449</v>
      </c>
      <c r="I180" s="67">
        <f t="shared" si="1440"/>
        <v>43.076751855388089</v>
      </c>
      <c r="J180" s="67">
        <f t="shared" si="1440"/>
        <v>47.291488259757038</v>
      </c>
      <c r="K180" s="67">
        <f t="shared" si="1440"/>
        <v>50.869025435239507</v>
      </c>
      <c r="L180" s="67">
        <f t="shared" si="1440"/>
        <v>47.523029321280553</v>
      </c>
      <c r="M180" s="67">
        <f t="shared" si="1440"/>
        <v>44.701660478050499</v>
      </c>
      <c r="N180" s="67">
        <f t="shared" si="1440"/>
        <v>40.410546053580511</v>
      </c>
      <c r="O180" s="67">
        <f t="shared" si="1440"/>
        <v>34.436836825108564</v>
      </c>
      <c r="P180" s="67">
        <f t="shared" si="1440"/>
        <v>25.229368105561182</v>
      </c>
      <c r="Q180" s="67">
        <f t="shared" si="1440"/>
        <v>35.72274056303813</v>
      </c>
      <c r="R180" s="67">
        <f t="shared" si="1440"/>
        <v>30.641845270467755</v>
      </c>
      <c r="S180" s="67">
        <f t="shared" si="1440"/>
        <v>30.840723357113422</v>
      </c>
      <c r="T180" s="67">
        <f t="shared" si="1440"/>
        <v>25.525994362668332</v>
      </c>
      <c r="U180" s="67">
        <f t="shared" si="1440"/>
        <v>41.223115037021913</v>
      </c>
      <c r="V180" s="67">
        <f t="shared" si="1440"/>
        <v>27.355939673840137</v>
      </c>
      <c r="W180" s="67">
        <f t="shared" si="1440"/>
        <v>40.457670506491127</v>
      </c>
      <c r="X180" s="67">
        <f t="shared" si="1440"/>
        <v>36.194120252764037</v>
      </c>
      <c r="Y180" s="67">
        <f t="shared" si="1440"/>
        <v>47.748793689422222</v>
      </c>
      <c r="Z180" s="67">
        <f t="shared" si="1440"/>
        <v>40.366426103177275</v>
      </c>
      <c r="AA180" s="67">
        <f t="shared" ref="AA180" si="1441">AA145/AA8*365</f>
        <v>30.037320186514744</v>
      </c>
      <c r="AB180" s="18">
        <f t="shared" si="1440"/>
        <v>30.429553636226014</v>
      </c>
      <c r="AC180" s="18">
        <f t="shared" si="1440"/>
        <v>30.486349681883727</v>
      </c>
      <c r="AD180" s="18">
        <f t="shared" si="1440"/>
        <v>30.492886652048995</v>
      </c>
      <c r="AE180" s="18">
        <f t="shared" si="1440"/>
        <v>30.493317445752567</v>
      </c>
      <c r="AI180" s="67">
        <f>AJ145/AI8*90</f>
        <v>43.370469737619935</v>
      </c>
      <c r="AJ180" s="67">
        <f>AJ145/AJ8*90</f>
        <v>44.500987604398347</v>
      </c>
      <c r="AK180" s="67">
        <f>+AJ180</f>
        <v>44.500987604398347</v>
      </c>
      <c r="AL180" s="67">
        <f>AL145/AL8*90</f>
        <v>38.537265667434937</v>
      </c>
      <c r="AM180" s="67">
        <f t="shared" si="1400"/>
        <v>38.537265667434937</v>
      </c>
      <c r="AN180" s="67">
        <f>AN145/AN8*90</f>
        <v>39.989377240738285</v>
      </c>
      <c r="AO180" s="67">
        <f t="shared" si="1401"/>
        <v>39.989377240738285</v>
      </c>
      <c r="AP180" s="67">
        <f>AP145/AP8*90</f>
        <v>33.809371082018835</v>
      </c>
      <c r="AQ180" s="67">
        <f t="shared" si="1402"/>
        <v>33.809371082018835</v>
      </c>
      <c r="AR180" s="67">
        <f>AR145/AR8*90</f>
        <v>31.19170688522718</v>
      </c>
      <c r="AS180" s="67">
        <f t="shared" si="1403"/>
        <v>31.19170688522718</v>
      </c>
      <c r="AT180" s="67">
        <f>AT145/AT8*90</f>
        <v>24.121360784944507</v>
      </c>
      <c r="AU180" s="67">
        <f t="shared" si="1404"/>
        <v>24.121360784944507</v>
      </c>
      <c r="AV180" s="67">
        <f>AV145/AV8*90</f>
        <v>32.094985535197686</v>
      </c>
      <c r="AW180" s="67">
        <f t="shared" si="1405"/>
        <v>32.094985535197686</v>
      </c>
      <c r="AX180" s="67">
        <f>AX145/AX8*90</f>
        <v>35.722940887506134</v>
      </c>
      <c r="AY180" s="67">
        <f t="shared" si="1406"/>
        <v>35.722940887506134</v>
      </c>
      <c r="AZ180" s="67">
        <f>AZ145/AZ8*90</f>
        <v>33.911140416099663</v>
      </c>
      <c r="BA180" s="67">
        <f t="shared" si="1407"/>
        <v>33.911140416099663</v>
      </c>
      <c r="BB180" s="67">
        <f>BB145/BB8*90</f>
        <v>34.234489464067188</v>
      </c>
      <c r="BC180" s="67">
        <f t="shared" si="1408"/>
        <v>34.234489464067188</v>
      </c>
      <c r="BD180" s="67">
        <f>BD145/BD8*90</f>
        <v>47.181363036559802</v>
      </c>
      <c r="BE180" s="67">
        <f t="shared" si="1409"/>
        <v>47.181363036559802</v>
      </c>
      <c r="BF180" s="67">
        <f>BF145/BF8*90</f>
        <v>37.224143351147433</v>
      </c>
      <c r="BG180" s="67">
        <f t="shared" si="1410"/>
        <v>37.224143351147433</v>
      </c>
      <c r="BH180" s="67">
        <f>BH145/BH8*90</f>
        <v>45.209731543624159</v>
      </c>
      <c r="BI180" s="67">
        <f t="shared" si="1411"/>
        <v>45.209731543624159</v>
      </c>
      <c r="BJ180" s="67">
        <f>BJ145/BJ8*90</f>
        <v>25.48117154811715</v>
      </c>
      <c r="BK180" s="67">
        <f t="shared" si="1412"/>
        <v>25.48117154811715</v>
      </c>
      <c r="BL180" s="67">
        <f>BL145/BL8*90</f>
        <v>53.224338820048075</v>
      </c>
      <c r="BM180" s="67">
        <f t="shared" si="1413"/>
        <v>53.224338820048075</v>
      </c>
      <c r="BN180" s="67">
        <f>BN145/BN8*90</f>
        <v>42.316131025957972</v>
      </c>
      <c r="BO180" s="67">
        <f t="shared" si="1414"/>
        <v>42.316131025957972</v>
      </c>
      <c r="BP180" s="67">
        <f>BP145/BP8*90</f>
        <v>29.542975142211485</v>
      </c>
      <c r="BQ180" s="67">
        <f t="shared" si="1415"/>
        <v>29.542975142211485</v>
      </c>
      <c r="BR180" s="67">
        <f>BR145/BR8*90</f>
        <v>26.536243356327038</v>
      </c>
      <c r="BS180" s="67">
        <f t="shared" si="1416"/>
        <v>26.536243356327038</v>
      </c>
      <c r="BT180" s="67">
        <f>BT145/BT8*90</f>
        <v>23.396584440227709</v>
      </c>
      <c r="BU180" s="67">
        <f t="shared" si="1417"/>
        <v>23.396584440227709</v>
      </c>
      <c r="BV180" s="67">
        <f>BV145/BV8*90</f>
        <v>40.001466383165919</v>
      </c>
      <c r="BW180" s="67">
        <f t="shared" si="1418"/>
        <v>40.001466383165919</v>
      </c>
      <c r="BX180" s="67">
        <f>BX145/BX8*90</f>
        <v>15.934596268817977</v>
      </c>
      <c r="BY180" s="67">
        <f t="shared" si="1419"/>
        <v>15.934596268817977</v>
      </c>
      <c r="BZ180" s="67">
        <f>BZ145/BZ8*90</f>
        <v>35.241138043051443</v>
      </c>
      <c r="CA180" s="67">
        <f t="shared" si="1420"/>
        <v>35.241138043051443</v>
      </c>
      <c r="CB180" s="67">
        <f>CB145/CB8*90</f>
        <v>40.365385956348923</v>
      </c>
      <c r="CC180" s="67">
        <f t="shared" si="1421"/>
        <v>40.365385956348923</v>
      </c>
      <c r="CD180" s="67">
        <f>CD145/CD8*90</f>
        <v>43.39787806613257</v>
      </c>
      <c r="CE180" s="114">
        <f t="shared" ref="CE180" si="1442">+CD180</f>
        <v>43.39787806613257</v>
      </c>
      <c r="CF180" s="67">
        <f>CF145/CF8*90</f>
        <v>51.089082969432319</v>
      </c>
      <c r="CG180" s="67">
        <f t="shared" si="1422"/>
        <v>51.089082969432319</v>
      </c>
      <c r="CH180" s="67">
        <f>CH145/CH8*90</f>
        <v>42.233756122879299</v>
      </c>
      <c r="CI180" s="67">
        <f t="shared" si="1422"/>
        <v>42.233756122879299</v>
      </c>
      <c r="CJ180" s="67">
        <f>CJ145/CJ8*90</f>
        <v>39.399573620382348</v>
      </c>
      <c r="CK180" s="30">
        <f t="shared" si="1423"/>
        <v>39.399573620382348</v>
      </c>
      <c r="CL180" s="67">
        <f>CL145/CL8*90</f>
        <v>29.07626717195642</v>
      </c>
      <c r="CM180" s="30">
        <f t="shared" si="1424"/>
        <v>29.07626717195642</v>
      </c>
      <c r="CN180" s="30">
        <f t="shared" si="1425"/>
        <v>29.07626717195642</v>
      </c>
      <c r="CO180" s="30">
        <f t="shared" si="1426"/>
        <v>29.07626717195642</v>
      </c>
      <c r="CP180" s="30">
        <f t="shared" si="1427"/>
        <v>29.07626717195642</v>
      </c>
      <c r="CQ180" s="30">
        <f t="shared" si="1428"/>
        <v>29.07626717195642</v>
      </c>
      <c r="CR180" s="30">
        <f t="shared" si="1429"/>
        <v>29.07626717195642</v>
      </c>
      <c r="CS180" s="30">
        <f t="shared" si="1430"/>
        <v>29.07626717195642</v>
      </c>
      <c r="CT180" s="30">
        <f t="shared" si="1431"/>
        <v>29.07626717195642</v>
      </c>
      <c r="CU180" s="30">
        <f t="shared" si="1432"/>
        <v>29.07626717195642</v>
      </c>
      <c r="CV180" s="30">
        <f t="shared" si="1433"/>
        <v>29.07626717195642</v>
      </c>
      <c r="CW180" s="30">
        <f t="shared" si="1434"/>
        <v>29.07626717195642</v>
      </c>
      <c r="CX180" s="30">
        <f t="shared" si="1435"/>
        <v>29.07626717195642</v>
      </c>
      <c r="CY180" s="30">
        <f t="shared" si="1436"/>
        <v>29.07626717195642</v>
      </c>
      <c r="CZ180" s="30">
        <f t="shared" si="1437"/>
        <v>29.07626717195642</v>
      </c>
      <c r="DA180" s="30">
        <f t="shared" si="1438"/>
        <v>29.07626717195642</v>
      </c>
      <c r="DB180" s="30">
        <f t="shared" si="1439"/>
        <v>29.07626717195642</v>
      </c>
      <c r="DE180" s="139"/>
      <c r="DF180" s="62">
        <v>30.037320186514744</v>
      </c>
    </row>
    <row r="181" spans="1:110" s="62" customFormat="1" outlineLevel="1" x14ac:dyDescent="0.2">
      <c r="A181" s="68" t="s">
        <v>466</v>
      </c>
      <c r="B181" s="67">
        <f>B182-B180-B179</f>
        <v>768.53089747622982</v>
      </c>
      <c r="C181" s="67">
        <f t="shared" ref="C181:U181" si="1443">C182-C180-C179</f>
        <v>77.437821782178233</v>
      </c>
      <c r="D181" s="67">
        <f t="shared" si="1443"/>
        <v>30.948719374843577</v>
      </c>
      <c r="E181" s="67">
        <f t="shared" si="1443"/>
        <v>53.977238493723888</v>
      </c>
      <c r="F181" s="67">
        <f t="shared" si="1443"/>
        <v>64.319231674241792</v>
      </c>
      <c r="G181" s="67">
        <f t="shared" si="1443"/>
        <v>48.857532895637974</v>
      </c>
      <c r="H181" s="67">
        <f t="shared" si="1443"/>
        <v>44.456957454974479</v>
      </c>
      <c r="I181" s="67">
        <f t="shared" si="1443"/>
        <v>46.392815093809126</v>
      </c>
      <c r="J181" s="67">
        <f t="shared" si="1443"/>
        <v>57.787814145723594</v>
      </c>
      <c r="K181" s="67">
        <f t="shared" si="1443"/>
        <v>57.602739399600623</v>
      </c>
      <c r="L181" s="67">
        <f t="shared" si="1443"/>
        <v>83.365878203911549</v>
      </c>
      <c r="M181" s="67">
        <f t="shared" si="1443"/>
        <v>88.364839015608169</v>
      </c>
      <c r="N181" s="67">
        <f t="shared" si="1443"/>
        <v>119.61621383619153</v>
      </c>
      <c r="O181" s="67">
        <f t="shared" si="1443"/>
        <v>110.53652633660175</v>
      </c>
      <c r="P181" s="67">
        <f t="shared" si="1443"/>
        <v>195.26735989878077</v>
      </c>
      <c r="Q181" s="67">
        <f t="shared" si="1443"/>
        <v>110.25932929352747</v>
      </c>
      <c r="R181" s="67">
        <f t="shared" si="1443"/>
        <v>134.61426758567615</v>
      </c>
      <c r="S181" s="67">
        <f t="shared" si="1443"/>
        <v>377.33980551348412</v>
      </c>
      <c r="T181" s="67">
        <f t="shared" si="1443"/>
        <v>833.66434387723143</v>
      </c>
      <c r="U181" s="67">
        <f t="shared" si="1443"/>
        <v>194.74298068179712</v>
      </c>
      <c r="V181" s="67">
        <f>V182-V180-V179</f>
        <v>160.22564819960522</v>
      </c>
      <c r="W181" s="67">
        <f t="shared" ref="W181" si="1444">W182-W180-W179</f>
        <v>106.28647833241911</v>
      </c>
      <c r="X181" s="67">
        <f t="shared" ref="X181:Y181" si="1445">X182-X180-X179</f>
        <v>81.020186770568728</v>
      </c>
      <c r="Y181" s="67">
        <f t="shared" si="1445"/>
        <v>72.565056853941996</v>
      </c>
      <c r="Z181" s="67">
        <f t="shared" ref="Z181:AA181" si="1446">Z182-Z180-Z179</f>
        <v>62.994059814684547</v>
      </c>
      <c r="AA181" s="67">
        <f t="shared" si="1446"/>
        <v>75.606086724183996</v>
      </c>
      <c r="AB181" s="18">
        <f t="shared" ref="AA181:AD181" si="1447">AB182-AB180-AB179</f>
        <v>152.5365831731304</v>
      </c>
      <c r="AC181" s="18">
        <f t="shared" si="1447"/>
        <v>152.82128911545027</v>
      </c>
      <c r="AD181" s="18">
        <f t="shared" si="1447"/>
        <v>152.85405749270728</v>
      </c>
      <c r="AE181" s="18">
        <f t="shared" ref="AE181" si="1448">AE182-AE180-AE179</f>
        <v>152.8562169657111</v>
      </c>
      <c r="AI181" s="67">
        <f t="shared" ref="AI181:AK181" si="1449">AI182-AI180-AI179</f>
        <v>-43.97617207039243</v>
      </c>
      <c r="AJ181" s="67">
        <f t="shared" ref="AJ181:AM181" si="1450">AJ182-AJ180-AJ179</f>
        <v>92.810706564847521</v>
      </c>
      <c r="AK181" s="67">
        <f t="shared" si="1449"/>
        <v>91.679981563988292</v>
      </c>
      <c r="AL181" s="67">
        <f t="shared" si="1450"/>
        <v>114.07125765205011</v>
      </c>
      <c r="AM181" s="67">
        <f t="shared" si="1450"/>
        <v>112.98484892546604</v>
      </c>
      <c r="AN181" s="67">
        <f t="shared" ref="AN181:AY181" si="1451">AN182-AN180-AN179</f>
        <v>103.93838799628203</v>
      </c>
      <c r="AO181" s="67">
        <f t="shared" si="1451"/>
        <v>103.27254603025683</v>
      </c>
      <c r="AP181" s="67">
        <f t="shared" si="1451"/>
        <v>108.52246552176574</v>
      </c>
      <c r="AQ181" s="67">
        <f t="shared" si="1451"/>
        <v>105.16932510136901</v>
      </c>
      <c r="AR181" s="67">
        <f t="shared" si="1451"/>
        <v>111.40574578062088</v>
      </c>
      <c r="AS181" s="67">
        <f t="shared" si="1451"/>
        <v>105.64057084055459</v>
      </c>
      <c r="AT181" s="67">
        <f t="shared" si="1451"/>
        <v>186.6917323467911</v>
      </c>
      <c r="AU181" s="67">
        <f t="shared" si="1451"/>
        <v>185.52542192266193</v>
      </c>
      <c r="AV181" s="67">
        <f t="shared" si="1451"/>
        <v>117.22516875602703</v>
      </c>
      <c r="AW181" s="67">
        <f t="shared" si="1451"/>
        <v>117.97730091119858</v>
      </c>
      <c r="AX181" s="67">
        <f t="shared" si="1451"/>
        <v>355.93744882921231</v>
      </c>
      <c r="AY181" s="67">
        <f t="shared" si="1451"/>
        <v>354.9348899865289</v>
      </c>
      <c r="AZ181" s="67">
        <f t="shared" ref="AZ181:BC181" si="1452">AZ182-AZ180-AZ179</f>
        <v>116.51604214306759</v>
      </c>
      <c r="BA181" s="67">
        <f t="shared" si="1452"/>
        <v>125.32497636792682</v>
      </c>
      <c r="BB181" s="67">
        <f t="shared" si="1452"/>
        <v>524.05729804033319</v>
      </c>
      <c r="BC181" s="67">
        <f t="shared" si="1452"/>
        <v>565.21705328246765</v>
      </c>
      <c r="BD181" s="67">
        <f t="shared" ref="BD181:CE181" si="1453">BD182-BD180-BD179</f>
        <v>165.84000232865014</v>
      </c>
      <c r="BE181" s="67">
        <f t="shared" si="1453"/>
        <v>204.26566757493185</v>
      </c>
      <c r="BF181" s="67">
        <f t="shared" si="1453"/>
        <v>455.44168500471545</v>
      </c>
      <c r="BG181" s="67">
        <f t="shared" si="1453"/>
        <v>519.81222903274033</v>
      </c>
      <c r="BH181" s="67">
        <f t="shared" si="1453"/>
        <v>545.00559284116332</v>
      </c>
      <c r="BI181" s="67">
        <f t="shared" si="1453"/>
        <v>574.28739809448973</v>
      </c>
      <c r="BJ181" s="67">
        <f t="shared" si="1453"/>
        <v>832.20045644731829</v>
      </c>
      <c r="BK181" s="67">
        <f t="shared" si="1453"/>
        <v>894.67575396149266</v>
      </c>
      <c r="BL181" s="67">
        <f t="shared" si="1453"/>
        <v>200.16386166081</v>
      </c>
      <c r="BM181" s="67">
        <f t="shared" si="1453"/>
        <v>212.16302046577275</v>
      </c>
      <c r="BN181" s="67">
        <f t="shared" si="1453"/>
        <v>274.10923980222498</v>
      </c>
      <c r="BO181" s="67">
        <f t="shared" si="1453"/>
        <v>291.66214549938343</v>
      </c>
      <c r="BP181" s="67">
        <f t="shared" si="1453"/>
        <v>238.44073872048622</v>
      </c>
      <c r="BQ181" s="67">
        <f t="shared" si="1453"/>
        <v>219.81322509967313</v>
      </c>
      <c r="BR181" s="67">
        <f t="shared" si="1453"/>
        <v>206.72283161822909</v>
      </c>
      <c r="BS181" s="67">
        <f t="shared" si="1453"/>
        <v>204.60955863149647</v>
      </c>
      <c r="BT181" s="67">
        <f t="shared" si="1453"/>
        <v>188.78334635562007</v>
      </c>
      <c r="BU181" s="67">
        <f t="shared" si="1453"/>
        <v>178.52121595946798</v>
      </c>
      <c r="BV181" s="67">
        <f t="shared" si="1453"/>
        <v>138.58310726592862</v>
      </c>
      <c r="BW181" s="67">
        <f t="shared" si="1453"/>
        <v>141.859426598619</v>
      </c>
      <c r="BX181" s="67">
        <f t="shared" si="1453"/>
        <v>132.01793560469639</v>
      </c>
      <c r="BY181" s="67">
        <f t="shared" si="1453"/>
        <v>130.03228095069173</v>
      </c>
      <c r="BZ181" s="67">
        <f t="shared" si="1453"/>
        <v>99.599828650983483</v>
      </c>
      <c r="CA181" s="67">
        <f t="shared" si="1453"/>
        <v>97.723021960701914</v>
      </c>
      <c r="CB181" s="67">
        <f t="shared" si="1453"/>
        <v>84.872742486576982</v>
      </c>
      <c r="CC181" s="67">
        <f t="shared" si="1453"/>
        <v>82.232206195318042</v>
      </c>
      <c r="CD181" s="67">
        <f t="shared" si="1453"/>
        <v>100.97404806829783</v>
      </c>
      <c r="CE181" s="114">
        <f t="shared" si="1453"/>
        <v>100.90850077279751</v>
      </c>
      <c r="CF181" s="67">
        <f t="shared" ref="CF181:CG181" si="1454">CF182-CF180-CF179</f>
        <v>94.414847161572055</v>
      </c>
      <c r="CG181" s="67">
        <f t="shared" si="1454"/>
        <v>97.459206058238436</v>
      </c>
      <c r="CH181" s="67">
        <f t="shared" ref="CH181" si="1455">CH182-CH180-CH179</f>
        <v>65.908132481266406</v>
      </c>
      <c r="CI181" s="67">
        <f>CH181</f>
        <v>65.908132481266406</v>
      </c>
      <c r="CJ181" s="67">
        <f t="shared" ref="CJ181:CL181" si="1456">CJ182-CJ180-CJ179</f>
        <v>100.34529759200365</v>
      </c>
      <c r="CK181" s="30">
        <f t="shared" ref="CK181:DB181" si="1457">CJ181</f>
        <v>100.34529759200365</v>
      </c>
      <c r="CL181" s="67">
        <f t="shared" si="1456"/>
        <v>145.75285917303918</v>
      </c>
      <c r="CM181" s="30">
        <f t="shared" si="1457"/>
        <v>145.75285917303918</v>
      </c>
      <c r="CN181" s="30">
        <f t="shared" si="1457"/>
        <v>145.75285917303918</v>
      </c>
      <c r="CO181" s="30">
        <f t="shared" si="1457"/>
        <v>145.75285917303918</v>
      </c>
      <c r="CP181" s="30">
        <f t="shared" si="1457"/>
        <v>145.75285917303918</v>
      </c>
      <c r="CQ181" s="30">
        <f t="shared" si="1457"/>
        <v>145.75285917303918</v>
      </c>
      <c r="CR181" s="30">
        <f t="shared" si="1457"/>
        <v>145.75285917303918</v>
      </c>
      <c r="CS181" s="30">
        <f t="shared" si="1457"/>
        <v>145.75285917303918</v>
      </c>
      <c r="CT181" s="30">
        <f t="shared" si="1457"/>
        <v>145.75285917303918</v>
      </c>
      <c r="CU181" s="30">
        <f t="shared" si="1457"/>
        <v>145.75285917303918</v>
      </c>
      <c r="CV181" s="30">
        <f t="shared" si="1457"/>
        <v>145.75285917303918</v>
      </c>
      <c r="CW181" s="30">
        <f t="shared" si="1457"/>
        <v>145.75285917303918</v>
      </c>
      <c r="CX181" s="30">
        <f t="shared" si="1457"/>
        <v>145.75285917303918</v>
      </c>
      <c r="CY181" s="30">
        <f t="shared" si="1457"/>
        <v>145.75285917303918</v>
      </c>
      <c r="CZ181" s="30">
        <f t="shared" si="1457"/>
        <v>145.75285917303918</v>
      </c>
      <c r="DA181" s="30">
        <f t="shared" si="1457"/>
        <v>145.75285917303918</v>
      </c>
      <c r="DB181" s="30">
        <f t="shared" si="1457"/>
        <v>145.75285917303918</v>
      </c>
      <c r="DE181" s="139"/>
      <c r="DF181" s="62">
        <v>150.57040414400595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830.96864715625156</v>
      </c>
      <c r="C182" s="70">
        <f t="shared" si="1458"/>
        <v>127.7861386138614</v>
      </c>
      <c r="D182" s="70">
        <f t="shared" si="1458"/>
        <v>78.056953752885235</v>
      </c>
      <c r="E182" s="70">
        <f t="shared" si="1458"/>
        <v>189.13414225941426</v>
      </c>
      <c r="F182" s="70">
        <f t="shared" si="1458"/>
        <v>128.63846334848355</v>
      </c>
      <c r="G182" s="70">
        <f t="shared" si="1458"/>
        <v>100.78470135965594</v>
      </c>
      <c r="H182" s="70">
        <f t="shared" si="1458"/>
        <v>89.21743734807886</v>
      </c>
      <c r="I182" s="70">
        <f t="shared" si="1458"/>
        <v>89.944206561659797</v>
      </c>
      <c r="J182" s="70">
        <f t="shared" si="1458"/>
        <v>105.45550809433215</v>
      </c>
      <c r="K182" s="70">
        <f t="shared" si="1458"/>
        <v>109.58506293279702</v>
      </c>
      <c r="L182" s="70">
        <f t="shared" si="1458"/>
        <v>131.49788796737272</v>
      </c>
      <c r="M182" s="70">
        <f t="shared" si="1458"/>
        <v>133.62534358875439</v>
      </c>
      <c r="N182" s="70">
        <f t="shared" si="1458"/>
        <v>160.46871560120553</v>
      </c>
      <c r="O182" s="70">
        <f t="shared" si="1458"/>
        <v>145.56673306043541</v>
      </c>
      <c r="P182" s="70">
        <f t="shared" si="1458"/>
        <v>222.06386354758311</v>
      </c>
      <c r="Q182" s="70">
        <f t="shared" si="1458"/>
        <v>146.55681692007983</v>
      </c>
      <c r="R182" s="70">
        <f t="shared" si="1458"/>
        <v>165.53159372676112</v>
      </c>
      <c r="S182" s="70">
        <f t="shared" si="1458"/>
        <v>408.20592343632103</v>
      </c>
      <c r="T182" s="70">
        <f t="shared" si="1458"/>
        <v>859.1903382398998</v>
      </c>
      <c r="U182" s="70">
        <f t="shared" si="1458"/>
        <v>235.96609571881902</v>
      </c>
      <c r="V182" s="70">
        <f t="shared" si="1458"/>
        <v>187.58158787344536</v>
      </c>
      <c r="W182" s="70">
        <f t="shared" si="1458"/>
        <v>146.74414883891023</v>
      </c>
      <c r="X182" s="70">
        <f t="shared" si="1458"/>
        <v>117.21430702333276</v>
      </c>
      <c r="Y182" s="70">
        <f t="shared" si="1458"/>
        <v>120.31385054336423</v>
      </c>
      <c r="Z182" s="70">
        <f t="shared" si="1458"/>
        <v>103.36048591786182</v>
      </c>
      <c r="AA182" s="70">
        <f t="shared" ref="AA182" si="1459">AA148/AA8*365</f>
        <v>105.64340691069874</v>
      </c>
      <c r="AB182" s="71">
        <f t="shared" si="1458"/>
        <v>182.96613680935641</v>
      </c>
      <c r="AC182" s="71">
        <f t="shared" si="1458"/>
        <v>183.30763879733399</v>
      </c>
      <c r="AD182" s="71">
        <f t="shared" si="1458"/>
        <v>183.34694414475626</v>
      </c>
      <c r="AE182" s="71">
        <f t="shared" si="1458"/>
        <v>183.34953441146368</v>
      </c>
      <c r="AI182" s="70">
        <f t="shared" ref="AI182:CD182" si="1460">AI148/AI8*90</f>
        <v>0</v>
      </c>
      <c r="AJ182" s="70">
        <f t="shared" si="1460"/>
        <v>137.93318506306673</v>
      </c>
      <c r="AK182" s="70">
        <f t="shared" si="1460"/>
        <v>136.8024600622075</v>
      </c>
      <c r="AL182" s="70">
        <f t="shared" si="1460"/>
        <v>153.02999163229057</v>
      </c>
      <c r="AM182" s="70">
        <f t="shared" si="1460"/>
        <v>151.94358290570651</v>
      </c>
      <c r="AN182" s="70">
        <f t="shared" si="1460"/>
        <v>144.25574292922587</v>
      </c>
      <c r="AO182" s="70">
        <f t="shared" si="1460"/>
        <v>143.58990096320068</v>
      </c>
      <c r="AP182" s="70">
        <f t="shared" si="1460"/>
        <v>142.91439484503016</v>
      </c>
      <c r="AQ182" s="70">
        <f t="shared" si="1460"/>
        <v>139.56125442463343</v>
      </c>
      <c r="AR182" s="70">
        <f t="shared" si="1460"/>
        <v>143.40834451837682</v>
      </c>
      <c r="AS182" s="70">
        <f t="shared" si="1460"/>
        <v>137.64316957831053</v>
      </c>
      <c r="AT182" s="70">
        <f t="shared" si="1460"/>
        <v>212.31140421425127</v>
      </c>
      <c r="AU182" s="70">
        <f t="shared" si="1460"/>
        <v>211.1450937901221</v>
      </c>
      <c r="AV182" s="70">
        <f t="shared" si="1460"/>
        <v>149.67454194792674</v>
      </c>
      <c r="AW182" s="70">
        <f t="shared" si="1460"/>
        <v>150.42667410309829</v>
      </c>
      <c r="AX182" s="70">
        <f t="shared" si="1460"/>
        <v>392.23514000327486</v>
      </c>
      <c r="AY182" s="70">
        <f t="shared" si="1460"/>
        <v>391.23258116059145</v>
      </c>
      <c r="AZ182" s="70">
        <f t="shared" si="1460"/>
        <v>150.69738078870949</v>
      </c>
      <c r="BA182" s="70">
        <f t="shared" si="1460"/>
        <v>159.50631501356872</v>
      </c>
      <c r="BB182" s="70">
        <f t="shared" si="1460"/>
        <v>558.59956749870082</v>
      </c>
      <c r="BC182" s="70">
        <f t="shared" si="1460"/>
        <v>599.75932274083527</v>
      </c>
      <c r="BD182" s="70">
        <f t="shared" si="1460"/>
        <v>213.16457734999608</v>
      </c>
      <c r="BE182" s="70">
        <f t="shared" si="1460"/>
        <v>251.59024259627779</v>
      </c>
      <c r="BF182" s="70">
        <f t="shared" si="1460"/>
        <v>492.69647909462429</v>
      </c>
      <c r="BG182" s="70">
        <f t="shared" si="1460"/>
        <v>557.06702312264918</v>
      </c>
      <c r="BH182" s="70">
        <f t="shared" si="1460"/>
        <v>590.21532438478744</v>
      </c>
      <c r="BI182" s="70">
        <f t="shared" si="1460"/>
        <v>619.49712963811385</v>
      </c>
      <c r="BJ182" s="70">
        <f t="shared" si="1460"/>
        <v>857.68162799543541</v>
      </c>
      <c r="BK182" s="70">
        <f t="shared" si="1460"/>
        <v>920.15692550960978</v>
      </c>
      <c r="BL182" s="70">
        <f t="shared" si="1460"/>
        <v>253.38820048085807</v>
      </c>
      <c r="BM182" s="70">
        <f t="shared" si="1460"/>
        <v>265.38735928582082</v>
      </c>
      <c r="BN182" s="70">
        <f t="shared" si="1460"/>
        <v>316.42537082818296</v>
      </c>
      <c r="BO182" s="70">
        <f t="shared" si="1460"/>
        <v>333.97827652534141</v>
      </c>
      <c r="BP182" s="70">
        <f t="shared" si="1460"/>
        <v>267.9837138626977</v>
      </c>
      <c r="BQ182" s="70">
        <f t="shared" si="1460"/>
        <v>249.35620024188461</v>
      </c>
      <c r="BR182" s="70">
        <f t="shared" si="1460"/>
        <v>233.25907497455614</v>
      </c>
      <c r="BS182" s="70">
        <f t="shared" si="1460"/>
        <v>231.14580198782352</v>
      </c>
      <c r="BT182" s="70">
        <f t="shared" si="1460"/>
        <v>212.17993079584778</v>
      </c>
      <c r="BU182" s="70">
        <f t="shared" si="1460"/>
        <v>201.91780039969569</v>
      </c>
      <c r="BV182" s="70">
        <f t="shared" si="1460"/>
        <v>178.58457364909452</v>
      </c>
      <c r="BW182" s="70">
        <f t="shared" si="1460"/>
        <v>181.8608929817849</v>
      </c>
      <c r="BX182" s="70">
        <f t="shared" si="1460"/>
        <v>147.95253187351437</v>
      </c>
      <c r="BY182" s="70">
        <f t="shared" si="1460"/>
        <v>145.96687721950971</v>
      </c>
      <c r="BZ182" s="70">
        <f t="shared" si="1460"/>
        <v>134.84096669403493</v>
      </c>
      <c r="CA182" s="70">
        <f t="shared" si="1460"/>
        <v>132.96416000375336</v>
      </c>
      <c r="CB182" s="70">
        <f t="shared" si="1460"/>
        <v>125.2381284429259</v>
      </c>
      <c r="CC182" s="70">
        <f t="shared" si="1460"/>
        <v>122.59759215166696</v>
      </c>
      <c r="CD182" s="70">
        <f t="shared" si="1460"/>
        <v>144.3719261344304</v>
      </c>
      <c r="CE182" s="115">
        <f>CE148/CE10*90</f>
        <v>144.30637883893007</v>
      </c>
      <c r="CF182" s="70">
        <f>CF148/CF8*90</f>
        <v>145.50393013100438</v>
      </c>
      <c r="CG182" s="70">
        <f>CG148/CG10*90</f>
        <v>148.54828902767076</v>
      </c>
      <c r="CH182" s="70">
        <f>CH148/CH8*90</f>
        <v>108.14188860414571</v>
      </c>
      <c r="CI182" s="70">
        <f>CI179+CI180+CI181</f>
        <v>108.14188860414571</v>
      </c>
      <c r="CJ182" s="70">
        <f>CJ148/CJ8*90</f>
        <v>139.74487121238599</v>
      </c>
      <c r="CK182" s="50">
        <f t="shared" ref="CK182:DB182" si="1461">CK179+CK180+CK181</f>
        <v>139.74487121238599</v>
      </c>
      <c r="CL182" s="70">
        <f>CL148/CL8*90</f>
        <v>174.82912634499561</v>
      </c>
      <c r="CM182" s="50">
        <f t="shared" si="1461"/>
        <v>174.82912634499561</v>
      </c>
      <c r="CN182" s="50">
        <f t="shared" si="1461"/>
        <v>174.82912634499561</v>
      </c>
      <c r="CO182" s="50">
        <f t="shared" si="1461"/>
        <v>174.82912634499561</v>
      </c>
      <c r="CP182" s="50">
        <f t="shared" si="1461"/>
        <v>174.82912634499561</v>
      </c>
      <c r="CQ182" s="50">
        <f t="shared" si="1461"/>
        <v>174.82912634499561</v>
      </c>
      <c r="CR182" s="50">
        <f t="shared" si="1461"/>
        <v>174.82912634499561</v>
      </c>
      <c r="CS182" s="50">
        <f t="shared" si="1461"/>
        <v>174.82912634499561</v>
      </c>
      <c r="CT182" s="50">
        <f t="shared" si="1461"/>
        <v>174.82912634499561</v>
      </c>
      <c r="CU182" s="50">
        <f t="shared" si="1461"/>
        <v>174.82912634499561</v>
      </c>
      <c r="CV182" s="50">
        <f t="shared" si="1461"/>
        <v>174.82912634499561</v>
      </c>
      <c r="CW182" s="50">
        <f t="shared" si="1461"/>
        <v>174.82912634499561</v>
      </c>
      <c r="CX182" s="50">
        <f t="shared" si="1461"/>
        <v>174.82912634499561</v>
      </c>
      <c r="CY182" s="50">
        <f t="shared" si="1461"/>
        <v>174.82912634499561</v>
      </c>
      <c r="CZ182" s="50">
        <f t="shared" si="1461"/>
        <v>174.82912634499561</v>
      </c>
      <c r="DA182" s="50">
        <f t="shared" si="1461"/>
        <v>174.82912634499561</v>
      </c>
      <c r="DB182" s="50">
        <f t="shared" si="1461"/>
        <v>174.82912634499561</v>
      </c>
      <c r="DE182" s="138"/>
      <c r="DF182" s="7">
        <v>180.60772433052068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1994.6384532731161</v>
      </c>
      <c r="C183" s="67">
        <f t="shared" si="1462"/>
        <v>1381.1455445544555</v>
      </c>
      <c r="D183" s="67">
        <f t="shared" si="1462"/>
        <v>718.09352317917637</v>
      </c>
      <c r="E183" s="67">
        <f t="shared" si="1462"/>
        <v>343.2649372384937</v>
      </c>
      <c r="F183" s="67">
        <f t="shared" si="1462"/>
        <v>342.95001671888741</v>
      </c>
      <c r="G183" s="67">
        <f t="shared" si="1462"/>
        <v>292.56526622410121</v>
      </c>
      <c r="H183" s="67">
        <f t="shared" si="1462"/>
        <v>253.12733656484099</v>
      </c>
      <c r="I183" s="67">
        <f t="shared" si="1462"/>
        <v>180.59182047692406</v>
      </c>
      <c r="J183" s="67">
        <f t="shared" si="1462"/>
        <v>163.24893725033715</v>
      </c>
      <c r="K183" s="67">
        <f t="shared" si="1462"/>
        <v>246.36939002130325</v>
      </c>
      <c r="L183" s="67">
        <f t="shared" si="1462"/>
        <v>233.54077745752761</v>
      </c>
      <c r="M183" s="67">
        <f t="shared" si="1462"/>
        <v>112.44060535918085</v>
      </c>
      <c r="N183" s="67">
        <f t="shared" si="1462"/>
        <v>95.939025408610235</v>
      </c>
      <c r="O183" s="67">
        <f t="shared" si="1462"/>
        <v>95.09019910807784</v>
      </c>
      <c r="P183" s="67">
        <f t="shared" si="1462"/>
        <v>88.858604155935751</v>
      </c>
      <c r="Q183" s="67">
        <f t="shared" si="1462"/>
        <v>74.681503588383933</v>
      </c>
      <c r="R183" s="67">
        <f t="shared" si="1462"/>
        <v>70.389413631974435</v>
      </c>
      <c r="S183" s="67">
        <f t="shared" si="1462"/>
        <v>94.192351124692934</v>
      </c>
      <c r="T183" s="67">
        <f t="shared" si="1462"/>
        <v>59.631146257438139</v>
      </c>
      <c r="U183" s="67">
        <f t="shared" si="1462"/>
        <v>98.577161467515367</v>
      </c>
      <c r="V183" s="67">
        <f t="shared" si="1462"/>
        <v>90.475346377172627</v>
      </c>
      <c r="W183" s="67">
        <f t="shared" si="1462"/>
        <v>74.818659718412874</v>
      </c>
      <c r="X183" s="67">
        <f t="shared" si="1462"/>
        <v>68.992876320999486</v>
      </c>
      <c r="Y183" s="67">
        <f t="shared" si="1462"/>
        <v>81.824445097134216</v>
      </c>
      <c r="Z183" s="67">
        <f t="shared" si="1462"/>
        <v>58.7609706125195</v>
      </c>
      <c r="AA183" s="67">
        <f t="shared" ref="AA183" si="1463">AA153/AA8*365</f>
        <v>75.231721296639449</v>
      </c>
      <c r="AB183" s="18">
        <f t="shared" si="1462"/>
        <v>76.214112448335641</v>
      </c>
      <c r="AC183" s="18">
        <f t="shared" si="1462"/>
        <v>76.356364295409236</v>
      </c>
      <c r="AD183" s="18">
        <f t="shared" si="1462"/>
        <v>76.372736845108861</v>
      </c>
      <c r="AE183" s="18">
        <f t="shared" si="1462"/>
        <v>76.373815814592234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91.491654310838385</v>
      </c>
      <c r="AM183" s="67">
        <f t="shared" ref="AM183" si="1465">+AL183</f>
        <v>91.491654310838385</v>
      </c>
      <c r="AN183" s="67">
        <f>AN153/AN8*90</f>
        <v>95.073695392378184</v>
      </c>
      <c r="AO183" s="67">
        <f t="shared" ref="AO183" si="1466">+AN183</f>
        <v>95.073695392378184</v>
      </c>
      <c r="AP183" s="67">
        <f>AP153/AP8*90</f>
        <v>93.357582295827612</v>
      </c>
      <c r="AQ183" s="67">
        <f t="shared" ref="AQ183" si="1467">+AP183</f>
        <v>93.357582295827612</v>
      </c>
      <c r="AR183" s="67">
        <f>AR153/AR8*90</f>
        <v>100.54287917297314</v>
      </c>
      <c r="AS183" s="67">
        <f t="shared" ref="AS183" si="1468">+AR183</f>
        <v>100.54287917297314</v>
      </c>
      <c r="AT183" s="67">
        <f>AT153/AT8*90</f>
        <v>84.956168570049869</v>
      </c>
      <c r="AU183" s="67">
        <f t="shared" ref="AU183" si="1469">+AT183</f>
        <v>84.956168570049869</v>
      </c>
      <c r="AV183" s="67">
        <f>AV153/AV8*90</f>
        <v>93.640308582449379</v>
      </c>
      <c r="AW183" s="67">
        <f t="shared" ref="AW183" si="1470">+AV183</f>
        <v>93.640308582449379</v>
      </c>
      <c r="AX183" s="67">
        <f>AX153/AX8*90</f>
        <v>74.681922384149331</v>
      </c>
      <c r="AY183" s="67">
        <f t="shared" ref="AY183" si="1471">+AX183</f>
        <v>74.681922384149331</v>
      </c>
      <c r="AZ183" s="67">
        <f>AZ153/AZ8*90</f>
        <v>97.725901712938949</v>
      </c>
      <c r="BA183" s="67">
        <f t="shared" ref="BA183" si="1472">+AZ183</f>
        <v>97.725901712938949</v>
      </c>
      <c r="BB183" s="67">
        <f>BB153/BB8*90</f>
        <v>78.642314720131424</v>
      </c>
      <c r="BC183" s="67">
        <f t="shared" ref="BC183" si="1473">+BB183</f>
        <v>78.642314720131424</v>
      </c>
      <c r="BD183" s="67">
        <f>BD153/BD8*90</f>
        <v>110.1020724986416</v>
      </c>
      <c r="BE183" s="67">
        <f t="shared" ref="BE183" si="1474">+BD183</f>
        <v>110.1020724986416</v>
      </c>
      <c r="BF183" s="67">
        <f>BF153/BF8*90</f>
        <v>113.68830556428794</v>
      </c>
      <c r="BG183" s="67">
        <f t="shared" ref="BG183" si="1475">+BF183</f>
        <v>113.68830556428794</v>
      </c>
      <c r="BH183" s="67">
        <f>BH153/BH8*90</f>
        <v>122.01901565995526</v>
      </c>
      <c r="BI183" s="67">
        <f t="shared" ref="BI183" si="1476">+BH183</f>
        <v>122.01901565995526</v>
      </c>
      <c r="BJ183" s="67">
        <f>BJ153/BJ8*90</f>
        <v>59.526435907189047</v>
      </c>
      <c r="BK183" s="67">
        <f t="shared" ref="BK183" si="1477">+BJ183</f>
        <v>59.526435907189047</v>
      </c>
      <c r="BL183" s="67">
        <f>BL153/BL8*90</f>
        <v>102.01775476234509</v>
      </c>
      <c r="BM183" s="67">
        <f t="shared" ref="BM183" si="1478">+BL183</f>
        <v>102.01775476234509</v>
      </c>
      <c r="BN183" s="67">
        <f>BN153/BN8*90</f>
        <v>101.19089925834363</v>
      </c>
      <c r="BO183" s="67">
        <f t="shared" ref="BO183" si="1479">+BN183</f>
        <v>101.19089925834363</v>
      </c>
      <c r="BP183" s="67">
        <f>BP153/BP8*90</f>
        <v>117.77916309514532</v>
      </c>
      <c r="BQ183" s="67">
        <f t="shared" ref="BQ183" si="1480">+BP183</f>
        <v>117.77916309514532</v>
      </c>
      <c r="BR183" s="67">
        <f>BR153/BR8*90</f>
        <v>87.764333371027917</v>
      </c>
      <c r="BS183" s="67">
        <f t="shared" ref="BS183" si="1481">+BR183</f>
        <v>87.764333371027917</v>
      </c>
      <c r="BT183" s="67">
        <f>BT153/BT8*90</f>
        <v>79.914052907690603</v>
      </c>
      <c r="BU183" s="67">
        <f t="shared" ref="BU183" si="1482">+BT183</f>
        <v>79.914052907690603</v>
      </c>
      <c r="BV183" s="67">
        <f>BV153/BV8*90</f>
        <v>73.974998167021056</v>
      </c>
      <c r="BW183" s="67">
        <f t="shared" ref="BW183" si="1483">+BV183</f>
        <v>73.974998167021056</v>
      </c>
      <c r="BX183" s="67">
        <f>BX153/BX8*90</f>
        <v>78.06850104444284</v>
      </c>
      <c r="BY183" s="67">
        <f t="shared" ref="BY183" si="1484">+BX183</f>
        <v>78.06850104444284</v>
      </c>
      <c r="BZ183" s="67">
        <f>BZ153/BZ8*90</f>
        <v>67.176310998464999</v>
      </c>
      <c r="CA183" s="67">
        <f t="shared" ref="CA183" si="1485">+BZ183</f>
        <v>67.176310998464999</v>
      </c>
      <c r="CB183" s="67">
        <f>CB153/CB8*90</f>
        <v>78.490342375008709</v>
      </c>
      <c r="CC183" s="67">
        <f t="shared" ref="CC183" si="1486">+CB183</f>
        <v>78.490342375008709</v>
      </c>
      <c r="CD183" s="67">
        <f>CD153/CD8*90</f>
        <v>74.36852361656716</v>
      </c>
      <c r="CE183" s="114">
        <f t="shared" si="1464"/>
        <v>74.36852361656716</v>
      </c>
      <c r="CF183" s="67">
        <f>CF153/CF8*90</f>
        <v>80.83755458515283</v>
      </c>
      <c r="CG183" s="67">
        <f t="shared" ref="CG183:CI183" si="1487">+CF183</f>
        <v>80.83755458515283</v>
      </c>
      <c r="CH183" s="67">
        <f>CH153/CH8*90</f>
        <v>61.479222759269476</v>
      </c>
      <c r="CI183" s="67">
        <f t="shared" si="1487"/>
        <v>61.479222759269476</v>
      </c>
      <c r="CJ183" s="67">
        <f>CJ153/CJ8*90</f>
        <v>82.705763114668159</v>
      </c>
      <c r="CK183" s="30">
        <f t="shared" ref="CK183" si="1488">+CJ183</f>
        <v>82.705763114668159</v>
      </c>
      <c r="CL183" s="67">
        <f>CL153/CL8*90</f>
        <v>72.82465994450834</v>
      </c>
      <c r="CM183" s="30">
        <f t="shared" ref="CM183" si="1489">+CL183</f>
        <v>72.82465994450834</v>
      </c>
      <c r="CN183" s="30">
        <f t="shared" ref="CN183" si="1490">+CM183</f>
        <v>72.82465994450834</v>
      </c>
      <c r="CO183" s="30">
        <f t="shared" ref="CO183" si="1491">+CN183</f>
        <v>72.82465994450834</v>
      </c>
      <c r="CP183" s="30">
        <f t="shared" ref="CP183" si="1492">+CO183</f>
        <v>72.82465994450834</v>
      </c>
      <c r="CQ183" s="30">
        <f t="shared" ref="CQ183" si="1493">+CP183</f>
        <v>72.82465994450834</v>
      </c>
      <c r="CR183" s="30">
        <f t="shared" ref="CR183" si="1494">+CQ183</f>
        <v>72.82465994450834</v>
      </c>
      <c r="CS183" s="30">
        <f t="shared" ref="CS183" si="1495">+CR183</f>
        <v>72.82465994450834</v>
      </c>
      <c r="CT183" s="30">
        <f t="shared" ref="CT183" si="1496">+CS183</f>
        <v>72.82465994450834</v>
      </c>
      <c r="CU183" s="30">
        <f t="shared" ref="CU183" si="1497">+CT183</f>
        <v>72.82465994450834</v>
      </c>
      <c r="CV183" s="30">
        <f t="shared" ref="CV183" si="1498">+CU183</f>
        <v>72.82465994450834</v>
      </c>
      <c r="CW183" s="30">
        <f t="shared" ref="CW183" si="1499">+CV183</f>
        <v>72.82465994450834</v>
      </c>
      <c r="CX183" s="30">
        <f t="shared" ref="CX183" si="1500">+CW183</f>
        <v>72.82465994450834</v>
      </c>
      <c r="CY183" s="30">
        <f t="shared" ref="CY183" si="1501">+CX183</f>
        <v>72.82465994450834</v>
      </c>
      <c r="CZ183" s="30">
        <f t="shared" ref="CZ183" si="1502">+CY183</f>
        <v>72.82465994450834</v>
      </c>
      <c r="DA183" s="30">
        <f t="shared" ref="DA183" si="1503">+CZ183</f>
        <v>72.82465994450834</v>
      </c>
      <c r="DB183" s="30">
        <f t="shared" ref="DB183" si="1504">+DA183</f>
        <v>72.82465994450834</v>
      </c>
      <c r="DE183" s="139"/>
      <c r="DF183" s="62">
        <v>75.231721296639449</v>
      </c>
    </row>
    <row r="184" spans="1:110" s="62" customFormat="1" outlineLevel="1" x14ac:dyDescent="0.2">
      <c r="A184" s="68" t="s">
        <v>466</v>
      </c>
      <c r="B184" s="67">
        <f>B185-B183</f>
        <v>173.1857339245928</v>
      </c>
      <c r="C184" s="67">
        <f t="shared" ref="C184:V184" si="1505">C185-C183</f>
        <v>88.033663366336896</v>
      </c>
      <c r="D184" s="67">
        <f t="shared" si="1505"/>
        <v>119.99860952751749</v>
      </c>
      <c r="E184" s="67">
        <f t="shared" si="1505"/>
        <v>81.625606694560702</v>
      </c>
      <c r="F184" s="67">
        <f t="shared" si="1505"/>
        <v>118.04741971837962</v>
      </c>
      <c r="G184" s="67">
        <f t="shared" si="1505"/>
        <v>91.432478335905387</v>
      </c>
      <c r="H184" s="67">
        <f t="shared" si="1505"/>
        <v>45.128857553056918</v>
      </c>
      <c r="I184" s="67">
        <f t="shared" si="1505"/>
        <v>36.416831167005455</v>
      </c>
      <c r="J184" s="67">
        <f t="shared" si="1505"/>
        <v>35.307184649228532</v>
      </c>
      <c r="K184" s="67">
        <f t="shared" si="1505"/>
        <v>25.969417663122528</v>
      </c>
      <c r="L184" s="67">
        <f t="shared" si="1505"/>
        <v>58.159243287620427</v>
      </c>
      <c r="M184" s="67">
        <f t="shared" si="1505"/>
        <v>149.37711980196428</v>
      </c>
      <c r="N184" s="67">
        <f t="shared" si="1505"/>
        <v>133.65627396053961</v>
      </c>
      <c r="O184" s="67">
        <f t="shared" si="1505"/>
        <v>105.27504595083444</v>
      </c>
      <c r="P184" s="67">
        <f t="shared" si="1505"/>
        <v>113.25898027123165</v>
      </c>
      <c r="Q184" s="67">
        <f t="shared" si="1505"/>
        <v>145.69469632480849</v>
      </c>
      <c r="R184" s="67">
        <f t="shared" si="1505"/>
        <v>145.03257600142069</v>
      </c>
      <c r="S184" s="67">
        <f t="shared" si="1505"/>
        <v>484.27632177510412</v>
      </c>
      <c r="T184" s="67">
        <f t="shared" si="1505"/>
        <v>742.04854368932024</v>
      </c>
      <c r="U184" s="67">
        <f t="shared" si="1505"/>
        <v>745.39262716425117</v>
      </c>
      <c r="V184" s="67">
        <f t="shared" si="1505"/>
        <v>109.20692562711994</v>
      </c>
      <c r="W184" s="67">
        <f t="shared" ref="W184" si="1506">W185-W183</f>
        <v>89.751691351252305</v>
      </c>
      <c r="X184" s="67">
        <f t="shared" ref="X184:Y184" si="1507">X185-X183</f>
        <v>76.232360306282104</v>
      </c>
      <c r="Y184" s="67">
        <f t="shared" si="1507"/>
        <v>103.64511391767736</v>
      </c>
      <c r="Z184" s="67">
        <f t="shared" ref="Z184:AA184" si="1508">Z185-Z183</f>
        <v>89.667823613957026</v>
      </c>
      <c r="AA184" s="67">
        <f t="shared" si="1508"/>
        <v>132.83051636313499</v>
      </c>
      <c r="AB184" s="18">
        <f t="shared" ref="AA184:AD184" si="1509">AB185-AB183</f>
        <v>134.5650443215722</v>
      </c>
      <c r="AC184" s="18">
        <f t="shared" si="1509"/>
        <v>134.81620680961217</v>
      </c>
      <c r="AD184" s="18">
        <f t="shared" si="1509"/>
        <v>134.84511448570015</v>
      </c>
      <c r="AE184" s="18">
        <f t="shared" ref="AE184" si="1510">AE185-AE183</f>
        <v>134.84701953414441</v>
      </c>
      <c r="AI184" s="67">
        <f t="shared" ref="AI184:AK184" si="1511">AI185-AI183</f>
        <v>0</v>
      </c>
      <c r="AJ184" s="67">
        <f t="shared" ref="AJ184:AM184" si="1512">AJ185-AJ183</f>
        <v>272.7407188515794</v>
      </c>
      <c r="AK184" s="67">
        <f t="shared" si="1511"/>
        <v>269.41788293132578</v>
      </c>
      <c r="AL184" s="67">
        <f t="shared" si="1512"/>
        <v>164.21013226853006</v>
      </c>
      <c r="AM184" s="67">
        <f t="shared" si="1512"/>
        <v>162.64620350713935</v>
      </c>
      <c r="AN184" s="67">
        <f t="shared" ref="AN184:AY184" si="1513">AN185-AN183</f>
        <v>165.96999070508565</v>
      </c>
      <c r="AO184" s="67">
        <f t="shared" si="1513"/>
        <v>164.90676674094055</v>
      </c>
      <c r="AP184" s="67">
        <f t="shared" si="1513"/>
        <v>153.70484298918274</v>
      </c>
      <c r="AQ184" s="67">
        <f t="shared" si="1513"/>
        <v>148.95565194049254</v>
      </c>
      <c r="AR184" s="67">
        <f t="shared" si="1513"/>
        <v>161.37775937401835</v>
      </c>
      <c r="AS184" s="67">
        <f t="shared" si="1513"/>
        <v>153.02656520797223</v>
      </c>
      <c r="AT184" s="67">
        <f t="shared" si="1513"/>
        <v>185.3671384912337</v>
      </c>
      <c r="AU184" s="67">
        <f t="shared" si="1513"/>
        <v>184.20910313961085</v>
      </c>
      <c r="AV184" s="67">
        <f t="shared" si="1513"/>
        <v>235.46407907425271</v>
      </c>
      <c r="AW184" s="67">
        <f t="shared" si="1513"/>
        <v>236.97484768426159</v>
      </c>
      <c r="AX184" s="67">
        <f t="shared" si="1513"/>
        <v>267.78696577697718</v>
      </c>
      <c r="AY184" s="67">
        <f t="shared" si="1513"/>
        <v>267.03269788137322</v>
      </c>
      <c r="AZ184" s="67">
        <f t="shared" ref="AZ184:BC184" si="1514">AZ185-AZ183</f>
        <v>364.73478205973549</v>
      </c>
      <c r="BA184" s="67">
        <f t="shared" si="1514"/>
        <v>392.51867066252697</v>
      </c>
      <c r="BB184" s="67">
        <f t="shared" si="1514"/>
        <v>350.89182438435625</v>
      </c>
      <c r="BC184" s="67">
        <f t="shared" si="1514"/>
        <v>378.45106583015422</v>
      </c>
      <c r="BD184" s="67">
        <f t="shared" ref="BD184:CE184" si="1515">BD185-BD183</f>
        <v>533.28126212838617</v>
      </c>
      <c r="BE184" s="67">
        <f t="shared" si="1515"/>
        <v>656.84425641761084</v>
      </c>
      <c r="BF184" s="67">
        <f t="shared" si="1515"/>
        <v>1152.5785916378495</v>
      </c>
      <c r="BG184" s="67">
        <f t="shared" si="1515"/>
        <v>1315.4800418597699</v>
      </c>
      <c r="BH184" s="67">
        <f t="shared" si="1515"/>
        <v>1425.1230425055928</v>
      </c>
      <c r="BI184" s="67">
        <f t="shared" si="1515"/>
        <v>1501.6913859149395</v>
      </c>
      <c r="BJ184" s="67">
        <f t="shared" si="1515"/>
        <v>1854.9847850893873</v>
      </c>
      <c r="BK184" s="67">
        <f t="shared" si="1515"/>
        <v>1994.242971545408</v>
      </c>
      <c r="BL184" s="67">
        <f t="shared" si="1515"/>
        <v>1927.8609210282968</v>
      </c>
      <c r="BM184" s="67">
        <f t="shared" si="1515"/>
        <v>2043.4297812279467</v>
      </c>
      <c r="BN184" s="67">
        <f t="shared" si="1515"/>
        <v>2929.2135352286773</v>
      </c>
      <c r="BO184" s="67">
        <f t="shared" si="1515"/>
        <v>3116.7891491985201</v>
      </c>
      <c r="BP184" s="67">
        <f t="shared" si="1515"/>
        <v>1608.4212576950049</v>
      </c>
      <c r="BQ184" s="67">
        <f t="shared" si="1515"/>
        <v>1482.7678603498434</v>
      </c>
      <c r="BR184" s="67">
        <f t="shared" si="1515"/>
        <v>105.93463756643676</v>
      </c>
      <c r="BS184" s="67">
        <f t="shared" si="1515"/>
        <v>104.85169570570459</v>
      </c>
      <c r="BT184" s="67">
        <f t="shared" si="1515"/>
        <v>103.65554191315996</v>
      </c>
      <c r="BU184" s="67">
        <f t="shared" si="1515"/>
        <v>98.020899303356572</v>
      </c>
      <c r="BV184" s="67">
        <f t="shared" si="1515"/>
        <v>88.739643668890693</v>
      </c>
      <c r="BW184" s="67">
        <f t="shared" si="1515"/>
        <v>90.837586310417265</v>
      </c>
      <c r="BX184" s="67">
        <f t="shared" si="1515"/>
        <v>71.838579557732473</v>
      </c>
      <c r="BY184" s="67">
        <f t="shared" si="1515"/>
        <v>70.758070237672925</v>
      </c>
      <c r="BZ184" s="67">
        <f t="shared" si="1515"/>
        <v>74.22518116588725</v>
      </c>
      <c r="CA184" s="67">
        <f t="shared" si="1515"/>
        <v>72.826520962488189</v>
      </c>
      <c r="CB184" s="67">
        <f t="shared" si="1515"/>
        <v>61.219580224531057</v>
      </c>
      <c r="CC184" s="67">
        <f t="shared" si="1515"/>
        <v>59.314934297199613</v>
      </c>
      <c r="CD184" s="67">
        <f t="shared" si="1515"/>
        <v>94.200872281852213</v>
      </c>
      <c r="CE184" s="114">
        <f t="shared" si="1515"/>
        <v>94.139721792890271</v>
      </c>
      <c r="CF184" s="67">
        <f t="shared" ref="CF184:CG184" si="1516">CF185-CF183</f>
        <v>79.462008733624444</v>
      </c>
      <c r="CG184" s="67">
        <f t="shared" si="1516"/>
        <v>82.024220933377407</v>
      </c>
      <c r="CH184" s="67">
        <f t="shared" ref="CH184" si="1517">CH185-CH183</f>
        <v>93.815810815194766</v>
      </c>
      <c r="CI184" s="67">
        <f>CH184</f>
        <v>93.815810815194766</v>
      </c>
      <c r="CJ184" s="67">
        <f t="shared" ref="CJ184:CL184" si="1518">CJ185-CJ183</f>
        <v>85.20952014818441</v>
      </c>
      <c r="CK184" s="30">
        <f t="shared" ref="CK184:DB184" si="1519">CJ184</f>
        <v>85.20952014818441</v>
      </c>
      <c r="CL184" s="67">
        <f t="shared" si="1518"/>
        <v>128.58056439060704</v>
      </c>
      <c r="CM184" s="30">
        <f t="shared" si="1519"/>
        <v>128.58056439060704</v>
      </c>
      <c r="CN184" s="30">
        <f t="shared" si="1519"/>
        <v>128.58056439060704</v>
      </c>
      <c r="CO184" s="30">
        <f t="shared" si="1519"/>
        <v>128.58056439060704</v>
      </c>
      <c r="CP184" s="30">
        <f t="shared" si="1519"/>
        <v>128.58056439060704</v>
      </c>
      <c r="CQ184" s="30">
        <f t="shared" si="1519"/>
        <v>128.58056439060704</v>
      </c>
      <c r="CR184" s="30">
        <f t="shared" si="1519"/>
        <v>128.58056439060704</v>
      </c>
      <c r="CS184" s="30">
        <f t="shared" si="1519"/>
        <v>128.58056439060704</v>
      </c>
      <c r="CT184" s="30">
        <f t="shared" si="1519"/>
        <v>128.58056439060704</v>
      </c>
      <c r="CU184" s="30">
        <f t="shared" si="1519"/>
        <v>128.58056439060704</v>
      </c>
      <c r="CV184" s="30">
        <f t="shared" si="1519"/>
        <v>128.58056439060704</v>
      </c>
      <c r="CW184" s="30">
        <f t="shared" si="1519"/>
        <v>128.58056439060704</v>
      </c>
      <c r="CX184" s="30">
        <f t="shared" si="1519"/>
        <v>128.58056439060704</v>
      </c>
      <c r="CY184" s="30">
        <f t="shared" si="1519"/>
        <v>128.58056439060704</v>
      </c>
      <c r="CZ184" s="30">
        <f t="shared" si="1519"/>
        <v>128.58056439060704</v>
      </c>
      <c r="DA184" s="30">
        <f t="shared" si="1519"/>
        <v>128.58056439060704</v>
      </c>
      <c r="DB184" s="30">
        <f t="shared" si="1519"/>
        <v>128.58056439060704</v>
      </c>
      <c r="DE184" s="139"/>
      <c r="DF184" s="62">
        <v>132.83051636313493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2167.8241871977089</v>
      </c>
      <c r="C185" s="70">
        <f t="shared" si="1520"/>
        <v>1469.1792079207924</v>
      </c>
      <c r="D185" s="70">
        <f t="shared" si="1520"/>
        <v>838.09213270669386</v>
      </c>
      <c r="E185" s="70">
        <f t="shared" si="1520"/>
        <v>424.8905439330544</v>
      </c>
      <c r="F185" s="70">
        <f t="shared" si="1520"/>
        <v>460.99743643726703</v>
      </c>
      <c r="G185" s="70">
        <f t="shared" si="1520"/>
        <v>383.99774456000659</v>
      </c>
      <c r="H185" s="70">
        <f t="shared" si="1520"/>
        <v>298.25619411789791</v>
      </c>
      <c r="I185" s="70">
        <f t="shared" si="1520"/>
        <v>217.00865164392951</v>
      </c>
      <c r="J185" s="70">
        <f t="shared" si="1520"/>
        <v>198.55612189956568</v>
      </c>
      <c r="K185" s="70">
        <f t="shared" si="1520"/>
        <v>272.33880768442577</v>
      </c>
      <c r="L185" s="70">
        <f t="shared" si="1520"/>
        <v>291.70002074514804</v>
      </c>
      <c r="M185" s="70">
        <f t="shared" si="1520"/>
        <v>261.81772516114512</v>
      </c>
      <c r="N185" s="70">
        <f t="shared" si="1520"/>
        <v>229.59529936914984</v>
      </c>
      <c r="O185" s="70">
        <f t="shared" si="1520"/>
        <v>200.36524505891228</v>
      </c>
      <c r="P185" s="70">
        <f t="shared" si="1520"/>
        <v>202.1175844271674</v>
      </c>
      <c r="Q185" s="70">
        <f t="shared" si="1520"/>
        <v>220.37619991319241</v>
      </c>
      <c r="R185" s="70">
        <f t="shared" si="1520"/>
        <v>215.42198963339513</v>
      </c>
      <c r="S185" s="70">
        <f t="shared" si="1520"/>
        <v>578.46867289979707</v>
      </c>
      <c r="T185" s="70">
        <f t="shared" si="1520"/>
        <v>801.67968994675834</v>
      </c>
      <c r="U185" s="70">
        <f t="shared" si="1520"/>
        <v>843.96978863176651</v>
      </c>
      <c r="V185" s="70">
        <f t="shared" si="1520"/>
        <v>199.68227200429257</v>
      </c>
      <c r="W185" s="70">
        <f t="shared" si="1520"/>
        <v>164.57035106966518</v>
      </c>
      <c r="X185" s="70">
        <f t="shared" si="1520"/>
        <v>145.22523662728159</v>
      </c>
      <c r="Y185" s="70">
        <f t="shared" si="1520"/>
        <v>185.46955901481158</v>
      </c>
      <c r="Z185" s="70">
        <f t="shared" si="1520"/>
        <v>148.42879422647653</v>
      </c>
      <c r="AA185" s="70">
        <f t="shared" ref="AA185" si="1521">AA156/AA8*365</f>
        <v>208.06223765977444</v>
      </c>
      <c r="AB185" s="71">
        <f t="shared" si="1520"/>
        <v>210.77915676990784</v>
      </c>
      <c r="AC185" s="71">
        <f t="shared" si="1520"/>
        <v>211.1725711050214</v>
      </c>
      <c r="AD185" s="71">
        <f t="shared" si="1520"/>
        <v>211.217851330809</v>
      </c>
      <c r="AE185" s="71">
        <f t="shared" si="1520"/>
        <v>211.22083534873664</v>
      </c>
      <c r="AI185" s="70">
        <f t="shared" ref="AI185:CD185" si="1522">AI156/AI8*90</f>
        <v>0</v>
      </c>
      <c r="AJ185" s="70">
        <f t="shared" si="1522"/>
        <v>272.7407188515794</v>
      </c>
      <c r="AK185" s="70">
        <f>AK156/AK8*90</f>
        <v>269.41788293132578</v>
      </c>
      <c r="AL185" s="70">
        <f t="shared" si="1522"/>
        <v>255.70178657936845</v>
      </c>
      <c r="AM185" s="70">
        <f t="shared" si="1522"/>
        <v>254.13785781797773</v>
      </c>
      <c r="AN185" s="70">
        <f t="shared" si="1522"/>
        <v>261.04368609746382</v>
      </c>
      <c r="AO185" s="70">
        <f t="shared" si="1522"/>
        <v>259.98046213331872</v>
      </c>
      <c r="AP185" s="70">
        <f t="shared" si="1522"/>
        <v>247.06242528501033</v>
      </c>
      <c r="AQ185" s="70">
        <f t="shared" si="1522"/>
        <v>242.31323423632014</v>
      </c>
      <c r="AR185" s="70">
        <f t="shared" si="1522"/>
        <v>261.92063854699148</v>
      </c>
      <c r="AS185" s="70">
        <f t="shared" si="1522"/>
        <v>253.56944438094538</v>
      </c>
      <c r="AT185" s="70">
        <f t="shared" si="1522"/>
        <v>270.32330706128357</v>
      </c>
      <c r="AU185" s="70">
        <f t="shared" si="1522"/>
        <v>269.16527170966071</v>
      </c>
      <c r="AV185" s="70">
        <f t="shared" si="1522"/>
        <v>329.1043876567021</v>
      </c>
      <c r="AW185" s="70">
        <f t="shared" si="1522"/>
        <v>330.61515626671098</v>
      </c>
      <c r="AX185" s="70">
        <f t="shared" si="1522"/>
        <v>342.46888816112653</v>
      </c>
      <c r="AY185" s="70">
        <f t="shared" si="1522"/>
        <v>341.71462026552257</v>
      </c>
      <c r="AZ185" s="70">
        <f t="shared" si="1522"/>
        <v>462.46068377267443</v>
      </c>
      <c r="BA185" s="70">
        <f t="shared" si="1522"/>
        <v>490.24457237546591</v>
      </c>
      <c r="BB185" s="70">
        <f t="shared" si="1522"/>
        <v>429.53413910448768</v>
      </c>
      <c r="BC185" s="70">
        <f t="shared" si="1522"/>
        <v>457.09338055028564</v>
      </c>
      <c r="BD185" s="70">
        <f t="shared" si="1522"/>
        <v>643.38333462702781</v>
      </c>
      <c r="BE185" s="70">
        <f t="shared" si="1522"/>
        <v>766.94632891625247</v>
      </c>
      <c r="BF185" s="70">
        <f t="shared" si="1522"/>
        <v>1266.2668972021374</v>
      </c>
      <c r="BG185" s="70">
        <f t="shared" si="1522"/>
        <v>1429.1683474240579</v>
      </c>
      <c r="BH185" s="70">
        <f t="shared" si="1522"/>
        <v>1547.1420581655482</v>
      </c>
      <c r="BI185" s="70">
        <f t="shared" si="1522"/>
        <v>1623.7104015748948</v>
      </c>
      <c r="BJ185" s="70">
        <f t="shared" si="1522"/>
        <v>1914.5112209965764</v>
      </c>
      <c r="BK185" s="70">
        <f t="shared" si="1522"/>
        <v>2053.7694074525971</v>
      </c>
      <c r="BL185" s="70">
        <f t="shared" si="1522"/>
        <v>2029.8786757906419</v>
      </c>
      <c r="BM185" s="70">
        <f t="shared" si="1522"/>
        <v>2145.4475359902917</v>
      </c>
      <c r="BN185" s="70">
        <f t="shared" si="1522"/>
        <v>3030.4044344870208</v>
      </c>
      <c r="BO185" s="70">
        <f t="shared" si="1522"/>
        <v>3217.9800484568636</v>
      </c>
      <c r="BP185" s="70">
        <f t="shared" si="1522"/>
        <v>1726.2004207901502</v>
      </c>
      <c r="BQ185" s="70">
        <f t="shared" si="1522"/>
        <v>1600.5470234449888</v>
      </c>
      <c r="BR185" s="70">
        <f t="shared" si="1522"/>
        <v>193.69897093746468</v>
      </c>
      <c r="BS185" s="70">
        <f t="shared" si="1522"/>
        <v>192.6160290767325</v>
      </c>
      <c r="BT185" s="70">
        <f t="shared" si="1522"/>
        <v>183.56959482085057</v>
      </c>
      <c r="BU185" s="70">
        <f t="shared" si="1522"/>
        <v>177.93495221104718</v>
      </c>
      <c r="BV185" s="70">
        <f t="shared" si="1522"/>
        <v>162.71464183591175</v>
      </c>
      <c r="BW185" s="70">
        <f t="shared" si="1522"/>
        <v>164.81258447743832</v>
      </c>
      <c r="BX185" s="70">
        <f t="shared" si="1522"/>
        <v>149.90708060217531</v>
      </c>
      <c r="BY185" s="70">
        <f t="shared" si="1522"/>
        <v>148.82657128211576</v>
      </c>
      <c r="BZ185" s="70">
        <f t="shared" si="1522"/>
        <v>141.40149216435225</v>
      </c>
      <c r="CA185" s="70">
        <f t="shared" si="1522"/>
        <v>140.00283196095319</v>
      </c>
      <c r="CB185" s="70">
        <f t="shared" si="1522"/>
        <v>139.70992259953977</v>
      </c>
      <c r="CC185" s="70">
        <f t="shared" si="1522"/>
        <v>137.80527667220832</v>
      </c>
      <c r="CD185" s="70">
        <f t="shared" si="1522"/>
        <v>168.56939589841937</v>
      </c>
      <c r="CE185" s="115">
        <f>CE156/CE10*90</f>
        <v>168.50824540945743</v>
      </c>
      <c r="CF185" s="70">
        <f>CF156/CF8*90</f>
        <v>160.29956331877727</v>
      </c>
      <c r="CG185" s="70">
        <f>CG156/CG10*90</f>
        <v>162.86177551853024</v>
      </c>
      <c r="CH185" s="70">
        <f>CH156/CH8*90</f>
        <v>155.29503357446424</v>
      </c>
      <c r="CI185" s="70">
        <f>CI183+CI184</f>
        <v>155.29503357446424</v>
      </c>
      <c r="CJ185" s="70">
        <f>CJ156/CJ8*90</f>
        <v>167.91528326285257</v>
      </c>
      <c r="CK185" s="50">
        <f t="shared" ref="CK185:DB185" si="1523">CK183+CK184</f>
        <v>167.91528326285257</v>
      </c>
      <c r="CL185" s="70">
        <f>CL156/CL8*90</f>
        <v>201.40522433511538</v>
      </c>
      <c r="CM185" s="50">
        <f t="shared" si="1523"/>
        <v>201.40522433511538</v>
      </c>
      <c r="CN185" s="50">
        <f t="shared" si="1523"/>
        <v>201.40522433511538</v>
      </c>
      <c r="CO185" s="50">
        <f t="shared" si="1523"/>
        <v>201.40522433511538</v>
      </c>
      <c r="CP185" s="50">
        <f t="shared" si="1523"/>
        <v>201.40522433511538</v>
      </c>
      <c r="CQ185" s="50">
        <f t="shared" si="1523"/>
        <v>201.40522433511538</v>
      </c>
      <c r="CR185" s="50">
        <f t="shared" si="1523"/>
        <v>201.40522433511538</v>
      </c>
      <c r="CS185" s="50">
        <f t="shared" si="1523"/>
        <v>201.40522433511538</v>
      </c>
      <c r="CT185" s="50">
        <f t="shared" si="1523"/>
        <v>201.40522433511538</v>
      </c>
      <c r="CU185" s="50">
        <f t="shared" si="1523"/>
        <v>201.40522433511538</v>
      </c>
      <c r="CV185" s="50">
        <f t="shared" si="1523"/>
        <v>201.40522433511538</v>
      </c>
      <c r="CW185" s="50">
        <f t="shared" si="1523"/>
        <v>201.40522433511538</v>
      </c>
      <c r="CX185" s="50">
        <f t="shared" si="1523"/>
        <v>201.40522433511538</v>
      </c>
      <c r="CY185" s="50">
        <f t="shared" si="1523"/>
        <v>201.40522433511538</v>
      </c>
      <c r="CZ185" s="50">
        <f t="shared" si="1523"/>
        <v>201.40522433511538</v>
      </c>
      <c r="DA185" s="50">
        <f t="shared" si="1523"/>
        <v>201.40522433511538</v>
      </c>
      <c r="DB185" s="50">
        <f t="shared" si="1523"/>
        <v>201.40522433511538</v>
      </c>
      <c r="DE185" s="138"/>
      <c r="DF185" s="7">
        <v>208.06223765977438</v>
      </c>
    </row>
    <row r="186" spans="1:110" s="7" customFormat="1" x14ac:dyDescent="0.2">
      <c r="A186" s="69" t="s">
        <v>470</v>
      </c>
      <c r="B186" s="70">
        <f>B182-B185</f>
        <v>-1336.8555400414573</v>
      </c>
      <c r="C186" s="70">
        <f t="shared" ref="C186:V186" si="1524">C182-C185</f>
        <v>-1341.393069306931</v>
      </c>
      <c r="D186" s="70">
        <f t="shared" si="1524"/>
        <v>-760.03517895380867</v>
      </c>
      <c r="E186" s="70">
        <f t="shared" si="1524"/>
        <v>-235.75640167364014</v>
      </c>
      <c r="F186" s="70">
        <f t="shared" si="1524"/>
        <v>-332.3589730887835</v>
      </c>
      <c r="G186" s="70">
        <f t="shared" si="1524"/>
        <v>-283.21304320035063</v>
      </c>
      <c r="H186" s="70">
        <f t="shared" si="1524"/>
        <v>-209.03875676981903</v>
      </c>
      <c r="I186" s="70">
        <f t="shared" si="1524"/>
        <v>-127.06444508226971</v>
      </c>
      <c r="J186" s="70">
        <f t="shared" si="1524"/>
        <v>-93.100613805233536</v>
      </c>
      <c r="K186" s="70">
        <f t="shared" si="1524"/>
        <v>-162.75374475162874</v>
      </c>
      <c r="L186" s="70">
        <f t="shared" si="1524"/>
        <v>-160.20213277777532</v>
      </c>
      <c r="M186" s="70">
        <f t="shared" si="1524"/>
        <v>-128.19238157239073</v>
      </c>
      <c r="N186" s="70">
        <f t="shared" si="1524"/>
        <v>-69.126583767944311</v>
      </c>
      <c r="O186" s="70">
        <f t="shared" si="1524"/>
        <v>-54.798511998476869</v>
      </c>
      <c r="P186" s="70">
        <f t="shared" si="1524"/>
        <v>19.94627912041571</v>
      </c>
      <c r="Q186" s="70">
        <f t="shared" si="1524"/>
        <v>-73.819382993112583</v>
      </c>
      <c r="R186" s="70">
        <f t="shared" si="1524"/>
        <v>-49.890395906634012</v>
      </c>
      <c r="S186" s="70">
        <f t="shared" si="1524"/>
        <v>-170.26274946347604</v>
      </c>
      <c r="T186" s="70">
        <f t="shared" si="1524"/>
        <v>57.510648293141458</v>
      </c>
      <c r="U186" s="70">
        <f t="shared" si="1524"/>
        <v>-608.00369291294749</v>
      </c>
      <c r="V186" s="70">
        <f t="shared" si="1524"/>
        <v>-12.100684130847213</v>
      </c>
      <c r="W186" s="70">
        <f t="shared" ref="W186" si="1525">W182-W185</f>
        <v>-17.826202230754944</v>
      </c>
      <c r="X186" s="70">
        <f t="shared" ref="X186:Y186" si="1526">X182-X185</f>
        <v>-28.010929603948824</v>
      </c>
      <c r="Y186" s="70">
        <f t="shared" si="1526"/>
        <v>-65.155708471447355</v>
      </c>
      <c r="Z186" s="70">
        <f t="shared" ref="Z186:AA186" si="1527">Z182-Z185</f>
        <v>-45.068308308614704</v>
      </c>
      <c r="AA186" s="70">
        <f t="shared" si="1527"/>
        <v>-102.4188307490757</v>
      </c>
      <c r="AB186" s="71">
        <f t="shared" ref="AA186:AD186" si="1528">AB182-AB185</f>
        <v>-27.813019960551429</v>
      </c>
      <c r="AC186" s="71">
        <f t="shared" si="1528"/>
        <v>-27.864932307687411</v>
      </c>
      <c r="AD186" s="71">
        <f t="shared" si="1528"/>
        <v>-27.870907186052733</v>
      </c>
      <c r="AE186" s="71">
        <f t="shared" ref="AE186" si="1529">AE182-AE185</f>
        <v>-27.871300937272963</v>
      </c>
      <c r="AI186" s="70">
        <f t="shared" ref="AI186:AK186" si="1530">AI182-AI185</f>
        <v>0</v>
      </c>
      <c r="AJ186" s="70">
        <f t="shared" ref="AJ186:AM186" si="1531">AJ182-AJ185</f>
        <v>-134.80753378851267</v>
      </c>
      <c r="AK186" s="70">
        <f t="shared" si="1530"/>
        <v>-132.61542286911828</v>
      </c>
      <c r="AL186" s="70">
        <f t="shared" si="1531"/>
        <v>-102.67179494707787</v>
      </c>
      <c r="AM186" s="70">
        <f t="shared" si="1531"/>
        <v>-102.19427491227123</v>
      </c>
      <c r="AN186" s="70">
        <f t="shared" ref="AN186:AY186" si="1532">AN182-AN185</f>
        <v>-116.78794316823794</v>
      </c>
      <c r="AO186" s="70">
        <f t="shared" si="1532"/>
        <v>-116.39056117011805</v>
      </c>
      <c r="AP186" s="70">
        <f t="shared" si="1532"/>
        <v>-104.14803043998018</v>
      </c>
      <c r="AQ186" s="70">
        <f t="shared" si="1532"/>
        <v>-102.75197981168671</v>
      </c>
      <c r="AR186" s="70">
        <f t="shared" si="1532"/>
        <v>-118.51229402861466</v>
      </c>
      <c r="AS186" s="70">
        <f t="shared" si="1532"/>
        <v>-115.92627480263485</v>
      </c>
      <c r="AT186" s="70">
        <f t="shared" si="1532"/>
        <v>-58.011902847032303</v>
      </c>
      <c r="AU186" s="70">
        <f t="shared" si="1532"/>
        <v>-58.020177919538611</v>
      </c>
      <c r="AV186" s="70">
        <f t="shared" si="1532"/>
        <v>-179.42984570877536</v>
      </c>
      <c r="AW186" s="70">
        <f t="shared" si="1532"/>
        <v>-180.18848216361269</v>
      </c>
      <c r="AX186" s="70">
        <f t="shared" si="1532"/>
        <v>49.766251842148336</v>
      </c>
      <c r="AY186" s="70">
        <f t="shared" si="1532"/>
        <v>49.517960895068882</v>
      </c>
      <c r="AZ186" s="70">
        <f t="shared" ref="AZ186:BC186" si="1533">AZ182-AZ185</f>
        <v>-311.76330298396493</v>
      </c>
      <c r="BA186" s="70">
        <f t="shared" si="1533"/>
        <v>-330.73825736189718</v>
      </c>
      <c r="BB186" s="70">
        <f t="shared" si="1533"/>
        <v>129.06542839421314</v>
      </c>
      <c r="BC186" s="70">
        <f t="shared" si="1533"/>
        <v>142.66594219054963</v>
      </c>
      <c r="BD186" s="70">
        <f t="shared" ref="BD186:CE186" si="1534">BD182-BD185</f>
        <v>-430.21875727703173</v>
      </c>
      <c r="BE186" s="70">
        <f t="shared" si="1534"/>
        <v>-515.35608631997468</v>
      </c>
      <c r="BF186" s="70">
        <f t="shared" si="1534"/>
        <v>-773.57041810751321</v>
      </c>
      <c r="BG186" s="70">
        <f t="shared" si="1534"/>
        <v>-872.10132430140868</v>
      </c>
      <c r="BH186" s="70">
        <f t="shared" si="1534"/>
        <v>-956.92673378076074</v>
      </c>
      <c r="BI186" s="70">
        <f t="shared" si="1534"/>
        <v>-1004.213271936781</v>
      </c>
      <c r="BJ186" s="70">
        <f t="shared" si="1534"/>
        <v>-1056.8295930011409</v>
      </c>
      <c r="BK186" s="70">
        <f t="shared" si="1534"/>
        <v>-1133.6124819429874</v>
      </c>
      <c r="BL186" s="70">
        <f t="shared" si="1534"/>
        <v>-1776.4904753097837</v>
      </c>
      <c r="BM186" s="70">
        <f t="shared" si="1534"/>
        <v>-1880.0601767044709</v>
      </c>
      <c r="BN186" s="70">
        <f t="shared" si="1534"/>
        <v>-2713.9790636588377</v>
      </c>
      <c r="BO186" s="70">
        <f t="shared" si="1534"/>
        <v>-2884.0017719315224</v>
      </c>
      <c r="BP186" s="70">
        <f t="shared" si="1534"/>
        <v>-1458.2167069274526</v>
      </c>
      <c r="BQ186" s="70">
        <f t="shared" si="1534"/>
        <v>-1351.1908232031042</v>
      </c>
      <c r="BR186" s="70">
        <f t="shared" si="1534"/>
        <v>39.560104037091463</v>
      </c>
      <c r="BS186" s="70">
        <f t="shared" si="1534"/>
        <v>38.529772911091015</v>
      </c>
      <c r="BT186" s="70">
        <f t="shared" si="1534"/>
        <v>28.610335974997213</v>
      </c>
      <c r="BU186" s="70">
        <f t="shared" si="1534"/>
        <v>23.982848188648518</v>
      </c>
      <c r="BV186" s="70">
        <f t="shared" si="1534"/>
        <v>15.869931813182774</v>
      </c>
      <c r="BW186" s="70">
        <f t="shared" si="1534"/>
        <v>17.048308504346579</v>
      </c>
      <c r="BX186" s="70">
        <f t="shared" si="1534"/>
        <v>-1.9545487286609387</v>
      </c>
      <c r="BY186" s="70">
        <f t="shared" si="1534"/>
        <v>-2.859694062606053</v>
      </c>
      <c r="BZ186" s="70">
        <f t="shared" si="1534"/>
        <v>-6.5605254703173159</v>
      </c>
      <c r="CA186" s="70">
        <f t="shared" si="1534"/>
        <v>-7.0386719571998242</v>
      </c>
      <c r="CB186" s="70">
        <f t="shared" si="1534"/>
        <v>-14.471794156613868</v>
      </c>
      <c r="CC186" s="70">
        <f t="shared" si="1534"/>
        <v>-15.207684520541363</v>
      </c>
      <c r="CD186" s="70">
        <f t="shared" si="1534"/>
        <v>-24.197469763988977</v>
      </c>
      <c r="CE186" s="115">
        <f t="shared" si="1534"/>
        <v>-24.201866570527358</v>
      </c>
      <c r="CF186" s="70">
        <f t="shared" ref="CF186:CG186" si="1535">CF182-CF185</f>
        <v>-14.795633187772893</v>
      </c>
      <c r="CG186" s="70">
        <f t="shared" si="1535"/>
        <v>-14.313486490859475</v>
      </c>
      <c r="CH186" s="70">
        <f t="shared" ref="CH186:CI186" si="1536">CH182-CH185</f>
        <v>-47.153144970318536</v>
      </c>
      <c r="CI186" s="70">
        <f t="shared" si="1536"/>
        <v>-47.153144970318536</v>
      </c>
      <c r="CJ186" s="70">
        <f t="shared" ref="CJ186:DB186" si="1537">CJ182-CJ185</f>
        <v>-28.170412050466581</v>
      </c>
      <c r="CK186" s="50">
        <f t="shared" si="1537"/>
        <v>-28.170412050466581</v>
      </c>
      <c r="CL186" s="70">
        <f t="shared" ref="CL186" si="1538">CL182-CL185</f>
        <v>-26.576097990119763</v>
      </c>
      <c r="CM186" s="50">
        <f t="shared" si="1537"/>
        <v>-26.576097990119763</v>
      </c>
      <c r="CN186" s="50">
        <f t="shared" si="1537"/>
        <v>-26.576097990119763</v>
      </c>
      <c r="CO186" s="50">
        <f t="shared" si="1537"/>
        <v>-26.576097990119763</v>
      </c>
      <c r="CP186" s="50">
        <f t="shared" si="1537"/>
        <v>-26.576097990119763</v>
      </c>
      <c r="CQ186" s="50">
        <f t="shared" si="1537"/>
        <v>-26.576097990119763</v>
      </c>
      <c r="CR186" s="50">
        <f t="shared" si="1537"/>
        <v>-26.576097990119763</v>
      </c>
      <c r="CS186" s="50">
        <f t="shared" si="1537"/>
        <v>-26.576097990119763</v>
      </c>
      <c r="CT186" s="50">
        <f t="shared" si="1537"/>
        <v>-26.576097990119763</v>
      </c>
      <c r="CU186" s="50">
        <f t="shared" si="1537"/>
        <v>-26.576097990119763</v>
      </c>
      <c r="CV186" s="50">
        <f t="shared" si="1537"/>
        <v>-26.576097990119763</v>
      </c>
      <c r="CW186" s="50">
        <f t="shared" si="1537"/>
        <v>-26.576097990119763</v>
      </c>
      <c r="CX186" s="50">
        <f t="shared" si="1537"/>
        <v>-26.576097990119763</v>
      </c>
      <c r="CY186" s="50">
        <f t="shared" si="1537"/>
        <v>-26.576097990119763</v>
      </c>
      <c r="CZ186" s="50">
        <f t="shared" si="1537"/>
        <v>-26.576097990119763</v>
      </c>
      <c r="DA186" s="50">
        <f t="shared" si="1537"/>
        <v>-26.576097990119763</v>
      </c>
      <c r="DB186" s="50">
        <f t="shared" si="1537"/>
        <v>-26.576097990119763</v>
      </c>
      <c r="DE186" s="138"/>
      <c r="DF186" s="7">
        <v>-27.4545133292537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0.81356937746807056</v>
      </c>
      <c r="D188" s="86">
        <f t="shared" si="1539"/>
        <v>0.42411881188118805</v>
      </c>
      <c r="E188" s="86">
        <f t="shared" si="1539"/>
        <v>0.66161461664673671</v>
      </c>
      <c r="F188" s="86">
        <f t="shared" si="1539"/>
        <v>0.35141422594142258</v>
      </c>
      <c r="G188" s="86">
        <f t="shared" si="1539"/>
        <v>0.35624852935712781</v>
      </c>
      <c r="H188" s="86">
        <f t="shared" si="1539"/>
        <v>0.28476071333996855</v>
      </c>
      <c r="I188" s="86">
        <f t="shared" si="1539"/>
        <v>0.21337190294105102</v>
      </c>
      <c r="J188" s="86">
        <f t="shared" si="1539"/>
        <v>0.1423040200563499</v>
      </c>
      <c r="K188" s="86">
        <f t="shared" si="1539"/>
        <v>7.5964166491464535E-2</v>
      </c>
      <c r="L188" s="86">
        <f t="shared" si="1539"/>
        <v>7.9741882598521663E-2</v>
      </c>
      <c r="M188" s="86">
        <f t="shared" si="1539"/>
        <v>9.8362898847540681E-2</v>
      </c>
      <c r="N188" s="86">
        <f t="shared" si="1539"/>
        <v>5.8711481892269823E-2</v>
      </c>
      <c r="O188" s="86">
        <f t="shared" si="1539"/>
        <v>3.6681925497430212E-2</v>
      </c>
      <c r="P188" s="86">
        <f t="shared" si="1539"/>
        <v>5.9150257397901251E-2</v>
      </c>
      <c r="Q188" s="86">
        <f t="shared" si="1539"/>
        <v>2.7434292173828867E-2</v>
      </c>
      <c r="R188" s="86">
        <f t="shared" si="1539"/>
        <v>-9.0569262707387854E-2</v>
      </c>
      <c r="S188" s="86">
        <f t="shared" si="1539"/>
        <v>-0.30870432237847356</v>
      </c>
      <c r="T188" s="86">
        <f t="shared" si="1539"/>
        <v>-0.31646070933524573</v>
      </c>
      <c r="U188" s="86">
        <f t="shared" si="1539"/>
        <v>-0.15616974632007519</v>
      </c>
      <c r="V188" s="86">
        <f t="shared" si="1539"/>
        <v>-3.1621726947130058E-2</v>
      </c>
      <c r="W188" s="86">
        <f t="shared" si="1539"/>
        <v>4.8042465937182532E-2</v>
      </c>
      <c r="X188" s="86">
        <f t="shared" si="1539"/>
        <v>1.1309197293838169E-2</v>
      </c>
      <c r="Y188" s="86">
        <f t="shared" si="1539"/>
        <v>7.7275644792391684E-2</v>
      </c>
      <c r="Z188" s="86">
        <f>Z10/Y10-1</f>
        <v>9.767129610204317E-2</v>
      </c>
      <c r="AA188" s="86">
        <f>AA10/Z10-1</f>
        <v>-0.11300113146386959</v>
      </c>
      <c r="AB188" s="87">
        <f t="shared" ref="AA188:AE188" si="1540">AB10/AA10-1</f>
        <v>-0.10065367792449409</v>
      </c>
      <c r="AC188" s="87">
        <f t="shared" si="1540"/>
        <v>-9.7547819610539599E-2</v>
      </c>
      <c r="AD188" s="87">
        <f t="shared" si="1540"/>
        <v>-9.6872389544450765E-2</v>
      </c>
      <c r="AE188" s="87">
        <f t="shared" si="1540"/>
        <v>-9.67484602262213E-2</v>
      </c>
      <c r="AN188" s="86">
        <f t="shared" ref="AN188:CI188" si="1541">+(AN10+AM10)/(AJ10+AI10)-1</f>
        <v>5.9059392886503748E-2</v>
      </c>
      <c r="AO188" s="86">
        <f t="shared" si="1541"/>
        <v>5.1071591427268581E-2</v>
      </c>
      <c r="AP188" s="86">
        <f t="shared" si="1541"/>
        <v>2.703270800020996E-2</v>
      </c>
      <c r="AQ188" s="86">
        <f t="shared" si="1541"/>
        <v>1.8130948989356854E-2</v>
      </c>
      <c r="AR188" s="86">
        <f t="shared" si="1541"/>
        <v>3.121132454065445E-2</v>
      </c>
      <c r="AS188" s="86">
        <f t="shared" si="1541"/>
        <v>5.8053604911945556E-2</v>
      </c>
      <c r="AT188" s="86">
        <f t="shared" si="1541"/>
        <v>8.5154593962429637E-2</v>
      </c>
      <c r="AU188" s="86">
        <f t="shared" si="1541"/>
        <v>7.3915695067264586E-2</v>
      </c>
      <c r="AV188" s="86">
        <f t="shared" si="1541"/>
        <v>6.3359727301778968E-2</v>
      </c>
      <c r="AW188" s="86">
        <f t="shared" si="1541"/>
        <v>3.4484675794009156E-2</v>
      </c>
      <c r="AX188" s="86">
        <f t="shared" si="1541"/>
        <v>-6.6549912434324954E-3</v>
      </c>
      <c r="AY188" s="86">
        <f t="shared" si="1541"/>
        <v>-1.9388416389959695E-2</v>
      </c>
      <c r="AZ188" s="86">
        <f t="shared" si="1541"/>
        <v>-3.315813726734218E-2</v>
      </c>
      <c r="BA188" s="86">
        <f t="shared" si="1541"/>
        <v>-8.8604788649128019E-2</v>
      </c>
      <c r="BB188" s="86">
        <f t="shared" si="1541"/>
        <v>-0.15892508408375838</v>
      </c>
      <c r="BC188" s="86">
        <f t="shared" si="1541"/>
        <v>-0.21674672117186178</v>
      </c>
      <c r="BD188" s="86">
        <f t="shared" si="1541"/>
        <v>-0.26200508385599408</v>
      </c>
      <c r="BE188" s="86">
        <f t="shared" si="1541"/>
        <v>-0.31175044042959388</v>
      </c>
      <c r="BF188" s="86">
        <f t="shared" si="1541"/>
        <v>-0.35494013786431244</v>
      </c>
      <c r="BG188" s="86">
        <f t="shared" si="1541"/>
        <v>-0.37703762982550748</v>
      </c>
      <c r="BH188" s="86">
        <f t="shared" si="1541"/>
        <v>-0.38573206914948388</v>
      </c>
      <c r="BI188" s="86">
        <f t="shared" si="1541"/>
        <v>-0.32818892577915826</v>
      </c>
      <c r="BJ188" s="86">
        <f t="shared" si="1541"/>
        <v>-0.22395950506186724</v>
      </c>
      <c r="BK188" s="86">
        <f t="shared" si="1541"/>
        <v>-0.14974098328609131</v>
      </c>
      <c r="BL188" s="86">
        <f t="shared" si="1541"/>
        <v>-0.1409285529262978</v>
      </c>
      <c r="BM188" s="86">
        <f t="shared" si="1541"/>
        <v>-0.16238621327339087</v>
      </c>
      <c r="BN188" s="86">
        <f t="shared" si="1541"/>
        <v>-0.17227939636984424</v>
      </c>
      <c r="BO188" s="86">
        <f t="shared" si="1541"/>
        <v>-0.1753075066099552</v>
      </c>
      <c r="BP188" s="86">
        <f t="shared" si="1541"/>
        <v>-0.11323164242639217</v>
      </c>
      <c r="BQ188" s="86">
        <f t="shared" si="1541"/>
        <v>1.838564168934731E-2</v>
      </c>
      <c r="BR188" s="86">
        <f t="shared" si="1541"/>
        <v>5.7905592092462044E-2</v>
      </c>
      <c r="BS188" s="86">
        <f t="shared" si="1541"/>
        <v>6.2009637978414078E-2</v>
      </c>
      <c r="BT188" s="86">
        <f t="shared" si="1541"/>
        <v>7.3685894871589497E-2</v>
      </c>
      <c r="BU188" s="86">
        <f t="shared" si="1541"/>
        <v>3.3490945109985626E-2</v>
      </c>
      <c r="BV188" s="86">
        <f t="shared" si="1541"/>
        <v>2.4462019496045428E-2</v>
      </c>
      <c r="BW188" s="86">
        <f t="shared" si="1541"/>
        <v>1.1137778444461288E-2</v>
      </c>
      <c r="BX188" s="86">
        <f t="shared" si="1541"/>
        <v>1.367362146050688E-2</v>
      </c>
      <c r="BY188" s="86">
        <f t="shared" si="1541"/>
        <v>1.1880865838441723E-2</v>
      </c>
      <c r="BZ188" s="86">
        <f t="shared" si="1541"/>
        <v>9.0305206463194843E-3</v>
      </c>
      <c r="CA188" s="86">
        <f t="shared" si="1541"/>
        <v>4.8918888847680142E-2</v>
      </c>
      <c r="CB188" s="86">
        <f t="shared" si="1541"/>
        <v>5.1806520380784038E-2</v>
      </c>
      <c r="CC188" s="86">
        <f t="shared" si="1541"/>
        <v>4.1621988705411228E-2</v>
      </c>
      <c r="CD188" s="86">
        <f t="shared" si="1541"/>
        <v>0.10193406045940612</v>
      </c>
      <c r="CE188" s="86">
        <f t="shared" si="1541"/>
        <v>0.14346580864153879</v>
      </c>
      <c r="CF188" s="86">
        <f t="shared" si="1541"/>
        <v>0.16541156325895923</v>
      </c>
      <c r="CG188" s="86">
        <f t="shared" si="1541"/>
        <v>0.160281375997255</v>
      </c>
      <c r="CH188" s="86">
        <f t="shared" si="1541"/>
        <v>3.5070722728153481E-2</v>
      </c>
      <c r="CI188" s="86">
        <f t="shared" si="1541"/>
        <v>-8.3906677592417878E-2</v>
      </c>
      <c r="CJ188" s="86">
        <f>+(CJ10+CI10)/(CF10+CE10)-1</f>
        <v>-0.1448575712143928</v>
      </c>
      <c r="CK188" s="87"/>
      <c r="CL188" s="86">
        <f>+(CL10+CK10)/(CH10+CG10)-1</f>
        <v>-7.9854611256707786E-2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-0.11300113146386959</v>
      </c>
    </row>
    <row r="189" spans="1:110" s="86" customFormat="1" x14ac:dyDescent="0.2">
      <c r="A189" s="86" t="s">
        <v>441</v>
      </c>
      <c r="C189" s="86">
        <f t="shared" ref="C189" si="1542">C186/B186-1</f>
        <v>3.3941806945969599E-3</v>
      </c>
      <c r="D189" s="86">
        <f t="shared" ref="D189" si="1543">D186/C186-1</f>
        <v>-0.43339860899497373</v>
      </c>
      <c r="E189" s="86">
        <f>E186/D186-1</f>
        <v>-0.6898085664953566</v>
      </c>
      <c r="F189" s="86">
        <f t="shared" ref="F189" si="1544">F186/E186-1</f>
        <v>0.40975587822582749</v>
      </c>
      <c r="G189" s="86">
        <f t="shared" ref="G189" si="1545">G186/F186-1</f>
        <v>-0.14787002568847285</v>
      </c>
      <c r="H189" s="86">
        <f t="shared" ref="H189" si="1546">H186/G186-1</f>
        <v>-0.26190279088968094</v>
      </c>
      <c r="I189" s="86">
        <f t="shared" ref="I189" si="1547">I186/H186-1</f>
        <v>-0.39214886729265486</v>
      </c>
      <c r="J189" s="86">
        <f t="shared" ref="J189" si="1548">J186/I186-1</f>
        <v>-0.26729610517754043</v>
      </c>
      <c r="K189" s="86">
        <f>K186/J186-1</f>
        <v>0.74814899815923397</v>
      </c>
      <c r="L189" s="86">
        <f t="shared" ref="L189" si="1549">L186/K186-1</f>
        <v>-1.5677746633402045E-2</v>
      </c>
      <c r="M189" s="86">
        <f t="shared" ref="M189" si="1550">M186/L186-1</f>
        <v>-0.19980852096262025</v>
      </c>
      <c r="N189" s="86">
        <f t="shared" ref="N189" si="1551">N186/M186-1</f>
        <v>-0.46075903325886602</v>
      </c>
      <c r="O189" s="86">
        <f t="shared" ref="O189" si="1552">O186/N186-1</f>
        <v>-0.207272961984731</v>
      </c>
      <c r="P189" s="86">
        <f t="shared" ref="P189" si="1553">P186/O186-1</f>
        <v>-1.3639930792458401</v>
      </c>
      <c r="Q189" s="86">
        <f t="shared" ref="Q189" si="1554">Q186/P186-1</f>
        <v>-4.700909956562068</v>
      </c>
      <c r="R189" s="86">
        <f t="shared" ref="R189" si="1555">R186/Q186-1</f>
        <v>-0.32415588042386057</v>
      </c>
      <c r="S189" s="86">
        <f t="shared" ref="S189" si="1556">S186/R186-1</f>
        <v>2.4127359859422546</v>
      </c>
      <c r="T189" s="86">
        <f t="shared" ref="T189" si="1557">T186/S186-1</f>
        <v>-1.3377758697916384</v>
      </c>
      <c r="U189" s="86">
        <f t="shared" ref="U189" si="1558">U186/T186-1</f>
        <v>-11.572019460011132</v>
      </c>
      <c r="V189" s="86">
        <f t="shared" ref="V189" si="1559">V186/U186-1</f>
        <v>-0.98009767987942176</v>
      </c>
      <c r="W189" s="86">
        <f t="shared" ref="W189:AA189" si="1560">W186/V186-1</f>
        <v>0.47315656189323785</v>
      </c>
      <c r="X189" s="86">
        <f t="shared" si="1560"/>
        <v>0.57133467024302642</v>
      </c>
      <c r="Y189" s="86">
        <f t="shared" si="1560"/>
        <v>1.326081618592982</v>
      </c>
      <c r="Z189" s="86">
        <f t="shared" si="1560"/>
        <v>-0.30829839217595778</v>
      </c>
      <c r="AA189" s="86">
        <f t="shared" si="1560"/>
        <v>1.2725244100076099</v>
      </c>
      <c r="AB189" s="87">
        <f t="shared" ref="AB189" si="1561">AB186/AA186-1</f>
        <v>-0.72843841550297683</v>
      </c>
      <c r="AC189" s="87">
        <f t="shared" ref="AC189" si="1562">AC186/AB186-1</f>
        <v>1.8664764635272224E-3</v>
      </c>
      <c r="AD189" s="87">
        <f t="shared" ref="AD189" si="1563">AD186/AC186-1</f>
        <v>2.1442285591599664E-4</v>
      </c>
      <c r="AE189" s="87">
        <f t="shared" ref="AE189" si="1564">AE186/AD186-1</f>
        <v>1.4127678643616193E-5</v>
      </c>
      <c r="AN189" s="86">
        <f t="shared" ref="AN189:CI189" si="1565">+AN186/AJ186-1</f>
        <v>-0.13366901770151829</v>
      </c>
      <c r="AO189" s="86">
        <f t="shared" si="1565"/>
        <v>-0.12234520953881045</v>
      </c>
      <c r="AP189" s="86">
        <f t="shared" si="1565"/>
        <v>1.4378198936360498E-2</v>
      </c>
      <c r="AQ189" s="86">
        <f t="shared" si="1565"/>
        <v>5.4573008115597066E-3</v>
      </c>
      <c r="AR189" s="86">
        <f t="shared" si="1565"/>
        <v>1.4764802030058144E-2</v>
      </c>
      <c r="AS189" s="86">
        <f t="shared" si="1565"/>
        <v>-3.9890379667866238E-3</v>
      </c>
      <c r="AT189" s="86">
        <f t="shared" si="1565"/>
        <v>-0.44298607854649563</v>
      </c>
      <c r="AU189" s="86">
        <f t="shared" si="1565"/>
        <v>-0.43533761562675444</v>
      </c>
      <c r="AV189" s="86">
        <f t="shared" si="1565"/>
        <v>0.51401883812536964</v>
      </c>
      <c r="AW189" s="86">
        <f t="shared" si="1565"/>
        <v>0.5543368616854516</v>
      </c>
      <c r="AX189" s="86">
        <f t="shared" si="1565"/>
        <v>-1.8578627729790838</v>
      </c>
      <c r="AY189" s="86">
        <f t="shared" si="1565"/>
        <v>-1.8534610315007916</v>
      </c>
      <c r="AZ189" s="86">
        <f t="shared" si="1565"/>
        <v>0.73752199224411163</v>
      </c>
      <c r="BA189" s="86">
        <f t="shared" si="1565"/>
        <v>0.83551275525804147</v>
      </c>
      <c r="BB189" s="86">
        <f t="shared" si="1565"/>
        <v>1.593432770536765</v>
      </c>
      <c r="BC189" s="86">
        <f t="shared" si="1565"/>
        <v>1.88109485147957</v>
      </c>
      <c r="BD189" s="86">
        <f t="shared" si="1565"/>
        <v>0.37995316690354475</v>
      </c>
      <c r="BE189" s="86">
        <f t="shared" si="1565"/>
        <v>0.55819919482754843</v>
      </c>
      <c r="BF189" s="86">
        <f t="shared" si="1565"/>
        <v>-6.99362995754948</v>
      </c>
      <c r="BG189" s="86">
        <f t="shared" si="1565"/>
        <v>-7.1128907916691118</v>
      </c>
      <c r="BH189" s="86">
        <f t="shared" si="1565"/>
        <v>1.2242794336476703</v>
      </c>
      <c r="BI189" s="86">
        <f t="shared" si="1565"/>
        <v>0.94858137624338501</v>
      </c>
      <c r="BJ189" s="86">
        <f t="shared" si="1565"/>
        <v>0.36617115683741086</v>
      </c>
      <c r="BK189" s="86">
        <f t="shared" si="1565"/>
        <v>0.29986327317076444</v>
      </c>
      <c r="BL189" s="86">
        <f t="shared" si="1565"/>
        <v>0.85645401324610848</v>
      </c>
      <c r="BM189" s="86">
        <f t="shared" si="1565"/>
        <v>0.87217220608774015</v>
      </c>
      <c r="BN189" s="86">
        <f t="shared" si="1565"/>
        <v>1.5680384819200532</v>
      </c>
      <c r="BO189" s="86">
        <f t="shared" si="1565"/>
        <v>1.5440808193893609</v>
      </c>
      <c r="BP189" s="86">
        <f t="shared" si="1565"/>
        <v>-0.17915872491623164</v>
      </c>
      <c r="BQ189" s="86">
        <f t="shared" si="1565"/>
        <v>-0.28130448166207844</v>
      </c>
      <c r="BR189" s="86">
        <f t="shared" si="1565"/>
        <v>-1.0145764219653775</v>
      </c>
      <c r="BS189" s="86">
        <f t="shared" si="1565"/>
        <v>-1.0133598298330053</v>
      </c>
      <c r="BT189" s="86">
        <f t="shared" si="1565"/>
        <v>-1.0196200851622945</v>
      </c>
      <c r="BU189" s="86">
        <f t="shared" si="1565"/>
        <v>-1.0177494161274685</v>
      </c>
      <c r="BV189" s="86">
        <f t="shared" si="1565"/>
        <v>-0.59883998792563431</v>
      </c>
      <c r="BW189" s="86">
        <f t="shared" si="1565"/>
        <v>-0.55752896484268855</v>
      </c>
      <c r="BX189" s="86">
        <f t="shared" si="1565"/>
        <v>-1.0683161753280015</v>
      </c>
      <c r="BY189" s="86">
        <f t="shared" si="1565"/>
        <v>-1.1192391345728316</v>
      </c>
      <c r="BZ189" s="86">
        <f t="shared" si="1565"/>
        <v>-1.4133934252236449</v>
      </c>
      <c r="CA189" s="86">
        <f t="shared" si="1565"/>
        <v>-1.4128662943543793</v>
      </c>
      <c r="CB189" s="86">
        <f t="shared" si="1565"/>
        <v>6.4041613516223226</v>
      </c>
      <c r="CC189" s="86">
        <f t="shared" si="1565"/>
        <v>4.3179410760752939</v>
      </c>
      <c r="CD189" s="86">
        <f t="shared" si="1565"/>
        <v>2.6883432391915716</v>
      </c>
      <c r="CE189" s="86">
        <f t="shared" si="1565"/>
        <v>2.4384137686330707</v>
      </c>
      <c r="CF189" s="86">
        <f t="shared" si="1565"/>
        <v>2.2377255207919333E-2</v>
      </c>
      <c r="CG189" s="86">
        <f t="shared" si="1565"/>
        <v>-5.8799091240620771E-2</v>
      </c>
      <c r="CH189" s="86">
        <f t="shared" si="1565"/>
        <v>0.94868080961475254</v>
      </c>
      <c r="CI189" s="86">
        <f t="shared" si="1565"/>
        <v>0.94832678846931895</v>
      </c>
      <c r="CJ189" s="86">
        <f>+CJ186/CF186-1</f>
        <v>0.90396799467471256</v>
      </c>
      <c r="CK189" s="87"/>
      <c r="CL189" s="86">
        <f>+CL186/CH186-1</f>
        <v>-0.43638758333407868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-0.3908244094441452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66">IF(E189&gt;E188,"RF",0)</f>
        <v>0</v>
      </c>
      <c r="F190" s="103" t="str">
        <f t="shared" si="1566"/>
        <v>RF</v>
      </c>
      <c r="G190" s="103">
        <f t="shared" si="1566"/>
        <v>0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 t="str">
        <f t="shared" si="1566"/>
        <v>RF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 t="str">
        <f t="shared" si="1566"/>
        <v>RF</v>
      </c>
      <c r="T190" s="103">
        <f t="shared" si="1566"/>
        <v>0</v>
      </c>
      <c r="U190" s="103">
        <f t="shared" si="1566"/>
        <v>0</v>
      </c>
      <c r="V190" s="103">
        <f>IF(V189&gt;V188,"RF",0)</f>
        <v>0</v>
      </c>
      <c r="W190" s="103" t="str">
        <f t="shared" ref="W190" si="1567">IF(W189&gt;W188,"RF",0)</f>
        <v>RF</v>
      </c>
      <c r="X190" s="103" t="str">
        <f t="shared" ref="X190:Y190" si="1568">IF(X189&gt;X188,"RF",0)</f>
        <v>RF</v>
      </c>
      <c r="Y190" s="103" t="str">
        <f t="shared" si="1568"/>
        <v>RF</v>
      </c>
      <c r="Z190" s="103">
        <f t="shared" ref="Z190:AA190" si="1569">IF(Z189&gt;Z188,"RF",0)</f>
        <v>0</v>
      </c>
      <c r="AA190" s="103" t="str">
        <f t="shared" si="1569"/>
        <v>RF</v>
      </c>
      <c r="AB190" s="73">
        <f t="shared" ref="AA190:AD190" si="1570">IF(AB189&gt;AB188,"RF",0)</f>
        <v>0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-148.49</v>
      </c>
      <c r="D193" s="23">
        <f t="shared" si="1572"/>
        <v>-205</v>
      </c>
      <c r="E193" s="23">
        <f t="shared" si="1572"/>
        <v>-269.67999999999995</v>
      </c>
      <c r="F193" s="23">
        <f t="shared" si="1572"/>
        <v>-527.8599999999999</v>
      </c>
      <c r="G193" s="23">
        <f t="shared" si="1572"/>
        <v>-541.05999999999995</v>
      </c>
      <c r="H193" s="23">
        <f t="shared" si="1572"/>
        <v>-310.60999999999967</v>
      </c>
      <c r="I193" s="23">
        <f t="shared" si="1572"/>
        <v>-125.73999999999994</v>
      </c>
      <c r="J193" s="23">
        <f t="shared" si="1572"/>
        <v>-169.94000000000025</v>
      </c>
      <c r="K193" s="23">
        <f t="shared" si="1572"/>
        <v>-318.00000000000023</v>
      </c>
      <c r="L193" s="23">
        <f t="shared" si="1572"/>
        <v>80.230000000000231</v>
      </c>
      <c r="M193" s="23">
        <f t="shared" si="1572"/>
        <v>-517.54999999999961</v>
      </c>
      <c r="N193" s="23">
        <f t="shared" si="1572"/>
        <v>-658.76999999999964</v>
      </c>
      <c r="O193" s="23">
        <f t="shared" si="1572"/>
        <v>-560.07999999999981</v>
      </c>
      <c r="P193" s="23">
        <f t="shared" si="1572"/>
        <v>-615.25000000000011</v>
      </c>
      <c r="Q193" s="23">
        <f t="shared" si="1572"/>
        <v>-358.33999999999941</v>
      </c>
      <c r="R193" s="23">
        <f t="shared" si="1572"/>
        <v>-2356.4699999999998</v>
      </c>
      <c r="S193" s="23">
        <f t="shared" si="1572"/>
        <v>-9841.99</v>
      </c>
      <c r="T193" s="23">
        <f t="shared" si="1572"/>
        <v>-667.59999999999991</v>
      </c>
      <c r="U193" s="23">
        <f t="shared" si="1572"/>
        <v>-3714.11</v>
      </c>
      <c r="V193" s="23">
        <f t="shared" si="1572"/>
        <v>-1996.69</v>
      </c>
      <c r="W193" s="23">
        <f t="shared" si="1572"/>
        <v>-1215</v>
      </c>
      <c r="X193" s="23">
        <f t="shared" si="1572"/>
        <v>-1144.7199999999998</v>
      </c>
      <c r="Y193" s="23">
        <f t="shared" si="1572"/>
        <v>-1228.4399999999998</v>
      </c>
      <c r="Z193" s="23">
        <f t="shared" si="1572"/>
        <v>-1275.3200000000002</v>
      </c>
      <c r="AA193" s="23">
        <f t="shared" ref="AA193" si="1573">AA48</f>
        <v>-215.30000000000007</v>
      </c>
      <c r="AB193" s="24">
        <f t="shared" si="1572"/>
        <v>-417.25507898083288</v>
      </c>
      <c r="AC193" s="24">
        <f t="shared" si="1572"/>
        <v>-461.41080053891415</v>
      </c>
      <c r="AD193" s="24">
        <f t="shared" si="1572"/>
        <v>-508.16012147649224</v>
      </c>
      <c r="AE193" s="24">
        <f t="shared" si="1572"/>
        <v>-556.24450856519115</v>
      </c>
      <c r="AI193" s="23">
        <f t="shared" ref="AI193:BN193" si="1574">AI48</f>
        <v>-162.66000000000008</v>
      </c>
      <c r="AJ193" s="23">
        <f t="shared" si="1574"/>
        <v>-183.71000000000006</v>
      </c>
      <c r="AK193" s="23">
        <f t="shared" si="1574"/>
        <v>-197.15999999999983</v>
      </c>
      <c r="AL193" s="23">
        <f t="shared" si="1574"/>
        <v>-115.23000000000006</v>
      </c>
      <c r="AM193" s="23">
        <f t="shared" si="1574"/>
        <v>-126.89000000000009</v>
      </c>
      <c r="AN193" s="23">
        <f t="shared" si="1574"/>
        <v>-165.23000000000013</v>
      </c>
      <c r="AO193" s="23">
        <f t="shared" si="1574"/>
        <v>-156.3600000000001</v>
      </c>
      <c r="AP193" s="23">
        <f t="shared" si="1574"/>
        <v>-111.61000000000001</v>
      </c>
      <c r="AQ193" s="23">
        <f t="shared" si="1574"/>
        <v>-122.91000000000004</v>
      </c>
      <c r="AR193" s="23">
        <f t="shared" si="1574"/>
        <v>-159.38000000000017</v>
      </c>
      <c r="AS193" s="23">
        <f t="shared" si="1574"/>
        <v>-169.07</v>
      </c>
      <c r="AT193" s="23">
        <f t="shared" si="1574"/>
        <v>-163.88</v>
      </c>
      <c r="AU193" s="23">
        <f t="shared" si="1574"/>
        <v>-83.53</v>
      </c>
      <c r="AV193" s="23">
        <f t="shared" si="1574"/>
        <v>-175.7</v>
      </c>
      <c r="AW193" s="23">
        <f t="shared" si="1574"/>
        <v>-77.139999999999986</v>
      </c>
      <c r="AX193" s="23">
        <f t="shared" si="1574"/>
        <v>-21.979999999999961</v>
      </c>
      <c r="AY193" s="23">
        <f t="shared" si="1574"/>
        <v>-108.07000000000005</v>
      </c>
      <c r="AZ193" s="23">
        <f t="shared" si="1574"/>
        <v>-468.13000000000005</v>
      </c>
      <c r="BA193" s="23">
        <f t="shared" si="1574"/>
        <v>-414.74</v>
      </c>
      <c r="BB193" s="23">
        <f t="shared" si="1574"/>
        <v>-1365.5700000000002</v>
      </c>
      <c r="BC193" s="23">
        <f t="shared" si="1574"/>
        <v>-481.42999999999995</v>
      </c>
      <c r="BD193" s="23">
        <f t="shared" si="1574"/>
        <v>-8198.31</v>
      </c>
      <c r="BE193" s="23">
        <f t="shared" si="1574"/>
        <v>-480.75</v>
      </c>
      <c r="BF193" s="23">
        <f t="shared" si="1574"/>
        <v>-681.5</v>
      </c>
      <c r="BG193" s="23">
        <f t="shared" si="1574"/>
        <v>-455.43</v>
      </c>
      <c r="BH193" s="23">
        <f t="shared" si="1574"/>
        <v>-382.3</v>
      </c>
      <c r="BI193" s="23">
        <f t="shared" si="1574"/>
        <v>-409.42</v>
      </c>
      <c r="BJ193" s="23">
        <f t="shared" si="1574"/>
        <v>579.54999999999995</v>
      </c>
      <c r="BK193" s="23">
        <f t="shared" si="1574"/>
        <v>-228.85000000000005</v>
      </c>
      <c r="BL193" s="23">
        <f t="shared" si="1574"/>
        <v>-2334.4499999999998</v>
      </c>
      <c r="BM193" s="23">
        <f t="shared" si="1574"/>
        <v>-276.84999999999997</v>
      </c>
      <c r="BN193" s="23">
        <f t="shared" si="1574"/>
        <v>-873.96</v>
      </c>
      <c r="BO193" s="23">
        <f t="shared" ref="BO193:CT193" si="1575">BO48</f>
        <v>-1069.26</v>
      </c>
      <c r="BP193" s="23">
        <f t="shared" si="1575"/>
        <v>-341.19</v>
      </c>
      <c r="BQ193" s="23">
        <f t="shared" si="1575"/>
        <v>-297.95</v>
      </c>
      <c r="BR193" s="23">
        <f t="shared" si="1575"/>
        <v>-288.28999999999996</v>
      </c>
      <c r="BS193" s="23">
        <f t="shared" si="1575"/>
        <v>-318.45000000000005</v>
      </c>
      <c r="BT193" s="23">
        <f t="shared" si="1575"/>
        <v>-313.63000000000005</v>
      </c>
      <c r="BU193" s="23">
        <f t="shared" si="1575"/>
        <v>-302.29999999999995</v>
      </c>
      <c r="BV193" s="23">
        <f t="shared" si="1575"/>
        <v>-280.62</v>
      </c>
      <c r="BW193" s="23">
        <f t="shared" si="1575"/>
        <v>-295.09999999999997</v>
      </c>
      <c r="BX193" s="23">
        <f t="shared" si="1575"/>
        <v>-292.75999999999993</v>
      </c>
      <c r="BY193" s="23">
        <f t="shared" si="1575"/>
        <v>-279.79000000000002</v>
      </c>
      <c r="BZ193" s="23">
        <f t="shared" si="1575"/>
        <v>-277.07</v>
      </c>
      <c r="CA193" s="23">
        <f t="shared" si="1575"/>
        <v>-301.18</v>
      </c>
      <c r="CB193" s="23">
        <f t="shared" si="1575"/>
        <v>-310.23</v>
      </c>
      <c r="CC193" s="23">
        <f t="shared" si="1575"/>
        <v>-307.69000000000005</v>
      </c>
      <c r="CD193" s="23">
        <f t="shared" si="1575"/>
        <v>-309.33999999999997</v>
      </c>
      <c r="CE193" s="23">
        <f t="shared" si="1575"/>
        <v>-323.39999999999998</v>
      </c>
      <c r="CF193" s="23">
        <f t="shared" si="1575"/>
        <v>-330.39</v>
      </c>
      <c r="CG193" s="23">
        <f t="shared" si="1575"/>
        <v>-315.11</v>
      </c>
      <c r="CH193" s="23">
        <f t="shared" si="1575"/>
        <v>-306.42</v>
      </c>
      <c r="CI193" s="23">
        <f t="shared" si="1575"/>
        <v>-324.98</v>
      </c>
      <c r="CJ193" s="23">
        <f t="shared" si="1575"/>
        <v>-320.82000000000005</v>
      </c>
      <c r="CK193" s="24">
        <f t="shared" si="1575"/>
        <v>-150.43</v>
      </c>
      <c r="CL193" s="23">
        <f t="shared" ref="CL193" si="1576">CL48</f>
        <v>580.92999999999995</v>
      </c>
      <c r="CM193" s="24">
        <f t="shared" si="1575"/>
        <v>-112.10702453637383</v>
      </c>
      <c r="CN193" s="24">
        <f t="shared" si="1575"/>
        <v>-108.70868528656392</v>
      </c>
      <c r="CO193" s="24">
        <f t="shared" si="1575"/>
        <v>-98.03982462495037</v>
      </c>
      <c r="CP193" s="24">
        <f t="shared" si="1575"/>
        <v>-98.39954453294466</v>
      </c>
      <c r="CQ193" s="24">
        <f t="shared" si="1575"/>
        <v>-120.69706715282969</v>
      </c>
      <c r="CR193" s="24">
        <f t="shared" si="1575"/>
        <v>-118.42635630597624</v>
      </c>
      <c r="CS193" s="24">
        <f t="shared" si="1575"/>
        <v>-111.73532756369876</v>
      </c>
      <c r="CT193" s="24">
        <f t="shared" si="1575"/>
        <v>-110.55204951640948</v>
      </c>
      <c r="CU193" s="24">
        <f t="shared" ref="CU193:DB193" si="1577">CU48</f>
        <v>-131.09612934617886</v>
      </c>
      <c r="CV193" s="24">
        <f t="shared" si="1577"/>
        <v>-129.66028538679177</v>
      </c>
      <c r="CW193" s="24">
        <f t="shared" si="1577"/>
        <v>-124.20851463072617</v>
      </c>
      <c r="CX193" s="24">
        <f t="shared" si="1577"/>
        <v>-123.19519211279524</v>
      </c>
      <c r="CY193" s="24">
        <f t="shared" si="1577"/>
        <v>-142.1617790711116</v>
      </c>
      <c r="CZ193" s="24">
        <f t="shared" si="1577"/>
        <v>-141.27123711193303</v>
      </c>
      <c r="DA193" s="24">
        <f t="shared" si="1577"/>
        <v>-136.70875648061121</v>
      </c>
      <c r="DB193" s="24">
        <f t="shared" si="1577"/>
        <v>-136.10273590153531</v>
      </c>
      <c r="DE193" s="123"/>
      <c r="DF193" s="23">
        <v>-215.30000000000007</v>
      </c>
    </row>
    <row r="194" spans="1:110" s="23" customFormat="1" x14ac:dyDescent="0.2">
      <c r="A194" s="23" t="s">
        <v>88</v>
      </c>
      <c r="C194" s="23">
        <f t="shared" ref="C194:AE194" si="1578">C32</f>
        <v>113.71</v>
      </c>
      <c r="D194" s="23">
        <f t="shared" si="1578"/>
        <v>217.3</v>
      </c>
      <c r="E194" s="23">
        <f t="shared" si="1578"/>
        <v>202.53</v>
      </c>
      <c r="F194" s="23">
        <f t="shared" si="1578"/>
        <v>317.01</v>
      </c>
      <c r="G194" s="23">
        <f t="shared" si="1578"/>
        <v>471.9</v>
      </c>
      <c r="H194" s="23">
        <f t="shared" si="1578"/>
        <v>446.23</v>
      </c>
      <c r="I194" s="23">
        <f t="shared" si="1578"/>
        <v>439.35</v>
      </c>
      <c r="J194" s="23">
        <f t="shared" si="1578"/>
        <v>463.13</v>
      </c>
      <c r="K194" s="23">
        <f t="shared" si="1578"/>
        <v>563.98</v>
      </c>
      <c r="L194" s="23">
        <f t="shared" si="1578"/>
        <v>757.64</v>
      </c>
      <c r="M194" s="23">
        <f t="shared" si="1578"/>
        <v>543.4</v>
      </c>
      <c r="N194" s="23">
        <f t="shared" si="1578"/>
        <v>595.04999999999995</v>
      </c>
      <c r="O194" s="23">
        <f t="shared" si="1578"/>
        <v>609.33000000000004</v>
      </c>
      <c r="P194" s="23">
        <f t="shared" si="1578"/>
        <v>610.92999999999995</v>
      </c>
      <c r="Q194" s="23">
        <f t="shared" si="1578"/>
        <v>459.66</v>
      </c>
      <c r="R194" s="23">
        <f t="shared" si="1578"/>
        <v>795.82</v>
      </c>
      <c r="S194" s="23">
        <f t="shared" si="1578"/>
        <v>532.91</v>
      </c>
      <c r="T194" s="23">
        <f t="shared" si="1578"/>
        <v>177.58</v>
      </c>
      <c r="U194" s="23">
        <f t="shared" si="1578"/>
        <v>194.98</v>
      </c>
      <c r="V194" s="23">
        <f t="shared" si="1578"/>
        <v>168.73</v>
      </c>
      <c r="W194" s="23">
        <f t="shared" si="1578"/>
        <v>160.21</v>
      </c>
      <c r="X194" s="23">
        <f t="shared" si="1578"/>
        <v>147.16</v>
      </c>
      <c r="Y194" s="23">
        <f t="shared" si="1578"/>
        <v>150.44</v>
      </c>
      <c r="Z194" s="23">
        <f t="shared" si="1578"/>
        <v>167.93</v>
      </c>
      <c r="AA194" s="23">
        <f t="shared" ref="AA194" si="1579">AA32</f>
        <v>141.83000000000001</v>
      </c>
      <c r="AB194" s="24">
        <f t="shared" si="1578"/>
        <v>125.72797603954611</v>
      </c>
      <c r="AC194" s="24">
        <f t="shared" si="1578"/>
        <v>103.16449441146551</v>
      </c>
      <c r="AD194" s="24">
        <f t="shared" si="1578"/>
        <v>84.650316042832884</v>
      </c>
      <c r="AE194" s="24">
        <f t="shared" si="1578"/>
        <v>69.458742051035628</v>
      </c>
      <c r="AI194" s="23">
        <f t="shared" ref="AI194:BN194" si="1580">AI32</f>
        <v>146.31</v>
      </c>
      <c r="AJ194" s="23">
        <f t="shared" si="1580"/>
        <v>148.03</v>
      </c>
      <c r="AK194" s="23">
        <f t="shared" si="1580"/>
        <v>149.19999999999999</v>
      </c>
      <c r="AL194" s="23">
        <f t="shared" si="1580"/>
        <v>151.51</v>
      </c>
      <c r="AM194" s="23">
        <f t="shared" si="1580"/>
        <v>151.33000000000001</v>
      </c>
      <c r="AN194" s="23">
        <f t="shared" si="1580"/>
        <v>155.36000000000001</v>
      </c>
      <c r="AO194" s="23">
        <f t="shared" si="1580"/>
        <v>154.07</v>
      </c>
      <c r="AP194" s="23">
        <f t="shared" si="1580"/>
        <v>148.58000000000001</v>
      </c>
      <c r="AQ194" s="23">
        <f t="shared" si="1580"/>
        <v>148.32</v>
      </c>
      <c r="AR194" s="23">
        <f t="shared" si="1580"/>
        <v>151.02000000000001</v>
      </c>
      <c r="AS194" s="23">
        <f t="shared" si="1580"/>
        <v>152.68</v>
      </c>
      <c r="AT194" s="23">
        <f t="shared" si="1580"/>
        <v>158.91</v>
      </c>
      <c r="AU194" s="23">
        <f t="shared" si="1580"/>
        <v>155.81</v>
      </c>
      <c r="AV194" s="23">
        <f t="shared" si="1580"/>
        <v>160.1</v>
      </c>
      <c r="AW194" s="23">
        <f t="shared" si="1580"/>
        <v>160.30000000000001</v>
      </c>
      <c r="AX194" s="23">
        <f t="shared" si="1580"/>
        <v>-16.559999999999999</v>
      </c>
      <c r="AY194" s="23">
        <f t="shared" si="1580"/>
        <v>154.75</v>
      </c>
      <c r="AZ194" s="23">
        <f t="shared" si="1580"/>
        <v>269.54000000000002</v>
      </c>
      <c r="BA194" s="23">
        <f t="shared" si="1580"/>
        <v>233.79</v>
      </c>
      <c r="BB194" s="23">
        <f t="shared" si="1580"/>
        <v>137.75</v>
      </c>
      <c r="BC194" s="23">
        <f t="shared" si="1580"/>
        <v>217.55</v>
      </c>
      <c r="BD194" s="23">
        <f t="shared" si="1580"/>
        <v>215.36</v>
      </c>
      <c r="BE194" s="23">
        <f t="shared" si="1580"/>
        <v>58.31</v>
      </c>
      <c r="BF194" s="23">
        <f t="shared" si="1580"/>
        <v>41.69</v>
      </c>
      <c r="BG194" s="23">
        <f t="shared" si="1580"/>
        <v>38.659999999999997</v>
      </c>
      <c r="BH194" s="23">
        <f t="shared" si="1580"/>
        <v>42.93</v>
      </c>
      <c r="BI194" s="23">
        <f t="shared" si="1580"/>
        <v>40.71</v>
      </c>
      <c r="BJ194" s="23">
        <f t="shared" si="1580"/>
        <v>55.28</v>
      </c>
      <c r="BK194" s="23">
        <f t="shared" si="1580"/>
        <v>47.65</v>
      </c>
      <c r="BL194" s="23">
        <f t="shared" si="1580"/>
        <v>54.6</v>
      </c>
      <c r="BM194" s="23">
        <f t="shared" si="1580"/>
        <v>52.25</v>
      </c>
      <c r="BN194" s="23">
        <f t="shared" si="1580"/>
        <v>40.479999999999997</v>
      </c>
      <c r="BO194" s="23">
        <f t="shared" ref="BO194:CT194" si="1581">BO32</f>
        <v>42.46</v>
      </c>
      <c r="BP194" s="23">
        <f t="shared" si="1581"/>
        <v>43.28</v>
      </c>
      <c r="BQ194" s="23">
        <f t="shared" si="1581"/>
        <v>42.19</v>
      </c>
      <c r="BR194" s="23">
        <f t="shared" si="1581"/>
        <v>40.799999999999997</v>
      </c>
      <c r="BS194" s="23">
        <f t="shared" si="1581"/>
        <v>39.68</v>
      </c>
      <c r="BT194" s="23">
        <f t="shared" si="1581"/>
        <v>42.03</v>
      </c>
      <c r="BU194" s="23">
        <f t="shared" si="1581"/>
        <v>39.409999999999997</v>
      </c>
      <c r="BV194" s="23">
        <f t="shared" si="1581"/>
        <v>39.090000000000003</v>
      </c>
      <c r="BW194" s="23">
        <f t="shared" si="1581"/>
        <v>39.85</v>
      </c>
      <c r="BX194" s="23">
        <f t="shared" si="1581"/>
        <v>37.729999999999997</v>
      </c>
      <c r="BY194" s="23">
        <f t="shared" si="1581"/>
        <v>37.71</v>
      </c>
      <c r="BZ194" s="23">
        <f t="shared" si="1581"/>
        <v>31.87</v>
      </c>
      <c r="CA194" s="23">
        <f t="shared" si="1581"/>
        <v>36.47</v>
      </c>
      <c r="CB194" s="23">
        <f t="shared" si="1581"/>
        <v>36.31</v>
      </c>
      <c r="CC194" s="23">
        <f t="shared" si="1581"/>
        <v>38.28</v>
      </c>
      <c r="CD194" s="23">
        <f t="shared" si="1581"/>
        <v>39.380000000000003</v>
      </c>
      <c r="CE194" s="23">
        <f t="shared" si="1581"/>
        <v>40.880000000000003</v>
      </c>
      <c r="CF194" s="23">
        <f t="shared" si="1581"/>
        <v>41.81</v>
      </c>
      <c r="CG194" s="23">
        <f t="shared" si="1581"/>
        <v>43.18</v>
      </c>
      <c r="CH194" s="23">
        <f t="shared" si="1581"/>
        <v>42.06</v>
      </c>
      <c r="CI194" s="23">
        <f t="shared" si="1581"/>
        <v>36.950000000000003</v>
      </c>
      <c r="CJ194" s="23">
        <f t="shared" si="1581"/>
        <v>37.49</v>
      </c>
      <c r="CK194" s="24">
        <f t="shared" si="1581"/>
        <v>35.67</v>
      </c>
      <c r="CL194" s="23">
        <f t="shared" ref="CL194" si="1582">CL32</f>
        <v>31.72</v>
      </c>
      <c r="CM194" s="24">
        <f t="shared" si="1581"/>
        <v>33.800379642868009</v>
      </c>
      <c r="CN194" s="24">
        <f t="shared" si="1581"/>
        <v>32.169637023892292</v>
      </c>
      <c r="CO194" s="24">
        <f t="shared" si="1581"/>
        <v>30.617571671782859</v>
      </c>
      <c r="CP194" s="24">
        <f t="shared" si="1581"/>
        <v>29.140387701002954</v>
      </c>
      <c r="CQ194" s="24">
        <f t="shared" si="1581"/>
        <v>27.734472363376611</v>
      </c>
      <c r="CR194" s="24">
        <f t="shared" si="1581"/>
        <v>26.396387212392064</v>
      </c>
      <c r="CS194" s="24">
        <f t="shared" si="1581"/>
        <v>25.122859693794609</v>
      </c>
      <c r="CT194" s="24">
        <f t="shared" si="1581"/>
        <v>23.910775141902239</v>
      </c>
      <c r="CU194" s="24">
        <f t="shared" ref="CU194:DB194" si="1583">CU32</f>
        <v>22.757169162069026</v>
      </c>
      <c r="CV194" s="24">
        <f t="shared" si="1583"/>
        <v>21.659220380666607</v>
      </c>
      <c r="CW194" s="24">
        <f t="shared" si="1583"/>
        <v>20.614243544851881</v>
      </c>
      <c r="CX194" s="24">
        <f t="shared" si="1583"/>
        <v>19.619682955245363</v>
      </c>
      <c r="CY194" s="24">
        <f t="shared" si="1583"/>
        <v>18.673106215458322</v>
      </c>
      <c r="CZ194" s="24">
        <f t="shared" si="1583"/>
        <v>17.772198283182092</v>
      </c>
      <c r="DA194" s="24">
        <f t="shared" si="1583"/>
        <v>16.914755808290021</v>
      </c>
      <c r="DB194" s="24">
        <f t="shared" si="1583"/>
        <v>16.098681744105193</v>
      </c>
      <c r="DE194" s="123"/>
      <c r="DF194" s="23">
        <v>141.82999999999998</v>
      </c>
    </row>
    <row r="195" spans="1:110" s="22" customFormat="1" x14ac:dyDescent="0.2">
      <c r="A195" s="22" t="s">
        <v>89</v>
      </c>
      <c r="C195" s="22">
        <f t="shared" ref="C195:W195" si="1584">C193+C194</f>
        <v>-34.780000000000015</v>
      </c>
      <c r="D195" s="22">
        <f t="shared" si="1584"/>
        <v>12.300000000000011</v>
      </c>
      <c r="E195" s="22">
        <f t="shared" si="1584"/>
        <v>-67.149999999999949</v>
      </c>
      <c r="F195" s="22">
        <f t="shared" si="1584"/>
        <v>-210.84999999999991</v>
      </c>
      <c r="G195" s="22">
        <f t="shared" si="1584"/>
        <v>-69.159999999999968</v>
      </c>
      <c r="H195" s="22">
        <f t="shared" si="1584"/>
        <v>135.62000000000035</v>
      </c>
      <c r="I195" s="22">
        <f t="shared" si="1584"/>
        <v>313.61000000000007</v>
      </c>
      <c r="J195" s="22">
        <f t="shared" si="1584"/>
        <v>293.18999999999971</v>
      </c>
      <c r="K195" s="22">
        <f t="shared" si="1584"/>
        <v>245.97999999999979</v>
      </c>
      <c r="L195" s="22">
        <f t="shared" si="1584"/>
        <v>837.87000000000023</v>
      </c>
      <c r="M195" s="22">
        <f t="shared" si="1584"/>
        <v>25.850000000000364</v>
      </c>
      <c r="N195" s="22">
        <f t="shared" si="1584"/>
        <v>-63.719999999999686</v>
      </c>
      <c r="O195" s="22">
        <f t="shared" si="1584"/>
        <v>49.250000000000227</v>
      </c>
      <c r="P195" s="22">
        <f t="shared" si="1584"/>
        <v>-4.3200000000001637</v>
      </c>
      <c r="Q195" s="22">
        <f t="shared" si="1584"/>
        <v>101.32000000000062</v>
      </c>
      <c r="R195" s="22">
        <f t="shared" si="1584"/>
        <v>-1560.6499999999996</v>
      </c>
      <c r="S195" s="22">
        <f t="shared" si="1584"/>
        <v>-9309.08</v>
      </c>
      <c r="T195" s="22">
        <f t="shared" si="1584"/>
        <v>-490.01999999999987</v>
      </c>
      <c r="U195" s="22">
        <f t="shared" si="1584"/>
        <v>-3519.13</v>
      </c>
      <c r="V195" s="22">
        <f t="shared" si="1584"/>
        <v>-1827.96</v>
      </c>
      <c r="W195" s="22">
        <f t="shared" si="1584"/>
        <v>-1054.79</v>
      </c>
      <c r="X195" s="22">
        <f t="shared" ref="X195:Y195" si="1585">X193+X194</f>
        <v>-997.55999999999983</v>
      </c>
      <c r="Y195" s="22">
        <f t="shared" si="1585"/>
        <v>-1077.9999999999998</v>
      </c>
      <c r="Z195" s="22">
        <f t="shared" ref="Z195:AA195" si="1586">Z193+Z194</f>
        <v>-1107.3900000000001</v>
      </c>
      <c r="AA195" s="22">
        <f t="shared" si="1586"/>
        <v>-73.470000000000056</v>
      </c>
      <c r="AB195" s="21">
        <f t="shared" ref="AA195:AD195" si="1587">AB193+AB194</f>
        <v>-291.52710294128678</v>
      </c>
      <c r="AC195" s="21">
        <f t="shared" si="1587"/>
        <v>-358.24630612744863</v>
      </c>
      <c r="AD195" s="21">
        <f t="shared" si="1587"/>
        <v>-423.50980543365938</v>
      </c>
      <c r="AE195" s="21">
        <f t="shared" ref="AE195" si="1588">AE193+AE194</f>
        <v>-486.78576651415551</v>
      </c>
      <c r="AI195" s="22">
        <f t="shared" ref="AI195" si="1589">AI193+AI194</f>
        <v>-16.35000000000008</v>
      </c>
      <c r="AJ195" s="22">
        <f t="shared" ref="AJ195:AL195" si="1590">AJ193+AJ194</f>
        <v>-35.680000000000064</v>
      </c>
      <c r="AK195" s="22">
        <f t="shared" si="1590"/>
        <v>-47.959999999999837</v>
      </c>
      <c r="AL195" s="22">
        <f t="shared" si="1590"/>
        <v>36.27999999999993</v>
      </c>
      <c r="AM195" s="22">
        <f t="shared" ref="AM195" si="1591">AM193+AM194</f>
        <v>24.439999999999927</v>
      </c>
      <c r="AN195" s="22">
        <f t="shared" ref="AN195:CD195" si="1592">AN193+AN194</f>
        <v>-9.8700000000001182</v>
      </c>
      <c r="AO195" s="22">
        <f t="shared" si="1592"/>
        <v>-2.2900000000001057</v>
      </c>
      <c r="AP195" s="22">
        <f t="shared" si="1592"/>
        <v>36.97</v>
      </c>
      <c r="AQ195" s="22">
        <f t="shared" si="1592"/>
        <v>25.409999999999954</v>
      </c>
      <c r="AR195" s="22">
        <f t="shared" si="1592"/>
        <v>-8.3600000000001558</v>
      </c>
      <c r="AS195" s="22">
        <f t="shared" si="1592"/>
        <v>-16.389999999999986</v>
      </c>
      <c r="AT195" s="22">
        <f t="shared" si="1592"/>
        <v>-4.9699999999999989</v>
      </c>
      <c r="AU195" s="22">
        <f t="shared" si="1592"/>
        <v>72.28</v>
      </c>
      <c r="AV195" s="22">
        <f t="shared" si="1592"/>
        <v>-15.599999999999994</v>
      </c>
      <c r="AW195" s="22">
        <f t="shared" si="1592"/>
        <v>83.160000000000025</v>
      </c>
      <c r="AX195" s="22">
        <f t="shared" si="1592"/>
        <v>-38.539999999999964</v>
      </c>
      <c r="AY195" s="22">
        <f t="shared" si="1592"/>
        <v>46.67999999999995</v>
      </c>
      <c r="AZ195" s="22">
        <f t="shared" si="1592"/>
        <v>-198.59000000000003</v>
      </c>
      <c r="BA195" s="22">
        <f t="shared" si="1592"/>
        <v>-180.95000000000002</v>
      </c>
      <c r="BB195" s="22">
        <f t="shared" si="1592"/>
        <v>-1227.8200000000002</v>
      </c>
      <c r="BC195" s="22">
        <f t="shared" si="1592"/>
        <v>-263.87999999999994</v>
      </c>
      <c r="BD195" s="22">
        <f t="shared" si="1592"/>
        <v>-7982.95</v>
      </c>
      <c r="BE195" s="22">
        <f t="shared" si="1592"/>
        <v>-422.44</v>
      </c>
      <c r="BF195" s="22">
        <f t="shared" si="1592"/>
        <v>-639.80999999999995</v>
      </c>
      <c r="BG195" s="22">
        <f t="shared" si="1592"/>
        <v>-416.77</v>
      </c>
      <c r="BH195" s="22">
        <f t="shared" si="1592"/>
        <v>-339.37</v>
      </c>
      <c r="BI195" s="22">
        <f t="shared" si="1592"/>
        <v>-368.71000000000004</v>
      </c>
      <c r="BJ195" s="22">
        <f t="shared" si="1592"/>
        <v>634.82999999999993</v>
      </c>
      <c r="BK195" s="22">
        <f t="shared" si="1592"/>
        <v>-181.20000000000005</v>
      </c>
      <c r="BL195" s="22">
        <f t="shared" si="1592"/>
        <v>-2279.85</v>
      </c>
      <c r="BM195" s="22">
        <f t="shared" si="1592"/>
        <v>-224.59999999999997</v>
      </c>
      <c r="BN195" s="22">
        <f t="shared" si="1592"/>
        <v>-833.48</v>
      </c>
      <c r="BO195" s="22">
        <f t="shared" si="1592"/>
        <v>-1026.8</v>
      </c>
      <c r="BP195" s="22">
        <f t="shared" si="1592"/>
        <v>-297.90999999999997</v>
      </c>
      <c r="BQ195" s="22">
        <f t="shared" si="1592"/>
        <v>-255.76</v>
      </c>
      <c r="BR195" s="22">
        <f t="shared" si="1592"/>
        <v>-247.48999999999995</v>
      </c>
      <c r="BS195" s="22">
        <f t="shared" si="1592"/>
        <v>-278.77000000000004</v>
      </c>
      <c r="BT195" s="22">
        <f t="shared" si="1592"/>
        <v>-271.60000000000002</v>
      </c>
      <c r="BU195" s="22">
        <f t="shared" si="1592"/>
        <v>-262.89</v>
      </c>
      <c r="BV195" s="22">
        <f t="shared" si="1592"/>
        <v>-241.53</v>
      </c>
      <c r="BW195" s="22">
        <f t="shared" si="1592"/>
        <v>-255.24999999999997</v>
      </c>
      <c r="BX195" s="22">
        <f t="shared" si="1592"/>
        <v>-255.02999999999994</v>
      </c>
      <c r="BY195" s="22">
        <f t="shared" si="1592"/>
        <v>-242.08</v>
      </c>
      <c r="BZ195" s="22">
        <f t="shared" si="1592"/>
        <v>-245.2</v>
      </c>
      <c r="CA195" s="22">
        <f t="shared" si="1592"/>
        <v>-264.71000000000004</v>
      </c>
      <c r="CB195" s="22">
        <f t="shared" si="1592"/>
        <v>-273.92</v>
      </c>
      <c r="CC195" s="22">
        <f t="shared" si="1592"/>
        <v>-269.41000000000008</v>
      </c>
      <c r="CD195" s="22">
        <f t="shared" si="1592"/>
        <v>-269.95999999999998</v>
      </c>
      <c r="CE195" s="22">
        <f t="shared" ref="CE195:CF195" si="1593">CE193+CE194</f>
        <v>-282.52</v>
      </c>
      <c r="CF195" s="22">
        <f t="shared" si="1593"/>
        <v>-288.58</v>
      </c>
      <c r="CG195" s="22">
        <f t="shared" ref="CG195:CH195" si="1594">CG193+CG194</f>
        <v>-271.93</v>
      </c>
      <c r="CH195" s="22">
        <f t="shared" si="1594"/>
        <v>-264.36</v>
      </c>
      <c r="CI195" s="22">
        <f t="shared" ref="CI195:CJ195" si="1595">CI193+CI194</f>
        <v>-288.03000000000003</v>
      </c>
      <c r="CJ195" s="22">
        <f t="shared" si="1595"/>
        <v>-283.33000000000004</v>
      </c>
      <c r="CK195" s="21">
        <f t="shared" ref="CK195:DB195" si="1596">CK193+CK194</f>
        <v>-114.76</v>
      </c>
      <c r="CL195" s="22">
        <f t="shared" si="1596"/>
        <v>612.65</v>
      </c>
      <c r="CM195" s="21">
        <f t="shared" si="1596"/>
        <v>-78.306644893505819</v>
      </c>
      <c r="CN195" s="21">
        <f t="shared" si="1596"/>
        <v>-76.539048262671628</v>
      </c>
      <c r="CO195" s="21">
        <f t="shared" si="1596"/>
        <v>-67.422252953167515</v>
      </c>
      <c r="CP195" s="21">
        <f t="shared" si="1596"/>
        <v>-69.259156831941709</v>
      </c>
      <c r="CQ195" s="21">
        <f t="shared" si="1596"/>
        <v>-92.962594789453078</v>
      </c>
      <c r="CR195" s="21">
        <f t="shared" si="1596"/>
        <v>-92.029969093584185</v>
      </c>
      <c r="CS195" s="21">
        <f t="shared" si="1596"/>
        <v>-86.612467869904151</v>
      </c>
      <c r="CT195" s="21">
        <f t="shared" si="1596"/>
        <v>-86.641274374507248</v>
      </c>
      <c r="CU195" s="21">
        <f t="shared" si="1596"/>
        <v>-108.33896018410982</v>
      </c>
      <c r="CV195" s="21">
        <f t="shared" si="1596"/>
        <v>-108.00106500612516</v>
      </c>
      <c r="CW195" s="21">
        <f t="shared" si="1596"/>
        <v>-103.59427108587428</v>
      </c>
      <c r="CX195" s="21">
        <f t="shared" si="1596"/>
        <v>-103.57550915754987</v>
      </c>
      <c r="CY195" s="21">
        <f t="shared" si="1596"/>
        <v>-123.48867285565328</v>
      </c>
      <c r="CZ195" s="21">
        <f t="shared" si="1596"/>
        <v>-123.49903882875094</v>
      </c>
      <c r="DA195" s="21">
        <f t="shared" si="1596"/>
        <v>-119.79400067232119</v>
      </c>
      <c r="DB195" s="21">
        <f t="shared" si="1596"/>
        <v>-120.00405415743012</v>
      </c>
      <c r="DE195" s="126"/>
      <c r="DF195" s="22">
        <v>-73.470000000000084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234.52160000000003</v>
      </c>
      <c r="D196" s="23">
        <f t="shared" si="1597"/>
        <v>23.440000000000012</v>
      </c>
      <c r="E196" s="23">
        <f>D148-E148+D163+D164-E163-E164</f>
        <v>-232.71000000000004</v>
      </c>
      <c r="F196" s="23">
        <f t="shared" si="1597"/>
        <v>25.029999999999973</v>
      </c>
      <c r="G196" s="23">
        <f t="shared" si="1597"/>
        <v>-17.810000000000002</v>
      </c>
      <c r="H196" s="23">
        <f t="shared" si="1597"/>
        <v>-41.519999999999925</v>
      </c>
      <c r="I196" s="23">
        <f t="shared" si="1597"/>
        <v>-76.78000000000003</v>
      </c>
      <c r="J196" s="23">
        <f>I148-J148+I163+I164-J163-J164</f>
        <v>-142.73999999999995</v>
      </c>
      <c r="K196" s="23">
        <f>J148-K148+J163+J164-K163-K164</f>
        <v>-66.540000000000077</v>
      </c>
      <c r="L196" s="23">
        <f t="shared" si="1597"/>
        <v>-186.25</v>
      </c>
      <c r="M196" s="23">
        <f t="shared" si="1597"/>
        <v>-94.789999999999964</v>
      </c>
      <c r="N196" s="23">
        <f t="shared" si="1597"/>
        <v>-247.24</v>
      </c>
      <c r="O196" s="23">
        <f t="shared" si="1597"/>
        <v>69.019999999999982</v>
      </c>
      <c r="P196" s="23">
        <f t="shared" si="1597"/>
        <v>-670.69</v>
      </c>
      <c r="Q196" s="23">
        <f t="shared" si="1597"/>
        <v>566.54999999999995</v>
      </c>
      <c r="R196" s="23">
        <f t="shared" si="1597"/>
        <v>-32.429999999999609</v>
      </c>
      <c r="S196" s="23">
        <f t="shared" si="1597"/>
        <v>-863.89000000000078</v>
      </c>
      <c r="T196" s="23">
        <f t="shared" si="1597"/>
        <v>-916.77</v>
      </c>
      <c r="U196" s="23">
        <f t="shared" si="1597"/>
        <v>2309.7200000000003</v>
      </c>
      <c r="V196" s="23">
        <f t="shared" si="1597"/>
        <v>160.38</v>
      </c>
      <c r="W196" s="23">
        <f t="shared" si="1597"/>
        <v>96.610000000000014</v>
      </c>
      <c r="X196" s="23">
        <f t="shared" si="1597"/>
        <v>84.519999999999982</v>
      </c>
      <c r="Y196" s="23">
        <f t="shared" si="1597"/>
        <v>-37.569999999999936</v>
      </c>
      <c r="Z196" s="23">
        <f t="shared" si="1597"/>
        <v>22.389999999999986</v>
      </c>
      <c r="AA196" s="23">
        <f t="shared" si="1597"/>
        <v>34.599999999999966</v>
      </c>
      <c r="AB196" s="24">
        <f t="shared" ref="AB196" si="1598">AA148-AB148+AA163+AA164-AB163-AB164</f>
        <v>-187.2468664070762</v>
      </c>
      <c r="AC196" s="24">
        <f t="shared" ref="AC196" si="1599">AB148-AC148+AB163+AB164-AC163-AC164</f>
        <v>50.142016854803842</v>
      </c>
      <c r="AD196" s="24">
        <f t="shared" ref="AD196" si="1600">AC148-AD148+AC163+AC164-AD163-AD164</f>
        <v>45.7208109983643</v>
      </c>
      <c r="AE196" s="24">
        <f t="shared" ref="AE196" si="1601">AD148-AE148+AD163+AD164-AE163-AE164</f>
        <v>41.324914089937181</v>
      </c>
      <c r="AI196" s="23">
        <f>AH148-AI148+AH163+AH164-AI163-AJ164</f>
        <v>0</v>
      </c>
      <c r="AJ196" s="23">
        <f t="shared" ref="AJ196:AL196" si="1602">AI148-AJ148+AI163+AI164-AJ163-AK164</f>
        <v>-985.41000000000008</v>
      </c>
      <c r="AK196" s="23">
        <f t="shared" si="1602"/>
        <v>-3.9757917165652543</v>
      </c>
      <c r="AL196" s="23">
        <f t="shared" si="1602"/>
        <v>-168.86420828343466</v>
      </c>
      <c r="AM196" s="23">
        <f t="shared" ref="AM196" si="1603">AL148-AM148+AL163+AL164-AM163-AM164</f>
        <v>-2.8353300841176861</v>
      </c>
      <c r="AN196" s="23">
        <f t="shared" ref="AN196" si="1604">AM148-AN148+AM163+AM164-AN163-AN164</f>
        <v>74.695330084117586</v>
      </c>
      <c r="AO196" s="23">
        <f t="shared" ref="AO196" si="1605">AN148-AO148+AN163+AN164-AO163-AO164</f>
        <v>-1.9576315672995861</v>
      </c>
      <c r="AP196" s="23">
        <f t="shared" ref="AP196" si="1606">AO148-AP148+AO163+AO164-AP163-AP164</f>
        <v>-0.88236843270033205</v>
      </c>
      <c r="AQ196" s="23">
        <f t="shared" ref="AQ196" si="1607">AP148-AQ148+AP163+AP164-AQ163-AQ164</f>
        <v>-8.3572388255531678</v>
      </c>
      <c r="AR196" s="23">
        <f t="shared" ref="AR196" si="1608">AQ148-AR148+AQ163+AQ164-AR163-AR164</f>
        <v>-18.352761174446869</v>
      </c>
      <c r="AS196" s="23">
        <f t="shared" ref="AS196" si="1609">AR148-AS148+AR163+AR164-AS163-AS164</f>
        <v>-13.590436930633814</v>
      </c>
      <c r="AT196" s="23">
        <f t="shared" ref="AT196" si="1610">AS148-AT148+AS163+AS164-AT163-AT164</f>
        <v>-630.3895630693662</v>
      </c>
      <c r="AU196" s="23">
        <f t="shared" ref="AU196" si="1611">AT148-AU148+AT163+AT164-AU163-AU164</f>
        <v>-1.3350695673152586</v>
      </c>
      <c r="AV196" s="23">
        <f t="shared" ref="AV196" si="1612">AU148-AV148+AU163+AU164-AV163-AV164</f>
        <v>519.55506956731506</v>
      </c>
      <c r="AW196" s="23">
        <f t="shared" ref="AW196" si="1613">AV148-AW148+AV163+AV164-AW163-AW164</f>
        <v>1.7162112932605851</v>
      </c>
      <c r="AX196" s="23">
        <f t="shared" ref="AX196" si="1614">AW148-AX148+AW163+AW164-AX163-AX164</f>
        <v>-1953.85621129326</v>
      </c>
      <c r="AY196" s="23">
        <f t="shared" ref="AY196" si="1615">AX148-AY148+AX163+AX164-AY163-AY164</f>
        <v>-0.83484689700344461</v>
      </c>
      <c r="AZ196" s="23">
        <f t="shared" ref="AZ196" si="1616">AY148-AZ148+AY163+AY164-AZ163-AZ164</f>
        <v>2001.1348468970032</v>
      </c>
      <c r="BA196" s="23">
        <f t="shared" ref="BA196" si="1617">AZ148-BA148+AZ163+AZ164-BA163-BA164</f>
        <v>26.20189503514257</v>
      </c>
      <c r="BB196" s="23">
        <f t="shared" ref="BB196" si="1618">BA148-BB148+BA163+BA164-BB163-BB164</f>
        <v>-2535.1218950351426</v>
      </c>
      <c r="BC196" s="23">
        <f t="shared" ref="BC196" si="1619">BB148-BC148+BB163+BB164-BC163-BC164</f>
        <v>16.672402058571606</v>
      </c>
      <c r="BD196" s="23">
        <f t="shared" ref="BD196" si="1620">BC148-BD148+BC163+BC164-BD163-BD164</f>
        <v>2465.2545979414285</v>
      </c>
      <c r="BE196" s="23">
        <f t="shared" ref="BE196" si="1621">BD148-BE148+BD163+BD164-BE163-BE164</f>
        <v>50.973825584103224</v>
      </c>
      <c r="BF196" s="23">
        <f t="shared" ref="BF196" si="1622">BE148-BF148+BE163+BE164-BF163-BF164</f>
        <v>-920.13082558410338</v>
      </c>
      <c r="BG196" s="23">
        <f t="shared" ref="BG196" si="1623">BF148-BG148+BF163+BF164-BG163-BG164</f>
        <v>19.567045740333015</v>
      </c>
      <c r="BH196" s="23">
        <f t="shared" ref="BH196" si="1624">BG148-BH148+BG163+BG164-BH163-BH164</f>
        <v>-40.487045740332633</v>
      </c>
      <c r="BI196" s="23">
        <f t="shared" ref="BI196" si="1625">BH148-BI148+BH163+BH164-BI163-BI164</f>
        <v>8.2432410514538788</v>
      </c>
      <c r="BJ196" s="23">
        <f t="shared" ref="BJ196" si="1626">BI148-BJ148+BI163+BI164-BJ163-BJ164</f>
        <v>-904.09324105145379</v>
      </c>
      <c r="BK196" s="23">
        <f t="shared" ref="BK196" si="1627">BJ148-BK148+BJ163+BJ164-BK163-BK164</f>
        <v>6.2372245467222456</v>
      </c>
      <c r="BL196" s="23">
        <f t="shared" ref="BL196" si="1628">BK148-BL148+BK163+BK164-BL163-BL164</f>
        <v>2239.0727754532772</v>
      </c>
      <c r="BM196" s="23">
        <f t="shared" ref="BM196" si="1629">BL148-BM148+BL163+BL164-BM163-BM164</f>
        <v>9.0422237839836725</v>
      </c>
      <c r="BN196" s="23">
        <f t="shared" ref="BN196" si="1630">BM148-BN148+BM163+BM164-BN163-BN164</f>
        <v>-158.07222378398376</v>
      </c>
      <c r="BO196" s="23">
        <f t="shared" ref="BO196" si="1631">BN148-BO148+BN163+BN164-BO163-BO164</f>
        <v>7.3253924598269577</v>
      </c>
      <c r="BP196" s="23">
        <f t="shared" ref="BP196" si="1632">BO148-BP148+BO163+BO164-BP163-BP164</f>
        <v>138.62460754017309</v>
      </c>
      <c r="BQ196" s="23">
        <f t="shared" ref="BQ196" si="1633">BP148-BQ148+BP163+BP164-BQ163-BQ164</f>
        <v>-7.1395523260345044</v>
      </c>
      <c r="BR196" s="23">
        <f t="shared" ref="BR196" si="1634">BQ148-BR148+BQ163+BQ164-BR163-BR164</f>
        <v>83.799552326034359</v>
      </c>
      <c r="BS196" s="23">
        <f t="shared" ref="BS196" si="1635">BR148-BS148+BR163+BR164-BS163-BS164</f>
        <v>-0.80788118662587749</v>
      </c>
      <c r="BT196" s="23">
        <f t="shared" ref="BT196" si="1636">BS148-BT148+BS163+BS164-BT163-BT164</f>
        <v>54.737881186625941</v>
      </c>
      <c r="BU196" s="23">
        <f t="shared" ref="BU196" si="1637">BT148-BU148+BT163+BT164-BU163-BU164</f>
        <v>-4.0164136622390743</v>
      </c>
      <c r="BV196" s="23">
        <f t="shared" ref="BV196" si="1638">BU148-BV148+BU163+BU164-BV163-BV164</f>
        <v>96.386413662239079</v>
      </c>
      <c r="BW196" s="23">
        <f t="shared" ref="BW196" si="1639">BV148-BW148+BV163+BV164-BW163-BW164</f>
        <v>2.8001026468216423</v>
      </c>
      <c r="BX196" s="23">
        <f t="shared" ref="BX196" si="1640">BW148-BX148+BW163+BW164-BX163-BX164</f>
        <v>82.019897353178294</v>
      </c>
      <c r="BY196" s="23">
        <f t="shared" ref="BY196" si="1641">BX148-BY148+BX163+BX164-BY163-BY164</f>
        <v>-0.75069653533091696</v>
      </c>
      <c r="BZ196" s="23">
        <f t="shared" ref="BZ196" si="1642">BY148-BZ148+BY163+BY164-BZ163-BZ164</f>
        <v>37.500696535330917</v>
      </c>
      <c r="CA196" s="23">
        <f t="shared" ref="CA196" si="1643">BZ148-CA148+BZ163+BZ164-CA163-CA164</f>
        <v>-2.1066369185734857</v>
      </c>
      <c r="CB196" s="23">
        <f t="shared" ref="CB196" si="1644">CA148-CB148+CA163+CA164-CB163-CB164</f>
        <v>22.686636918573527</v>
      </c>
      <c r="CC196" s="23">
        <f t="shared" ref="CC196" si="1645">CB148-CC148+CB163+CB164-CC163-CC164</f>
        <v>-4.1307244961996616</v>
      </c>
      <c r="CD196" s="23">
        <f t="shared" ref="CD196" si="1646">CC148-CD148+CC163+CC164-CD163-CD164</f>
        <v>-115.34927550380036</v>
      </c>
      <c r="CE196" s="23">
        <f t="shared" ref="CE196" si="1647">CD148-CE148+CD163+CD164-CE163-CE164</f>
        <v>-0.10126171548756702</v>
      </c>
      <c r="CF196" s="23">
        <f t="shared" ref="CF196" si="1648">CE148-CF148+CE163+CE164-CF163-CF164</f>
        <v>-36.638738284512442</v>
      </c>
      <c r="CG196" s="23">
        <f t="shared" ref="CG196" si="1649">CF148-CG148+CF163+CF164-CG163-CG164</f>
        <v>6.0909540029111895</v>
      </c>
      <c r="CH196" s="23">
        <f t="shared" ref="CH196:CL196" si="1650">CG148-CH148+CG163+CG164-CH163-CH164</f>
        <v>178.83904599708887</v>
      </c>
      <c r="CI196" s="23">
        <f t="shared" si="1650"/>
        <v>28.861868491906421</v>
      </c>
      <c r="CJ196" s="23">
        <f t="shared" si="1650"/>
        <v>-102.73186849190643</v>
      </c>
      <c r="CK196" s="24">
        <f t="shared" ref="CK196" si="1651">CJ148-CK148+CJ163+CJ164-CK163-CK164</f>
        <v>-12.701256072414708</v>
      </c>
      <c r="CL196" s="23">
        <f t="shared" si="1650"/>
        <v>-117.11874392758534</v>
      </c>
      <c r="CM196" s="24">
        <f t="shared" ref="CM196" si="1652">CL148-CM148+CL163+CL164-CM163-CM164</f>
        <v>83.389855831576142</v>
      </c>
      <c r="CN196" s="24">
        <f t="shared" ref="CN196" si="1653">CM148-CN148+CM163+CM164-CN163-CN164</f>
        <v>-4.638577747692409</v>
      </c>
      <c r="CO196" s="24">
        <f t="shared" ref="CO196" si="1654">CN148-CO148+CN163+CN164-CO163-CO164</f>
        <v>-22.48225889849158</v>
      </c>
      <c r="CP196" s="24">
        <f t="shared" ref="CP196" si="1655">CO148-CP148+CO163+CO164-CP163-CP164</f>
        <v>-5.2258855924683303</v>
      </c>
      <c r="CQ196" s="24">
        <f t="shared" ref="CQ196" si="1656">CP148-CQ148+CP163+CP164-CQ163-CQ164</f>
        <v>81.816951802591348</v>
      </c>
      <c r="CR196" s="24">
        <f t="shared" ref="CR196" si="1657">CQ148-CR148+CQ163+CQ164-CR163-CR164</f>
        <v>-5.4700395209478074</v>
      </c>
      <c r="CS196" s="24">
        <f t="shared" ref="CS196" si="1658">CR148-CS148+CR163+CR164-CS163-CS164</f>
        <v>-21.647808548829858</v>
      </c>
      <c r="CT196" s="24">
        <f t="shared" ref="CT196" si="1659">CS148-CT148+CS163+CS164-CT163-CT164</f>
        <v>-4.5570868780098408</v>
      </c>
      <c r="CU196" s="24">
        <f t="shared" ref="CU196" si="1660">CT148-CU148+CT163+CT164-CU163-CU164</f>
        <v>74.740749141725416</v>
      </c>
      <c r="CV196" s="24">
        <f t="shared" ref="CV196" si="1661">CU148-CV148+CU163+CU164-CV163-CV164</f>
        <v>-5.2948323748599364</v>
      </c>
      <c r="CW196" s="24">
        <f t="shared" ref="CW196" si="1662">CV148-CW148+CV163+CV164-CW163-CW164</f>
        <v>-19.715323682503652</v>
      </c>
      <c r="CX196" s="24">
        <f t="shared" ref="CX196" si="1663">CW148-CX148+CW163+CW164-CX163-CX164</f>
        <v>-4.0097820859975286</v>
      </c>
      <c r="CY196" s="24">
        <f t="shared" ref="CY196" si="1664">CX148-CY148+CX163+CX164-CY163-CY164</f>
        <v>67.596068085392119</v>
      </c>
      <c r="CZ196" s="24">
        <f t="shared" ref="CZ196" si="1665">CY148-CZ148+CY163+CY164-CZ163-CZ164</f>
        <v>-4.8544031858569952</v>
      </c>
      <c r="DA196" s="24">
        <f t="shared" ref="DA196" si="1666">CZ148-DA148+CZ163+CZ164-DA163-DA164</f>
        <v>-17.818966210593317</v>
      </c>
      <c r="DB196" s="24">
        <f t="shared" ref="DB196" si="1667">DA148-DB148+DA163+DA164-DB163-DB164</f>
        <v>-3.5977845990046262</v>
      </c>
      <c r="DE196" s="123"/>
      <c r="DF196" s="23">
        <v>-203.69000000000005</v>
      </c>
    </row>
    <row r="197" spans="1:110" s="23" customFormat="1" x14ac:dyDescent="0.2">
      <c r="A197" s="23" t="s">
        <v>73</v>
      </c>
      <c r="C197" s="23">
        <f t="shared" ref="C197:AA197" si="1668">B156-C156</f>
        <v>-189.43970000000002</v>
      </c>
      <c r="D197" s="23">
        <f t="shared" si="1668"/>
        <v>190.67999999999995</v>
      </c>
      <c r="E197" s="23">
        <f>D156-E156</f>
        <v>130.13000000000011</v>
      </c>
      <c r="F197" s="23">
        <f t="shared" si="1668"/>
        <v>-324.30000000000007</v>
      </c>
      <c r="G197" s="23">
        <f t="shared" si="1668"/>
        <v>-132.29000000000008</v>
      </c>
      <c r="H197" s="23">
        <f t="shared" si="1668"/>
        <v>2.4300000000000637</v>
      </c>
      <c r="I197" s="23">
        <f t="shared" si="1668"/>
        <v>134.70000000000005</v>
      </c>
      <c r="J197" s="23">
        <f>I156-J156</f>
        <v>-45.850000000000136</v>
      </c>
      <c r="K197" s="23">
        <f>J156-K156</f>
        <v>-504.74</v>
      </c>
      <c r="L197" s="23">
        <f t="shared" si="1668"/>
        <v>-245.01999999999975</v>
      </c>
      <c r="M197" s="23">
        <f t="shared" si="1668"/>
        <v>25.629999999999882</v>
      </c>
      <c r="N197" s="23">
        <f t="shared" si="1668"/>
        <v>127.77999999999997</v>
      </c>
      <c r="O197" s="23">
        <f t="shared" si="1668"/>
        <v>157.93000000000006</v>
      </c>
      <c r="P197" s="23">
        <f t="shared" si="1668"/>
        <v>-102.56999999999994</v>
      </c>
      <c r="Q197" s="23">
        <f t="shared" si="1668"/>
        <v>-192.62000000000012</v>
      </c>
      <c r="R197" s="23">
        <f t="shared" si="1668"/>
        <v>199.21000000000004</v>
      </c>
      <c r="S197" s="23">
        <f t="shared" si="1668"/>
        <v>-1366.0499999999997</v>
      </c>
      <c r="T197" s="23">
        <f t="shared" si="1668"/>
        <v>156.08000000000038</v>
      </c>
      <c r="U197" s="23">
        <f t="shared" si="1668"/>
        <v>313.21999999999935</v>
      </c>
      <c r="V197" s="23">
        <f t="shared" si="1668"/>
        <v>1921.04</v>
      </c>
      <c r="W197" s="23">
        <f t="shared" si="1668"/>
        <v>77.790000000000703</v>
      </c>
      <c r="X197" s="23">
        <f t="shared" si="1668"/>
        <v>53.049999999999159</v>
      </c>
      <c r="Y197" s="23">
        <f t="shared" si="1668"/>
        <v>-165.40000000000049</v>
      </c>
      <c r="Z197" s="23">
        <f t="shared" si="1668"/>
        <v>73.599999999999682</v>
      </c>
      <c r="AA197" s="23">
        <f t="shared" si="1668"/>
        <v>-129.44999999999936</v>
      </c>
      <c r="AB197" s="24">
        <f t="shared" ref="AB197" si="1669">AA156-AB156</f>
        <v>58.802294485894777</v>
      </c>
      <c r="AC197" s="24">
        <f t="shared" ref="AC197" si="1670">AB156-AC156</f>
        <v>57.764197330189177</v>
      </c>
      <c r="AD197" s="24">
        <f t="shared" ref="AD197" si="1671">AC156-AD156</f>
        <v>52.670915816039383</v>
      </c>
      <c r="AE197" s="24">
        <f t="shared" ref="AE197" si="1672">AD156-AE156</f>
        <v>47.60679050977501</v>
      </c>
      <c r="AI197" s="23">
        <f t="shared" ref="AI197" si="1673">AH156-AI156</f>
        <v>0</v>
      </c>
      <c r="AJ197" s="23">
        <f t="shared" ref="AJ197" si="1674">AI156-AJ156</f>
        <v>-1948.4899999999998</v>
      </c>
      <c r="AK197" s="23">
        <f t="shared" ref="AK197" si="1675">AJ156-AK156</f>
        <v>0</v>
      </c>
      <c r="AL197" s="23">
        <f t="shared" ref="AL197" si="1676">AK156-AL156</f>
        <v>13.139999999999873</v>
      </c>
      <c r="AM197" s="23">
        <f t="shared" ref="AM197" si="1677">AL156-AM156</f>
        <v>-6.6585592859555618</v>
      </c>
      <c r="AN197" s="23">
        <f t="shared" ref="AN197" si="1678">AM156-AN156</f>
        <v>-23.911440714044602</v>
      </c>
      <c r="AO197" s="23">
        <f t="shared" ref="AO197" si="1679">AN156-AO156</f>
        <v>-4.6163560984964533</v>
      </c>
      <c r="AP197" s="23">
        <f t="shared" ref="AP197" si="1680">AO156-AP156</f>
        <v>87.536356098496526</v>
      </c>
      <c r="AQ197" s="23">
        <f t="shared" ref="AQ197" si="1681">AP156-AQ156</f>
        <v>-22.685892497886016</v>
      </c>
      <c r="AR197" s="23">
        <f t="shared" ref="AR197" si="1682">AQ156-AR156</f>
        <v>-132.46410750211408</v>
      </c>
      <c r="AS197" s="23">
        <f t="shared" ref="AS197" si="1683">AR156-AS156</f>
        <v>-42.697209355455925</v>
      </c>
      <c r="AT197" s="23">
        <f t="shared" ref="AT197" si="1684">AS156-AT156</f>
        <v>-159.95279064454417</v>
      </c>
      <c r="AU197" s="23">
        <f t="shared" ref="AU197" si="1685">AT156-AU156</f>
        <v>-4.4271603399283777</v>
      </c>
      <c r="AV197" s="23">
        <f t="shared" ref="AV197" si="1686">AU156-AV156</f>
        <v>-485.0228396600719</v>
      </c>
      <c r="AW197" s="23">
        <f t="shared" ref="AW197" si="1687">AV156-AW156</f>
        <v>4.9525318761388917</v>
      </c>
      <c r="AX197" s="23">
        <f t="shared" ref="AX197" si="1688">AW156-AX156</f>
        <v>-63.31253187613811</v>
      </c>
      <c r="AY197" s="23">
        <f t="shared" ref="AY197" si="1689">AX156-AY156</f>
        <v>-1.7176842148355718</v>
      </c>
      <c r="AZ197" s="23">
        <f t="shared" ref="AZ197" si="1690">AY156-AZ156</f>
        <v>-872.41231578516499</v>
      </c>
      <c r="BA197" s="23">
        <f t="shared" ref="BA197" si="1691">AZ156-BA156</f>
        <v>74.912332879729547</v>
      </c>
      <c r="BB197" s="23">
        <f t="shared" ref="BB197" si="1692">BA156-BB156</f>
        <v>740.82766712027069</v>
      </c>
      <c r="BC197" s="23">
        <f t="shared" ref="BC197" si="1693">BB156-BC156</f>
        <v>37.958023904916899</v>
      </c>
      <c r="BD197" s="23">
        <f t="shared" ref="BD197" si="1694">BC156-BD156</f>
        <v>-874.82802390491725</v>
      </c>
      <c r="BE197" s="23">
        <f t="shared" ref="BE197" si="1695">BD156-BE156</f>
        <v>118.59216564464805</v>
      </c>
      <c r="BF197" s="23">
        <f t="shared" ref="BF197" si="1696">BE156-BF156</f>
        <v>-1805.3821656446476</v>
      </c>
      <c r="BG197" s="23">
        <f t="shared" ref="BG197" si="1697">BF156-BG156</f>
        <v>59.711624489154019</v>
      </c>
      <c r="BH197" s="23">
        <f t="shared" ref="BH197" si="1698">BG156-BH156</f>
        <v>-221.63162448915409</v>
      </c>
      <c r="BI197" s="23">
        <f t="shared" ref="BI197" si="1699">BH156-BI156</f>
        <v>22.248133855331616</v>
      </c>
      <c r="BJ197" s="23">
        <f t="shared" ref="BJ197" si="1700">BI156-BJ156</f>
        <v>-1200.6681338553317</v>
      </c>
      <c r="BK197" s="23">
        <f t="shared" ref="BK197" si="1701">BJ156-BK156</f>
        <v>14.570748700392869</v>
      </c>
      <c r="BL197" s="23">
        <f t="shared" ref="BL197" si="1702">BK156-BL156</f>
        <v>598.89925129960648</v>
      </c>
      <c r="BM197" s="23">
        <f t="shared" ref="BM197" si="1703">BL156-BM156</f>
        <v>17.331683003514627</v>
      </c>
      <c r="BN197" s="23">
        <f t="shared" ref="BN197" si="1704">BM156-BN156</f>
        <v>-2636.591683003513</v>
      </c>
      <c r="BO197" s="23">
        <f t="shared" ref="BO197" si="1705">BN156-BO156</f>
        <v>17.517269004943955</v>
      </c>
      <c r="BP197" s="23">
        <f t="shared" ref="BP197" si="1706">BO156-BP156</f>
        <v>3776.5327309950553</v>
      </c>
      <c r="BQ197" s="23">
        <f t="shared" ref="BQ197" si="1707">BP156-BQ156</f>
        <v>-28.463297747993238</v>
      </c>
      <c r="BR197" s="23">
        <f t="shared" ref="BR197" si="1708">BQ156-BR156</f>
        <v>4380.243297747993</v>
      </c>
      <c r="BS197" s="23">
        <f t="shared" ref="BS197" si="1709">BR156-BS156</f>
        <v>-2.6719363715178588</v>
      </c>
      <c r="BT197" s="23">
        <f t="shared" ref="BT197" si="1710">BS156-BT156</f>
        <v>25.43193637151785</v>
      </c>
      <c r="BU197" s="23">
        <f t="shared" ref="BU197" si="1711">BT156-BU156</f>
        <v>-13.71857908248694</v>
      </c>
      <c r="BV197" s="23">
        <f t="shared" ref="BV197" si="1712">BU156-BV156</f>
        <v>68.74857908248697</v>
      </c>
      <c r="BW197" s="23">
        <f t="shared" ref="BW197" si="1713">BV156-BW156</f>
        <v>5.1782498716914915</v>
      </c>
      <c r="BX197" s="23">
        <f t="shared" ref="BX197" si="1714">BW156-BX156</f>
        <v>25.511750128308506</v>
      </c>
      <c r="BY197" s="23">
        <f t="shared" ref="BY197" si="1715">BX156-BY156</f>
        <v>-3.6778938269825403</v>
      </c>
      <c r="BZ197" s="23">
        <f t="shared" ref="BZ197" si="1716">BY156-BZ156</f>
        <v>26.037893826982554</v>
      </c>
      <c r="CA197" s="23">
        <f t="shared" ref="CA197" si="1717">BZ156-CA156</f>
        <v>-4.0156505907971223</v>
      </c>
      <c r="CB197" s="23">
        <f t="shared" ref="CB197" si="1718">CA156-CB156</f>
        <v>-1.1043494092028254</v>
      </c>
      <c r="CC197" s="23">
        <f t="shared" ref="CC197" si="1719">CB156-CC156</f>
        <v>-8.032178369709186</v>
      </c>
      <c r="CD197" s="23">
        <f t="shared" ref="CD197" si="1720">CC156-CD156</f>
        <v>-152.24782163029084</v>
      </c>
      <c r="CE197" s="23">
        <f t="shared" ref="CE197" si="1721">CD156-CE156</f>
        <v>-0.17352655510535442</v>
      </c>
      <c r="CF197" s="23">
        <f t="shared" ref="CF197" si="1722">CE156-CF156</f>
        <v>-6.1164734448946092</v>
      </c>
      <c r="CG197" s="23">
        <f t="shared" ref="CG197" si="1723">CF156-CG156</f>
        <v>9.6376328966521214</v>
      </c>
      <c r="CH197" s="23">
        <f t="shared" ref="CH197:CL197" si="1724">CG156-CH156</f>
        <v>70.252367103346842</v>
      </c>
      <c r="CI197" s="23">
        <f t="shared" si="1724"/>
        <v>41.44651896065136</v>
      </c>
      <c r="CJ197" s="23">
        <f t="shared" si="1724"/>
        <v>-43.36651896065041</v>
      </c>
      <c r="CK197" s="24">
        <f t="shared" ref="CK197" si="1725">CJ156-CK156</f>
        <v>-15.26163352322385</v>
      </c>
      <c r="CL197" s="23">
        <f t="shared" si="1724"/>
        <v>-112.26836647677612</v>
      </c>
      <c r="CM197" s="24">
        <f t="shared" ref="CM197" si="1726">CL156-CM156</f>
        <v>96.066101639661269</v>
      </c>
      <c r="CN197" s="24">
        <f t="shared" ref="CN197" si="1727">CM156-CN156</f>
        <v>-5.3436965075619582</v>
      </c>
      <c r="CO197" s="24">
        <f t="shared" ref="CO197" si="1728">CN156-CO156</f>
        <v>-25.899828545018977</v>
      </c>
      <c r="CP197" s="24">
        <f t="shared" ref="CP197" si="1729">CO156-CP156</f>
        <v>-6.0202821011858987</v>
      </c>
      <c r="CQ197" s="24">
        <f t="shared" ref="CQ197" si="1730">CP156-CQ156</f>
        <v>94.25409756781022</v>
      </c>
      <c r="CR197" s="24">
        <f t="shared" ref="CR197" si="1731">CQ156-CR156</f>
        <v>-6.3015503187062336</v>
      </c>
      <c r="CS197" s="24">
        <f t="shared" ref="CS197" si="1732">CR156-CS156</f>
        <v>-24.938531858456031</v>
      </c>
      <c r="CT197" s="24">
        <f t="shared" ref="CT197" si="1733">CS156-CT156</f>
        <v>-5.2498180604587787</v>
      </c>
      <c r="CU197" s="24">
        <f t="shared" ref="CU197" si="1734">CT156-CU156</f>
        <v>86.102228287516141</v>
      </c>
      <c r="CV197" s="24">
        <f t="shared" ref="CV197" si="1735">CU156-CV156</f>
        <v>-6.0997096111499332</v>
      </c>
      <c r="CW197" s="24">
        <f t="shared" ref="CW197" si="1736">CV156-CW156</f>
        <v>-22.712286402886946</v>
      </c>
      <c r="CX197" s="24">
        <f t="shared" ref="CX197" si="1737">CW156-CX156</f>
        <v>-4.6193164574398793</v>
      </c>
      <c r="CY197" s="24">
        <f t="shared" ref="CY197" si="1738">CX156-CY156</f>
        <v>77.871471084542463</v>
      </c>
      <c r="CZ197" s="24">
        <f t="shared" ref="CZ197" si="1739">CY156-CZ156</f>
        <v>-5.5923299686992323</v>
      </c>
      <c r="DA197" s="24">
        <f t="shared" ref="DA197" si="1740">CZ156-DA156</f>
        <v>-20.527660133600648</v>
      </c>
      <c r="DB197" s="24">
        <f t="shared" ref="DB197" si="1741">DA156-DB156</f>
        <v>-4.1446904724675733</v>
      </c>
      <c r="DE197" s="123"/>
      <c r="DF197" s="23">
        <v>-129.44999999999902</v>
      </c>
    </row>
    <row r="198" spans="1:110" s="22" customFormat="1" x14ac:dyDescent="0.2">
      <c r="A198" s="22" t="s">
        <v>90</v>
      </c>
      <c r="C198" s="22">
        <f t="shared" ref="C198:W198" si="1742">C196-C197</f>
        <v>423.96130000000005</v>
      </c>
      <c r="D198" s="22">
        <f t="shared" si="1742"/>
        <v>-167.23999999999995</v>
      </c>
      <c r="E198" s="22">
        <f t="shared" si="1742"/>
        <v>-362.84000000000015</v>
      </c>
      <c r="F198" s="22">
        <f t="shared" si="1742"/>
        <v>349.33000000000004</v>
      </c>
      <c r="G198" s="22">
        <f t="shared" si="1742"/>
        <v>114.48000000000008</v>
      </c>
      <c r="H198" s="22">
        <f t="shared" si="1742"/>
        <v>-43.949999999999989</v>
      </c>
      <c r="I198" s="22">
        <f t="shared" si="1742"/>
        <v>-211.48000000000008</v>
      </c>
      <c r="J198" s="22">
        <f>J196-J197</f>
        <v>-96.889999999999816</v>
      </c>
      <c r="K198" s="22">
        <f t="shared" si="1742"/>
        <v>438.19999999999993</v>
      </c>
      <c r="L198" s="22">
        <f t="shared" si="1742"/>
        <v>58.769999999999754</v>
      </c>
      <c r="M198" s="22">
        <f t="shared" si="1742"/>
        <v>-120.41999999999985</v>
      </c>
      <c r="N198" s="22">
        <f t="shared" si="1742"/>
        <v>-375.02</v>
      </c>
      <c r="O198" s="22">
        <f t="shared" si="1742"/>
        <v>-88.910000000000082</v>
      </c>
      <c r="P198" s="22">
        <f t="shared" si="1742"/>
        <v>-568.12000000000012</v>
      </c>
      <c r="Q198" s="22">
        <f t="shared" si="1742"/>
        <v>759.17000000000007</v>
      </c>
      <c r="R198" s="22">
        <f t="shared" si="1742"/>
        <v>-231.63999999999965</v>
      </c>
      <c r="S198" s="22">
        <f t="shared" si="1742"/>
        <v>502.15999999999894</v>
      </c>
      <c r="T198" s="22">
        <f t="shared" si="1742"/>
        <v>-1072.8500000000004</v>
      </c>
      <c r="U198" s="22">
        <f t="shared" si="1742"/>
        <v>1996.5000000000009</v>
      </c>
      <c r="V198" s="22">
        <f t="shared" si="1742"/>
        <v>-1760.6599999999999</v>
      </c>
      <c r="W198" s="22">
        <f t="shared" si="1742"/>
        <v>18.819999999999311</v>
      </c>
      <c r="X198" s="22">
        <f t="shared" ref="X198:Y198" si="1743">X196-X197</f>
        <v>31.470000000000823</v>
      </c>
      <c r="Y198" s="22">
        <f t="shared" si="1743"/>
        <v>127.83000000000055</v>
      </c>
      <c r="Z198" s="22">
        <f t="shared" ref="Z198:AA198" si="1744">Z196-Z197</f>
        <v>-51.209999999999695</v>
      </c>
      <c r="AA198" s="22">
        <f t="shared" si="1744"/>
        <v>164.04999999999933</v>
      </c>
      <c r="AB198" s="21">
        <f t="shared" ref="AA198:AD198" si="1745">AB196-AB197</f>
        <v>-246.04916089297097</v>
      </c>
      <c r="AC198" s="21">
        <f t="shared" si="1745"/>
        <v>-7.6221804753853348</v>
      </c>
      <c r="AD198" s="21">
        <f t="shared" si="1745"/>
        <v>-6.9501048176750828</v>
      </c>
      <c r="AE198" s="21">
        <f t="shared" ref="AE198" si="1746">AE196-AE197</f>
        <v>-6.281876419837829</v>
      </c>
      <c r="AI198" s="22">
        <f t="shared" ref="AI198" si="1747">AI196-AI197</f>
        <v>0</v>
      </c>
      <c r="AJ198" s="22">
        <f t="shared" ref="AJ198:AL198" si="1748">AJ196-AJ197</f>
        <v>963.0799999999997</v>
      </c>
      <c r="AK198" s="22">
        <f t="shared" si="1748"/>
        <v>-3.9757917165652543</v>
      </c>
      <c r="AL198" s="22">
        <f t="shared" si="1748"/>
        <v>-182.00420828343454</v>
      </c>
      <c r="AM198" s="22">
        <f t="shared" ref="AM198" si="1749">AM196-AM197</f>
        <v>3.8232292018378757</v>
      </c>
      <c r="AN198" s="22">
        <f t="shared" ref="AN198:CD198" si="1750">AN196-AN197</f>
        <v>98.606770798162188</v>
      </c>
      <c r="AO198" s="22">
        <f t="shared" si="1750"/>
        <v>2.6587245311968672</v>
      </c>
      <c r="AP198" s="22">
        <f t="shared" si="1750"/>
        <v>-88.418724531196858</v>
      </c>
      <c r="AQ198" s="22">
        <f t="shared" si="1750"/>
        <v>14.328653672332848</v>
      </c>
      <c r="AR198" s="22">
        <f t="shared" si="1750"/>
        <v>114.11134632766721</v>
      </c>
      <c r="AS198" s="22">
        <f t="shared" si="1750"/>
        <v>29.106772424822111</v>
      </c>
      <c r="AT198" s="22">
        <f t="shared" si="1750"/>
        <v>-470.43677242482204</v>
      </c>
      <c r="AU198" s="22">
        <f t="shared" si="1750"/>
        <v>3.092090772613119</v>
      </c>
      <c r="AV198" s="22">
        <f t="shared" si="1750"/>
        <v>1004.577909227387</v>
      </c>
      <c r="AW198" s="22">
        <f t="shared" si="1750"/>
        <v>-3.2363205828783066</v>
      </c>
      <c r="AX198" s="22">
        <f t="shared" si="1750"/>
        <v>-1890.5436794171219</v>
      </c>
      <c r="AY198" s="22">
        <f t="shared" si="1750"/>
        <v>0.88283731783212716</v>
      </c>
      <c r="AZ198" s="22">
        <f t="shared" si="1750"/>
        <v>2873.5471626821682</v>
      </c>
      <c r="BA198" s="22">
        <f t="shared" si="1750"/>
        <v>-48.710437844586977</v>
      </c>
      <c r="BB198" s="22">
        <f t="shared" si="1750"/>
        <v>-3275.9495621554133</v>
      </c>
      <c r="BC198" s="22">
        <f t="shared" si="1750"/>
        <v>-21.285621846345293</v>
      </c>
      <c r="BD198" s="22">
        <f t="shared" si="1750"/>
        <v>3340.0826218463458</v>
      </c>
      <c r="BE198" s="22">
        <f t="shared" si="1750"/>
        <v>-67.618340060544824</v>
      </c>
      <c r="BF198" s="22">
        <f t="shared" si="1750"/>
        <v>885.25134006054418</v>
      </c>
      <c r="BG198" s="22">
        <f t="shared" si="1750"/>
        <v>-40.144578748821004</v>
      </c>
      <c r="BH198" s="22">
        <f t="shared" si="1750"/>
        <v>181.14457874882146</v>
      </c>
      <c r="BI198" s="22">
        <f t="shared" si="1750"/>
        <v>-14.004892803877738</v>
      </c>
      <c r="BJ198" s="22">
        <f t="shared" si="1750"/>
        <v>296.5748928038779</v>
      </c>
      <c r="BK198" s="22">
        <f t="shared" si="1750"/>
        <v>-8.3335241536706235</v>
      </c>
      <c r="BL198" s="22">
        <f t="shared" si="1750"/>
        <v>1640.1735241536708</v>
      </c>
      <c r="BM198" s="22">
        <f t="shared" si="1750"/>
        <v>-8.2894592195309542</v>
      </c>
      <c r="BN198" s="22">
        <f t="shared" si="1750"/>
        <v>2478.5194592195294</v>
      </c>
      <c r="BO198" s="22">
        <f t="shared" si="1750"/>
        <v>-10.191876545116997</v>
      </c>
      <c r="BP198" s="22">
        <f t="shared" si="1750"/>
        <v>-3637.9081234548821</v>
      </c>
      <c r="BQ198" s="22">
        <f t="shared" si="1750"/>
        <v>21.323745421958733</v>
      </c>
      <c r="BR198" s="22">
        <f t="shared" si="1750"/>
        <v>-4296.4437454219587</v>
      </c>
      <c r="BS198" s="22">
        <f t="shared" si="1750"/>
        <v>1.8640551848919813</v>
      </c>
      <c r="BT198" s="22">
        <f t="shared" si="1750"/>
        <v>29.305944815108091</v>
      </c>
      <c r="BU198" s="22">
        <f t="shared" si="1750"/>
        <v>9.7021654202478658</v>
      </c>
      <c r="BV198" s="22">
        <f t="shared" si="1750"/>
        <v>27.637834579752109</v>
      </c>
      <c r="BW198" s="22">
        <f t="shared" si="1750"/>
        <v>-2.3781472248698492</v>
      </c>
      <c r="BX198" s="22">
        <f t="shared" si="1750"/>
        <v>56.508147224869788</v>
      </c>
      <c r="BY198" s="22">
        <f t="shared" si="1750"/>
        <v>2.9271972916516233</v>
      </c>
      <c r="BZ198" s="22">
        <f t="shared" si="1750"/>
        <v>11.462802708348363</v>
      </c>
      <c r="CA198" s="22">
        <f t="shared" si="1750"/>
        <v>1.9090136722236366</v>
      </c>
      <c r="CB198" s="22">
        <f t="shared" si="1750"/>
        <v>23.790986327776352</v>
      </c>
      <c r="CC198" s="22">
        <f t="shared" si="1750"/>
        <v>3.9014538735095243</v>
      </c>
      <c r="CD198" s="22">
        <f t="shared" si="1750"/>
        <v>36.898546126490487</v>
      </c>
      <c r="CE198" s="22">
        <f t="shared" ref="CE198:CF198" si="1751">CE196-CE197</f>
        <v>7.2264839617787402E-2</v>
      </c>
      <c r="CF198" s="22">
        <f t="shared" si="1751"/>
        <v>-30.522264839617833</v>
      </c>
      <c r="CG198" s="22">
        <f t="shared" ref="CG198:CH198" si="1752">CG196-CG197</f>
        <v>-3.5466788937409319</v>
      </c>
      <c r="CH198" s="22">
        <f t="shared" si="1752"/>
        <v>108.58667889374203</v>
      </c>
      <c r="CI198" s="22">
        <f t="shared" ref="CI198:CJ198" si="1753">CI196-CI197</f>
        <v>-12.58465046874494</v>
      </c>
      <c r="CJ198" s="22">
        <f t="shared" si="1753"/>
        <v>-59.365349531256015</v>
      </c>
      <c r="CK198" s="21">
        <f t="shared" ref="CK198:DB198" si="1754">CK196-CK197</f>
        <v>2.5603774508091419</v>
      </c>
      <c r="CL198" s="22">
        <f t="shared" si="1754"/>
        <v>-4.8503774508092192</v>
      </c>
      <c r="CM198" s="21">
        <f t="shared" si="1754"/>
        <v>-12.676245808085127</v>
      </c>
      <c r="CN198" s="21">
        <f t="shared" si="1754"/>
        <v>0.70511875986954919</v>
      </c>
      <c r="CO198" s="21">
        <f t="shared" si="1754"/>
        <v>3.4175696465273973</v>
      </c>
      <c r="CP198" s="21">
        <f t="shared" si="1754"/>
        <v>0.79439650871756839</v>
      </c>
      <c r="CQ198" s="21">
        <f t="shared" si="1754"/>
        <v>-12.437145765218872</v>
      </c>
      <c r="CR198" s="21">
        <f t="shared" si="1754"/>
        <v>0.83151079775842618</v>
      </c>
      <c r="CS198" s="21">
        <f t="shared" si="1754"/>
        <v>3.2907233096261734</v>
      </c>
      <c r="CT198" s="21">
        <f t="shared" si="1754"/>
        <v>0.69273118244893794</v>
      </c>
      <c r="CU198" s="21">
        <f t="shared" si="1754"/>
        <v>-11.361479145790724</v>
      </c>
      <c r="CV198" s="21">
        <f t="shared" si="1754"/>
        <v>0.80487723628999674</v>
      </c>
      <c r="CW198" s="21">
        <f t="shared" si="1754"/>
        <v>2.9969627203832943</v>
      </c>
      <c r="CX198" s="21">
        <f t="shared" si="1754"/>
        <v>0.60953437144235068</v>
      </c>
      <c r="CY198" s="21">
        <f t="shared" si="1754"/>
        <v>-10.275402999150344</v>
      </c>
      <c r="CZ198" s="21">
        <f t="shared" si="1754"/>
        <v>0.73792678284223712</v>
      </c>
      <c r="DA198" s="21">
        <f t="shared" si="1754"/>
        <v>2.7086939230073313</v>
      </c>
      <c r="DB198" s="21">
        <f t="shared" si="1754"/>
        <v>0.54690587346294706</v>
      </c>
      <c r="DE198" s="126"/>
      <c r="DF198" s="22">
        <v>-74.240000000001032</v>
      </c>
    </row>
    <row r="199" spans="1:110" s="22" customFormat="1" x14ac:dyDescent="0.2">
      <c r="A199" s="22" t="s">
        <v>91</v>
      </c>
      <c r="C199" s="22">
        <f t="shared" ref="C199:W199" si="1755">C195+C198</f>
        <v>389.18130000000002</v>
      </c>
      <c r="D199" s="22">
        <f>D195+D198</f>
        <v>-154.93999999999994</v>
      </c>
      <c r="E199" s="22">
        <f t="shared" si="1755"/>
        <v>-429.99000000000012</v>
      </c>
      <c r="F199" s="22">
        <f t="shared" si="1755"/>
        <v>138.48000000000013</v>
      </c>
      <c r="G199" s="22">
        <f t="shared" si="1755"/>
        <v>45.320000000000107</v>
      </c>
      <c r="H199" s="22">
        <f t="shared" si="1755"/>
        <v>91.670000000000357</v>
      </c>
      <c r="I199" s="22">
        <f t="shared" si="1755"/>
        <v>102.13</v>
      </c>
      <c r="J199" s="22">
        <f>J195+J198</f>
        <v>196.2999999999999</v>
      </c>
      <c r="K199" s="22">
        <f t="shared" si="1755"/>
        <v>684.17999999999972</v>
      </c>
      <c r="L199" s="22">
        <f t="shared" si="1755"/>
        <v>896.64</v>
      </c>
      <c r="M199" s="22">
        <f t="shared" si="1755"/>
        <v>-94.569999999999482</v>
      </c>
      <c r="N199" s="22">
        <f t="shared" si="1755"/>
        <v>-438.73999999999967</v>
      </c>
      <c r="O199" s="22">
        <f t="shared" si="1755"/>
        <v>-39.659999999999854</v>
      </c>
      <c r="P199" s="22">
        <f t="shared" si="1755"/>
        <v>-572.44000000000028</v>
      </c>
      <c r="Q199" s="22">
        <f t="shared" si="1755"/>
        <v>860.49000000000069</v>
      </c>
      <c r="R199" s="22">
        <f t="shared" si="1755"/>
        <v>-1792.2899999999993</v>
      </c>
      <c r="S199" s="22">
        <f t="shared" si="1755"/>
        <v>-8806.9200000000019</v>
      </c>
      <c r="T199" s="22">
        <f t="shared" si="1755"/>
        <v>-1562.8700000000003</v>
      </c>
      <c r="U199" s="22">
        <f t="shared" si="1755"/>
        <v>-1522.6299999999992</v>
      </c>
      <c r="V199" s="22">
        <f t="shared" si="1755"/>
        <v>-3588.62</v>
      </c>
      <c r="W199" s="22">
        <f t="shared" si="1755"/>
        <v>-1035.9700000000007</v>
      </c>
      <c r="X199" s="22">
        <f t="shared" ref="X199:Y199" si="1756">X195+X198</f>
        <v>-966.08999999999901</v>
      </c>
      <c r="Y199" s="22">
        <f t="shared" si="1756"/>
        <v>-950.16999999999916</v>
      </c>
      <c r="Z199" s="22">
        <f t="shared" ref="Z199:AA199" si="1757">Z195+Z198</f>
        <v>-1158.5999999999999</v>
      </c>
      <c r="AA199" s="22">
        <f t="shared" si="1757"/>
        <v>90.579999999999274</v>
      </c>
      <c r="AB199" s="21">
        <f t="shared" ref="AA199:AD199" si="1758">AB195+AB198</f>
        <v>-537.57626383425782</v>
      </c>
      <c r="AC199" s="21">
        <f t="shared" si="1758"/>
        <v>-365.86848660283397</v>
      </c>
      <c r="AD199" s="21">
        <f t="shared" si="1758"/>
        <v>-430.45991025133446</v>
      </c>
      <c r="AE199" s="21">
        <f t="shared" ref="AE199" si="1759">AE195+AE198</f>
        <v>-493.06764293399334</v>
      </c>
      <c r="AI199" s="22">
        <f t="shared" ref="AI199" si="1760">AI195+AI198</f>
        <v>-16.35000000000008</v>
      </c>
      <c r="AJ199" s="22">
        <f t="shared" ref="AJ199:AL199" si="1761">AJ195+AJ198</f>
        <v>927.39999999999964</v>
      </c>
      <c r="AK199" s="22">
        <f t="shared" si="1761"/>
        <v>-51.935791716565092</v>
      </c>
      <c r="AL199" s="22">
        <f t="shared" si="1761"/>
        <v>-145.72420828343462</v>
      </c>
      <c r="AM199" s="22">
        <f t="shared" ref="AM199" si="1762">AM195+AM198</f>
        <v>28.263229201837802</v>
      </c>
      <c r="AN199" s="22">
        <f t="shared" ref="AN199:CD199" si="1763">AN195+AN198</f>
        <v>88.73677079816207</v>
      </c>
      <c r="AO199" s="22">
        <f t="shared" si="1763"/>
        <v>0.36872453119676152</v>
      </c>
      <c r="AP199" s="22">
        <f t="shared" si="1763"/>
        <v>-51.448724531196859</v>
      </c>
      <c r="AQ199" s="22">
        <f t="shared" si="1763"/>
        <v>39.738653672332802</v>
      </c>
      <c r="AR199" s="22">
        <f t="shared" si="1763"/>
        <v>105.75134632766705</v>
      </c>
      <c r="AS199" s="22">
        <f t="shared" si="1763"/>
        <v>12.716772424822125</v>
      </c>
      <c r="AT199" s="22">
        <f t="shared" si="1763"/>
        <v>-475.40677242482207</v>
      </c>
      <c r="AU199" s="22">
        <f t="shared" si="1763"/>
        <v>75.37209077261312</v>
      </c>
      <c r="AV199" s="22">
        <f t="shared" si="1763"/>
        <v>988.97790922738693</v>
      </c>
      <c r="AW199" s="22">
        <f t="shared" si="1763"/>
        <v>79.923679417121718</v>
      </c>
      <c r="AX199" s="22">
        <f t="shared" si="1763"/>
        <v>-1929.0836794171219</v>
      </c>
      <c r="AY199" s="22">
        <f t="shared" si="1763"/>
        <v>47.562837317832077</v>
      </c>
      <c r="AZ199" s="22">
        <f t="shared" si="1763"/>
        <v>2674.957162682168</v>
      </c>
      <c r="BA199" s="22">
        <f t="shared" si="1763"/>
        <v>-229.66043784458699</v>
      </c>
      <c r="BB199" s="22">
        <f t="shared" si="1763"/>
        <v>-4503.769562155414</v>
      </c>
      <c r="BC199" s="22">
        <f t="shared" si="1763"/>
        <v>-285.16562184634523</v>
      </c>
      <c r="BD199" s="22">
        <f t="shared" si="1763"/>
        <v>-4642.8673781536545</v>
      </c>
      <c r="BE199" s="22">
        <f t="shared" si="1763"/>
        <v>-490.05834006054482</v>
      </c>
      <c r="BF199" s="22">
        <f t="shared" si="1763"/>
        <v>245.44134006054423</v>
      </c>
      <c r="BG199" s="22">
        <f t="shared" si="1763"/>
        <v>-456.91457874882099</v>
      </c>
      <c r="BH199" s="22">
        <f t="shared" si="1763"/>
        <v>-158.22542125117855</v>
      </c>
      <c r="BI199" s="22">
        <f t="shared" si="1763"/>
        <v>-382.71489280387777</v>
      </c>
      <c r="BJ199" s="22">
        <f t="shared" si="1763"/>
        <v>931.40489280387783</v>
      </c>
      <c r="BK199" s="22">
        <f t="shared" si="1763"/>
        <v>-189.53352415367067</v>
      </c>
      <c r="BL199" s="22">
        <f t="shared" si="1763"/>
        <v>-639.67647584632914</v>
      </c>
      <c r="BM199" s="22">
        <f t="shared" si="1763"/>
        <v>-232.88945921953092</v>
      </c>
      <c r="BN199" s="22">
        <f t="shared" si="1763"/>
        <v>1645.0394592195294</v>
      </c>
      <c r="BO199" s="22">
        <f t="shared" si="1763"/>
        <v>-1036.9918765451171</v>
      </c>
      <c r="BP199" s="22">
        <f t="shared" si="1763"/>
        <v>-3935.818123454882</v>
      </c>
      <c r="BQ199" s="22">
        <f t="shared" si="1763"/>
        <v>-234.43625457804126</v>
      </c>
      <c r="BR199" s="22">
        <f t="shared" si="1763"/>
        <v>-4543.9337454219585</v>
      </c>
      <c r="BS199" s="22">
        <f t="shared" si="1763"/>
        <v>-276.90594481510806</v>
      </c>
      <c r="BT199" s="22">
        <f t="shared" si="1763"/>
        <v>-242.29405518489193</v>
      </c>
      <c r="BU199" s="22">
        <f t="shared" si="1763"/>
        <v>-253.18783457975212</v>
      </c>
      <c r="BV199" s="22">
        <f t="shared" si="1763"/>
        <v>-213.89216542024789</v>
      </c>
      <c r="BW199" s="22">
        <f t="shared" si="1763"/>
        <v>-257.62814722486985</v>
      </c>
      <c r="BX199" s="22">
        <f t="shared" si="1763"/>
        <v>-198.52185277513016</v>
      </c>
      <c r="BY199" s="22">
        <f t="shared" si="1763"/>
        <v>-239.15280270834839</v>
      </c>
      <c r="BZ199" s="22">
        <f t="shared" si="1763"/>
        <v>-233.73719729165163</v>
      </c>
      <c r="CA199" s="22">
        <f t="shared" si="1763"/>
        <v>-262.8009863277764</v>
      </c>
      <c r="CB199" s="22">
        <f t="shared" si="1763"/>
        <v>-250.12901367222366</v>
      </c>
      <c r="CC199" s="22">
        <f t="shared" si="1763"/>
        <v>-265.50854612649056</v>
      </c>
      <c r="CD199" s="22">
        <f t="shared" si="1763"/>
        <v>-233.06145387350949</v>
      </c>
      <c r="CE199" s="22">
        <f t="shared" ref="CE199:CF199" si="1764">CE195+CE198</f>
        <v>-282.44773516038219</v>
      </c>
      <c r="CF199" s="22">
        <f t="shared" si="1764"/>
        <v>-319.10226483961782</v>
      </c>
      <c r="CG199" s="22">
        <f t="shared" ref="CG199:CH199" si="1765">CG195+CG198</f>
        <v>-275.47667889374094</v>
      </c>
      <c r="CH199" s="22">
        <f t="shared" si="1765"/>
        <v>-155.77332110625798</v>
      </c>
      <c r="CI199" s="22">
        <f t="shared" ref="CI199:CJ199" si="1766">CI195+CI198</f>
        <v>-300.61465046874497</v>
      </c>
      <c r="CJ199" s="22">
        <f t="shared" si="1766"/>
        <v>-342.69534953125606</v>
      </c>
      <c r="CK199" s="21">
        <f t="shared" ref="CK199:DB199" si="1767">CK195+CK198</f>
        <v>-112.19962254919086</v>
      </c>
      <c r="CL199" s="22">
        <f t="shared" si="1767"/>
        <v>607.79962254919076</v>
      </c>
      <c r="CM199" s="21">
        <f t="shared" si="1767"/>
        <v>-90.982890701590946</v>
      </c>
      <c r="CN199" s="21">
        <f t="shared" si="1767"/>
        <v>-75.833929502802079</v>
      </c>
      <c r="CO199" s="21">
        <f t="shared" si="1767"/>
        <v>-64.004683306640118</v>
      </c>
      <c r="CP199" s="21">
        <f t="shared" si="1767"/>
        <v>-68.464760323224141</v>
      </c>
      <c r="CQ199" s="21">
        <f t="shared" si="1767"/>
        <v>-105.39974055467195</v>
      </c>
      <c r="CR199" s="21">
        <f t="shared" si="1767"/>
        <v>-91.198458295825759</v>
      </c>
      <c r="CS199" s="21">
        <f t="shared" si="1767"/>
        <v>-83.321744560277978</v>
      </c>
      <c r="CT199" s="21">
        <f t="shared" si="1767"/>
        <v>-85.94854319205831</v>
      </c>
      <c r="CU199" s="21">
        <f t="shared" si="1767"/>
        <v>-119.70043932990055</v>
      </c>
      <c r="CV199" s="21">
        <f t="shared" si="1767"/>
        <v>-107.19618776983516</v>
      </c>
      <c r="CW199" s="21">
        <f t="shared" si="1767"/>
        <v>-100.59730836549099</v>
      </c>
      <c r="CX199" s="21">
        <f t="shared" si="1767"/>
        <v>-102.96597478610752</v>
      </c>
      <c r="CY199" s="21">
        <f t="shared" si="1767"/>
        <v>-133.76407585480362</v>
      </c>
      <c r="CZ199" s="21">
        <f t="shared" si="1767"/>
        <v>-122.7611120459087</v>
      </c>
      <c r="DA199" s="21">
        <f t="shared" si="1767"/>
        <v>-117.08530674931386</v>
      </c>
      <c r="DB199" s="21">
        <f t="shared" si="1767"/>
        <v>-119.45714828396717</v>
      </c>
      <c r="DE199" s="126"/>
      <c r="DF199" s="22">
        <v>-147.71000000000112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-390.48019999999997</v>
      </c>
      <c r="D201" s="22">
        <f>D202+D203</f>
        <v>-126.6099999999999</v>
      </c>
      <c r="E201" s="22">
        <f t="shared" si="1768"/>
        <v>-411.81000000000017</v>
      </c>
      <c r="F201" s="22">
        <f t="shared" si="1768"/>
        <v>-694.26</v>
      </c>
      <c r="G201" s="22">
        <f t="shared" si="1768"/>
        <v>-416.11000000000013</v>
      </c>
      <c r="H201" s="22">
        <f t="shared" si="1768"/>
        <v>-439.48</v>
      </c>
      <c r="I201" s="22">
        <f t="shared" si="1768"/>
        <v>-995.63999999999987</v>
      </c>
      <c r="J201" s="22">
        <f t="shared" si="1768"/>
        <v>-902.55000000000018</v>
      </c>
      <c r="K201" s="22">
        <f t="shared" si="1768"/>
        <v>-1294.3399999999997</v>
      </c>
      <c r="L201" s="22">
        <f t="shared" si="1768"/>
        <v>-1557.6100000000001</v>
      </c>
      <c r="M201" s="22">
        <f t="shared" si="1768"/>
        <v>-638.15999999999985</v>
      </c>
      <c r="N201" s="22">
        <f t="shared" si="1768"/>
        <v>-360.85999999999967</v>
      </c>
      <c r="O201" s="22">
        <f t="shared" si="1768"/>
        <v>-348.38999999999942</v>
      </c>
      <c r="P201" s="22">
        <f t="shared" si="1768"/>
        <v>-289.95000000000118</v>
      </c>
      <c r="Q201" s="22">
        <f t="shared" si="1768"/>
        <v>-3834.5699999999997</v>
      </c>
      <c r="R201" s="22">
        <f t="shared" si="1768"/>
        <v>-3149.8600000000006</v>
      </c>
      <c r="S201" s="22">
        <f t="shared" si="1768"/>
        <v>8557.0500000000011</v>
      </c>
      <c r="T201" s="22">
        <f t="shared" si="1768"/>
        <v>-48.439999999999827</v>
      </c>
      <c r="U201" s="22">
        <f t="shared" si="1768"/>
        <v>-383.54000000000053</v>
      </c>
      <c r="V201" s="22">
        <f t="shared" si="1768"/>
        <v>-95.209999999999695</v>
      </c>
      <c r="W201" s="22">
        <f t="shared" si="1768"/>
        <v>-108.05000000000007</v>
      </c>
      <c r="X201" s="22">
        <f t="shared" ref="X201:Y201" si="1769">X202+X203</f>
        <v>-114.7399999999999</v>
      </c>
      <c r="Y201" s="22">
        <f t="shared" si="1769"/>
        <v>-222.9500000000005</v>
      </c>
      <c r="Z201" s="22">
        <f t="shared" ref="Z201:AA201" si="1770">Z202+Z203</f>
        <v>-153.52999999999975</v>
      </c>
      <c r="AA201" s="22">
        <f t="shared" si="1770"/>
        <v>-275.34000000000037</v>
      </c>
      <c r="AB201" s="21">
        <f t="shared" ref="AA201:AD201" si="1771">AB202+AB203</f>
        <v>238.29000000000065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-146.31</v>
      </c>
      <c r="AJ201" s="22">
        <f t="shared" ref="AJ201:AL201" si="1774">AJ202+AJ203</f>
        <v>-5096.79</v>
      </c>
      <c r="AK201" s="22">
        <f t="shared" si="1774"/>
        <v>-149.19999999999982</v>
      </c>
      <c r="AL201" s="22">
        <f t="shared" si="1774"/>
        <v>-19.199999999999818</v>
      </c>
      <c r="AM201" s="22">
        <f t="shared" ref="AM201" si="1775">AM202+AM203</f>
        <v>-151.32999999999993</v>
      </c>
      <c r="AN201" s="22">
        <f t="shared" ref="AN201:CD201" si="1776">AN202+AN203</f>
        <v>-245.80999999999949</v>
      </c>
      <c r="AO201" s="22">
        <f t="shared" si="1776"/>
        <v>-154.06999999999971</v>
      </c>
      <c r="AP201" s="22">
        <f t="shared" si="1776"/>
        <v>202.80999999999949</v>
      </c>
      <c r="AQ201" s="22">
        <f t="shared" si="1776"/>
        <v>-148.31999999999971</v>
      </c>
      <c r="AR201" s="22">
        <f t="shared" si="1776"/>
        <v>22.840000000000146</v>
      </c>
      <c r="AS201" s="22">
        <f t="shared" si="1776"/>
        <v>-152.68000000000029</v>
      </c>
      <c r="AT201" s="22">
        <f t="shared" si="1776"/>
        <v>-11.789999999999964</v>
      </c>
      <c r="AU201" s="22">
        <f t="shared" si="1776"/>
        <v>-155.80999999999995</v>
      </c>
      <c r="AV201" s="22">
        <f t="shared" si="1776"/>
        <v>-4032.4600000000005</v>
      </c>
      <c r="AW201" s="22">
        <f t="shared" si="1776"/>
        <v>-160.30000000000018</v>
      </c>
      <c r="AX201" s="22">
        <f t="shared" si="1776"/>
        <v>2514.4800000000005</v>
      </c>
      <c r="AY201" s="22">
        <f t="shared" si="1776"/>
        <v>-154.75</v>
      </c>
      <c r="AZ201" s="22">
        <f t="shared" si="1776"/>
        <v>-2423.33</v>
      </c>
      <c r="BA201" s="22">
        <f t="shared" si="1776"/>
        <v>-233.78999999999996</v>
      </c>
      <c r="BB201" s="22">
        <f t="shared" si="1776"/>
        <v>138.19000000000051</v>
      </c>
      <c r="BC201" s="22">
        <f t="shared" si="1776"/>
        <v>-217.55000000000018</v>
      </c>
      <c r="BD201" s="22">
        <f t="shared" si="1776"/>
        <v>5393.23</v>
      </c>
      <c r="BE201" s="22">
        <f t="shared" si="1776"/>
        <v>-58.309999999999945</v>
      </c>
      <c r="BF201" s="22">
        <f t="shared" si="1776"/>
        <v>963.02</v>
      </c>
      <c r="BG201" s="22">
        <f t="shared" si="1776"/>
        <v>-38.659999999999968</v>
      </c>
      <c r="BH201" s="22">
        <f t="shared" si="1776"/>
        <v>-10.149999999999977</v>
      </c>
      <c r="BI201" s="22">
        <f t="shared" si="1776"/>
        <v>-40.710000000000036</v>
      </c>
      <c r="BJ201" s="22">
        <f t="shared" si="1776"/>
        <v>41.080000000000041</v>
      </c>
      <c r="BK201" s="22">
        <f t="shared" si="1776"/>
        <v>-47.649999999999977</v>
      </c>
      <c r="BL201" s="22">
        <f t="shared" si="1776"/>
        <v>-257.93999999999994</v>
      </c>
      <c r="BM201" s="22">
        <f t="shared" si="1776"/>
        <v>-52.25</v>
      </c>
      <c r="BN201" s="22">
        <f t="shared" si="1776"/>
        <v>187.7399999999999</v>
      </c>
      <c r="BO201" s="22">
        <f t="shared" si="1776"/>
        <v>-42.460000000000036</v>
      </c>
      <c r="BP201" s="22">
        <f t="shared" si="1776"/>
        <v>-37.889999999999986</v>
      </c>
      <c r="BQ201" s="22">
        <f t="shared" si="1776"/>
        <v>-42.189999999999941</v>
      </c>
      <c r="BR201" s="22">
        <f t="shared" si="1776"/>
        <v>-34.899999999999864</v>
      </c>
      <c r="BS201" s="22">
        <f t="shared" si="1776"/>
        <v>-39.67999999999995</v>
      </c>
      <c r="BT201" s="22">
        <f t="shared" si="1776"/>
        <v>-31.850000000000023</v>
      </c>
      <c r="BU201" s="22">
        <f t="shared" si="1776"/>
        <v>-39.409999999999968</v>
      </c>
      <c r="BV201" s="22">
        <f t="shared" si="1776"/>
        <v>-46.800000000000068</v>
      </c>
      <c r="BW201" s="22">
        <f t="shared" si="1776"/>
        <v>-39.850000000000023</v>
      </c>
      <c r="BX201" s="22">
        <f t="shared" si="1776"/>
        <v>-28.899999999999977</v>
      </c>
      <c r="BY201" s="22">
        <f t="shared" si="1776"/>
        <v>-37.710000000000036</v>
      </c>
      <c r="BZ201" s="22">
        <f t="shared" si="1776"/>
        <v>-45.330000000000041</v>
      </c>
      <c r="CA201" s="22">
        <f t="shared" si="1776"/>
        <v>-36.470000000000027</v>
      </c>
      <c r="CB201" s="22">
        <f t="shared" si="1776"/>
        <v>-30.220000000000027</v>
      </c>
      <c r="CC201" s="22">
        <f t="shared" si="1776"/>
        <v>-38.279999999999973</v>
      </c>
      <c r="CD201" s="22">
        <f t="shared" si="1776"/>
        <v>-56.650000000000091</v>
      </c>
      <c r="CE201" s="22">
        <f t="shared" ref="CE201:CF201" si="1777">CE202+CE203</f>
        <v>-40.879999999999995</v>
      </c>
      <c r="CF201" s="22">
        <f t="shared" si="1777"/>
        <v>-47.590000000000032</v>
      </c>
      <c r="CG201" s="22">
        <f t="shared" ref="CG201:CH201" si="1778">CG202+CG203</f>
        <v>-43.17999999999995</v>
      </c>
      <c r="CH201" s="22">
        <f t="shared" si="1778"/>
        <v>-147.68000000000006</v>
      </c>
      <c r="CI201" s="22">
        <f t="shared" ref="CI201:CJ201" si="1779">CI202+CI203</f>
        <v>0</v>
      </c>
      <c r="CJ201" s="22">
        <f t="shared" si="1779"/>
        <v>41.180000000000177</v>
      </c>
      <c r="CK201" s="21">
        <f t="shared" ref="CK201:DB201" si="1780">CK202+CK203</f>
        <v>0</v>
      </c>
      <c r="CL201" s="22">
        <f t="shared" si="1780"/>
        <v>-78.230000000000018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-37.049999999999841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0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0</v>
      </c>
      <c r="CI202" s="23">
        <f t="shared" si="1837"/>
        <v>0</v>
      </c>
      <c r="CJ202" s="23">
        <f t="shared" si="1837"/>
        <v>0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-390.48019999999997</v>
      </c>
      <c r="D203" s="23">
        <f t="shared" si="1855"/>
        <v>-126.6099999999999</v>
      </c>
      <c r="E203" s="23">
        <f t="shared" si="1855"/>
        <v>-411.81000000000017</v>
      </c>
      <c r="F203" s="23">
        <f t="shared" si="1855"/>
        <v>-694.26</v>
      </c>
      <c r="G203" s="23">
        <f t="shared" si="1855"/>
        <v>-416.11000000000013</v>
      </c>
      <c r="H203" s="23">
        <f t="shared" si="1855"/>
        <v>-439.48</v>
      </c>
      <c r="I203" s="23">
        <f t="shared" si="1855"/>
        <v>-995.63999999999987</v>
      </c>
      <c r="J203" s="23">
        <f t="shared" si="1855"/>
        <v>-902.55000000000018</v>
      </c>
      <c r="K203" s="23">
        <f t="shared" si="1855"/>
        <v>-1294.3399999999997</v>
      </c>
      <c r="L203" s="23">
        <f t="shared" si="1855"/>
        <v>-1557.6100000000001</v>
      </c>
      <c r="M203" s="23">
        <f t="shared" si="1855"/>
        <v>-638.15999999999985</v>
      </c>
      <c r="N203" s="23">
        <f t="shared" si="1855"/>
        <v>-360.85999999999967</v>
      </c>
      <c r="O203" s="23">
        <f t="shared" si="1855"/>
        <v>-348.38999999999942</v>
      </c>
      <c r="P203" s="23">
        <f t="shared" si="1855"/>
        <v>-289.95000000000118</v>
      </c>
      <c r="Q203" s="23">
        <f t="shared" si="1855"/>
        <v>-3834.5699999999997</v>
      </c>
      <c r="R203" s="23">
        <f t="shared" si="1855"/>
        <v>-3149.8600000000006</v>
      </c>
      <c r="S203" s="23">
        <f t="shared" si="1855"/>
        <v>8557.0500000000011</v>
      </c>
      <c r="T203" s="23">
        <f t="shared" si="1855"/>
        <v>-48.439999999999827</v>
      </c>
      <c r="U203" s="23">
        <f t="shared" si="1855"/>
        <v>-383.54000000000053</v>
      </c>
      <c r="V203" s="23">
        <f t="shared" si="1855"/>
        <v>-95.209999999999695</v>
      </c>
      <c r="W203" s="23">
        <f t="shared" si="1855"/>
        <v>-108.05000000000007</v>
      </c>
      <c r="X203" s="23">
        <f t="shared" si="1855"/>
        <v>-114.7399999999999</v>
      </c>
      <c r="Y203" s="23">
        <f t="shared" si="1855"/>
        <v>-222.9500000000005</v>
      </c>
      <c r="Z203" s="23">
        <f t="shared" si="1855"/>
        <v>-153.52999999999975</v>
      </c>
      <c r="AA203" s="23">
        <f t="shared" si="1855"/>
        <v>-275.34000000000037</v>
      </c>
      <c r="AB203" s="24">
        <f t="shared" si="1855"/>
        <v>238.29000000000065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-146.31</v>
      </c>
      <c r="AJ203" s="23">
        <f t="shared" si="1856"/>
        <v>-5096.79</v>
      </c>
      <c r="AK203" s="23">
        <f t="shared" si="1856"/>
        <v>-149.19999999999982</v>
      </c>
      <c r="AL203" s="23">
        <f t="shared" si="1856"/>
        <v>-19.199999999999818</v>
      </c>
      <c r="AM203" s="23">
        <f t="shared" si="1856"/>
        <v>-151.32999999999993</v>
      </c>
      <c r="AN203" s="23">
        <f t="shared" si="1856"/>
        <v>-245.80999999999949</v>
      </c>
      <c r="AO203" s="23">
        <f t="shared" si="1856"/>
        <v>-154.06999999999971</v>
      </c>
      <c r="AP203" s="23">
        <f t="shared" si="1856"/>
        <v>202.80999999999949</v>
      </c>
      <c r="AQ203" s="23">
        <f t="shared" si="1856"/>
        <v>-148.31999999999971</v>
      </c>
      <c r="AR203" s="23">
        <f t="shared" si="1856"/>
        <v>22.840000000000146</v>
      </c>
      <c r="AS203" s="23">
        <f t="shared" si="1856"/>
        <v>-152.68000000000029</v>
      </c>
      <c r="AT203" s="23">
        <f t="shared" si="1856"/>
        <v>-11.789999999999964</v>
      </c>
      <c r="AU203" s="23">
        <f t="shared" si="1856"/>
        <v>-155.80999999999995</v>
      </c>
      <c r="AV203" s="23">
        <f t="shared" si="1856"/>
        <v>-4032.4600000000005</v>
      </c>
      <c r="AW203" s="23">
        <f t="shared" si="1856"/>
        <v>-160.30000000000018</v>
      </c>
      <c r="AX203" s="23">
        <f t="shared" si="1856"/>
        <v>2514.4800000000005</v>
      </c>
      <c r="AY203" s="23">
        <f t="shared" si="1856"/>
        <v>-154.75</v>
      </c>
      <c r="AZ203" s="23">
        <f t="shared" si="1856"/>
        <v>-2423.33</v>
      </c>
      <c r="BA203" s="23">
        <f t="shared" si="1856"/>
        <v>-233.78999999999996</v>
      </c>
      <c r="BB203" s="23">
        <f t="shared" si="1856"/>
        <v>138.19000000000051</v>
      </c>
      <c r="BC203" s="23">
        <f t="shared" si="1856"/>
        <v>-217.55000000000018</v>
      </c>
      <c r="BD203" s="23">
        <f t="shared" si="1856"/>
        <v>5393.23</v>
      </c>
      <c r="BE203" s="23">
        <f t="shared" si="1856"/>
        <v>-58.309999999999945</v>
      </c>
      <c r="BF203" s="23">
        <f t="shared" si="1856"/>
        <v>963.02</v>
      </c>
      <c r="BG203" s="23">
        <f t="shared" si="1856"/>
        <v>-38.659999999999968</v>
      </c>
      <c r="BH203" s="23">
        <f t="shared" si="1856"/>
        <v>-10.149999999999977</v>
      </c>
      <c r="BI203" s="23">
        <f t="shared" si="1856"/>
        <v>-40.710000000000036</v>
      </c>
      <c r="BJ203" s="23">
        <f t="shared" si="1856"/>
        <v>41.080000000000041</v>
      </c>
      <c r="BK203" s="23">
        <f t="shared" si="1856"/>
        <v>-47.649999999999977</v>
      </c>
      <c r="BL203" s="23">
        <f t="shared" si="1856"/>
        <v>-257.93999999999994</v>
      </c>
      <c r="BM203" s="23">
        <f t="shared" si="1856"/>
        <v>-52.25</v>
      </c>
      <c r="BN203" s="23">
        <f t="shared" si="1856"/>
        <v>187.7399999999999</v>
      </c>
      <c r="BO203" s="23">
        <f t="shared" ref="BO203:CT203" si="1857">BN138-BO32-BO138</f>
        <v>-42.460000000000036</v>
      </c>
      <c r="BP203" s="23">
        <f t="shared" si="1857"/>
        <v>-37.889999999999986</v>
      </c>
      <c r="BQ203" s="23">
        <f t="shared" si="1857"/>
        <v>-42.189999999999941</v>
      </c>
      <c r="BR203" s="23">
        <f t="shared" si="1857"/>
        <v>-34.899999999999864</v>
      </c>
      <c r="BS203" s="23">
        <f t="shared" si="1857"/>
        <v>-39.67999999999995</v>
      </c>
      <c r="BT203" s="23">
        <f t="shared" si="1857"/>
        <v>-31.850000000000023</v>
      </c>
      <c r="BU203" s="23">
        <f t="shared" si="1857"/>
        <v>-39.409999999999968</v>
      </c>
      <c r="BV203" s="23">
        <f t="shared" si="1857"/>
        <v>-46.800000000000068</v>
      </c>
      <c r="BW203" s="23">
        <f t="shared" si="1857"/>
        <v>-39.850000000000023</v>
      </c>
      <c r="BX203" s="23">
        <f t="shared" si="1857"/>
        <v>-28.899999999999977</v>
      </c>
      <c r="BY203" s="23">
        <f t="shared" si="1857"/>
        <v>-37.710000000000036</v>
      </c>
      <c r="BZ203" s="23">
        <f t="shared" si="1857"/>
        <v>-45.330000000000041</v>
      </c>
      <c r="CA203" s="23">
        <f t="shared" si="1857"/>
        <v>-36.470000000000027</v>
      </c>
      <c r="CB203" s="23">
        <f t="shared" si="1857"/>
        <v>-30.220000000000027</v>
      </c>
      <c r="CC203" s="23">
        <f t="shared" si="1857"/>
        <v>-38.279999999999973</v>
      </c>
      <c r="CD203" s="23">
        <f t="shared" si="1857"/>
        <v>-56.650000000000091</v>
      </c>
      <c r="CE203" s="23">
        <f t="shared" si="1857"/>
        <v>-40.879999999999995</v>
      </c>
      <c r="CF203" s="23">
        <f t="shared" si="1857"/>
        <v>-47.590000000000032</v>
      </c>
      <c r="CG203" s="23">
        <f t="shared" si="1857"/>
        <v>-43.17999999999995</v>
      </c>
      <c r="CH203" s="23">
        <f t="shared" si="1857"/>
        <v>-147.68000000000006</v>
      </c>
      <c r="CI203" s="23">
        <f t="shared" si="1857"/>
        <v>0</v>
      </c>
      <c r="CJ203" s="23">
        <f t="shared" si="1857"/>
        <v>41.180000000000177</v>
      </c>
      <c r="CK203" s="24">
        <f t="shared" si="1857"/>
        <v>0</v>
      </c>
      <c r="CL203" s="23">
        <f t="shared" si="1857"/>
        <v>-78.230000000000018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-37.049999999999841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-0.18950000000029377</v>
      </c>
      <c r="D205" s="22">
        <f t="shared" si="1859"/>
        <v>359.53</v>
      </c>
      <c r="E205" s="22">
        <f t="shared" si="1859"/>
        <v>769.04000000000019</v>
      </c>
      <c r="F205" s="22">
        <f t="shared" si="1859"/>
        <v>531.33999999999992</v>
      </c>
      <c r="G205" s="22">
        <f t="shared" si="1859"/>
        <v>316.15999999999963</v>
      </c>
      <c r="H205" s="22">
        <f t="shared" si="1859"/>
        <v>404.02999999999975</v>
      </c>
      <c r="I205" s="22">
        <f t="shared" si="1859"/>
        <v>844.3599999999999</v>
      </c>
      <c r="J205" s="22">
        <f t="shared" si="1859"/>
        <v>709.28000000000043</v>
      </c>
      <c r="K205" s="22">
        <f t="shared" si="1859"/>
        <v>595.68000000000029</v>
      </c>
      <c r="L205" s="22">
        <f t="shared" si="1859"/>
        <v>712.6400000000001</v>
      </c>
      <c r="M205" s="22">
        <f t="shared" si="1859"/>
        <v>795.43999999999949</v>
      </c>
      <c r="N205" s="22">
        <f t="shared" si="1859"/>
        <v>799.0199999999993</v>
      </c>
      <c r="O205" s="22">
        <f t="shared" si="1859"/>
        <v>272.89000000000101</v>
      </c>
      <c r="P205" s="22">
        <f t="shared" si="1859"/>
        <v>890.22999999999956</v>
      </c>
      <c r="Q205" s="22">
        <f t="shared" si="1859"/>
        <v>3583.66</v>
      </c>
      <c r="R205" s="22">
        <f t="shared" si="1859"/>
        <v>4999.7299999999996</v>
      </c>
      <c r="S205" s="22">
        <f t="shared" si="1859"/>
        <v>-49.830000000003565</v>
      </c>
      <c r="T205" s="22">
        <f t="shared" si="1859"/>
        <v>1974.1200000000044</v>
      </c>
      <c r="U205" s="22">
        <f t="shared" si="1859"/>
        <v>1210.9399999999987</v>
      </c>
      <c r="V205" s="22">
        <f t="shared" si="1859"/>
        <v>3712.8199999999997</v>
      </c>
      <c r="W205" s="22">
        <f t="shared" si="1859"/>
        <v>1148.0200000000041</v>
      </c>
      <c r="X205" s="22">
        <f t="shared" ref="X205:Y205" si="1860">X206+X207</f>
        <v>1043.9799999999959</v>
      </c>
      <c r="Y205" s="22">
        <f t="shared" si="1860"/>
        <v>1159.2899999999972</v>
      </c>
      <c r="Z205" s="22">
        <f t="shared" ref="Z205:AA205" si="1861">Z206+Z207</f>
        <v>1345.7200000000012</v>
      </c>
      <c r="AA205" s="22">
        <f t="shared" si="1861"/>
        <v>123.09000000000015</v>
      </c>
      <c r="AB205" s="21">
        <f t="shared" ref="AA205:AD205" si="1862">AB206+AB207</f>
        <v>0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0</v>
      </c>
      <c r="AI205" s="22">
        <f t="shared" ref="AI205" si="1864">AI206+AI207</f>
        <v>162.66000000000008</v>
      </c>
      <c r="AJ205" s="22">
        <f t="shared" ref="AJ205:AL205" si="1865">AJ206+AJ207</f>
        <v>4363.76</v>
      </c>
      <c r="AK205" s="22">
        <f t="shared" si="1865"/>
        <v>0</v>
      </c>
      <c r="AL205" s="22">
        <f t="shared" si="1865"/>
        <v>308.49999999999955</v>
      </c>
      <c r="AM205" s="22">
        <f t="shared" ref="AM205" si="1866">AM206+AM207</f>
        <v>2.2737367544323206E-13</v>
      </c>
      <c r="AN205" s="22">
        <f t="shared" ref="AN205:CD205" si="1867">AN206+AN207</f>
        <v>335.49000000000046</v>
      </c>
      <c r="AO205" s="22">
        <f t="shared" si="1867"/>
        <v>4.5474735088646412E-13</v>
      </c>
      <c r="AP205" s="22">
        <f t="shared" si="1867"/>
        <v>-168.17000000000053</v>
      </c>
      <c r="AQ205" s="22">
        <f t="shared" si="1867"/>
        <v>0</v>
      </c>
      <c r="AR205" s="22">
        <f t="shared" si="1867"/>
        <v>-19.949999999999818</v>
      </c>
      <c r="AS205" s="22">
        <f t="shared" si="1867"/>
        <v>4.5474735088646412E-13</v>
      </c>
      <c r="AT205" s="22">
        <f t="shared" si="1867"/>
        <v>654.9399999999996</v>
      </c>
      <c r="AU205" s="22">
        <f t="shared" si="1867"/>
        <v>4.5474735088646412E-13</v>
      </c>
      <c r="AV205" s="22">
        <f t="shared" si="1867"/>
        <v>3416.3300000000008</v>
      </c>
      <c r="AW205" s="22">
        <f t="shared" si="1867"/>
        <v>-4.5474735088646412E-13</v>
      </c>
      <c r="AX205" s="22">
        <f t="shared" si="1867"/>
        <v>-187.84999999999991</v>
      </c>
      <c r="AY205" s="22">
        <f t="shared" si="1867"/>
        <v>4.5474735088646412E-13</v>
      </c>
      <c r="AZ205" s="22">
        <f t="shared" si="1867"/>
        <v>93.639999999998508</v>
      </c>
      <c r="BA205" s="22">
        <f t="shared" si="1867"/>
        <v>0</v>
      </c>
      <c r="BB205" s="22">
        <f t="shared" si="1867"/>
        <v>4648.5399999999981</v>
      </c>
      <c r="BC205" s="22">
        <f t="shared" si="1867"/>
        <v>0</v>
      </c>
      <c r="BD205" s="22">
        <f t="shared" si="1867"/>
        <v>-591.80999999999767</v>
      </c>
      <c r="BE205" s="22">
        <f t="shared" si="1867"/>
        <v>0</v>
      </c>
      <c r="BF205" s="22">
        <f t="shared" si="1867"/>
        <v>-615.64000000000306</v>
      </c>
      <c r="BG205" s="22">
        <f t="shared" si="1867"/>
        <v>0</v>
      </c>
      <c r="BH205" s="22">
        <f t="shared" si="1867"/>
        <v>588.66000000000167</v>
      </c>
      <c r="BI205" s="22">
        <f t="shared" si="1867"/>
        <v>1.8189894035458565E-12</v>
      </c>
      <c r="BJ205" s="22">
        <f t="shared" si="1867"/>
        <v>-110.95999999999913</v>
      </c>
      <c r="BK205" s="22">
        <f t="shared" si="1867"/>
        <v>1.8189894035458565E-12</v>
      </c>
      <c r="BL205" s="22">
        <f t="shared" si="1867"/>
        <v>444.73999999999796</v>
      </c>
      <c r="BM205" s="22">
        <f t="shared" si="1867"/>
        <v>1.8189894035458565E-12</v>
      </c>
      <c r="BN205" s="22">
        <f t="shared" si="1867"/>
        <v>-1552.8100000000031</v>
      </c>
      <c r="BO205" s="22">
        <f t="shared" si="1867"/>
        <v>0</v>
      </c>
      <c r="BP205" s="22">
        <f t="shared" si="1867"/>
        <v>5162.0499999999975</v>
      </c>
      <c r="BQ205" s="22">
        <f t="shared" si="1867"/>
        <v>0</v>
      </c>
      <c r="BR205" s="22">
        <f t="shared" si="1867"/>
        <v>4775.5600000000013</v>
      </c>
      <c r="BS205" s="22">
        <f t="shared" si="1867"/>
        <v>0</v>
      </c>
      <c r="BT205" s="22">
        <f t="shared" si="1867"/>
        <v>600.68000000000029</v>
      </c>
      <c r="BU205" s="22">
        <f t="shared" si="1867"/>
        <v>0</v>
      </c>
      <c r="BV205" s="22">
        <f t="shared" si="1867"/>
        <v>547.34000000000015</v>
      </c>
      <c r="BW205" s="22">
        <f t="shared" si="1867"/>
        <v>0</v>
      </c>
      <c r="BX205" s="22">
        <f t="shared" si="1867"/>
        <v>548.7799999999952</v>
      </c>
      <c r="BY205" s="22">
        <f t="shared" si="1867"/>
        <v>0</v>
      </c>
      <c r="BZ205" s="22">
        <f t="shared" si="1867"/>
        <v>495.20000000000437</v>
      </c>
      <c r="CA205" s="22">
        <f t="shared" si="1867"/>
        <v>0</v>
      </c>
      <c r="CB205" s="22">
        <f t="shared" si="1867"/>
        <v>586.42999999999665</v>
      </c>
      <c r="CC205" s="22">
        <f t="shared" si="1867"/>
        <v>0</v>
      </c>
      <c r="CD205" s="22">
        <f t="shared" si="1867"/>
        <v>572.85999999999694</v>
      </c>
      <c r="CE205" s="22">
        <f t="shared" ref="CE205:CF205" si="1868">CE206+CE207</f>
        <v>0</v>
      </c>
      <c r="CF205" s="22">
        <f t="shared" si="1868"/>
        <v>667.54000000000451</v>
      </c>
      <c r="CG205" s="22">
        <f t="shared" ref="CG205:CH205" si="1869">CG206+CG207</f>
        <v>0</v>
      </c>
      <c r="CH205" s="22">
        <f t="shared" si="1869"/>
        <v>678.17999999999665</v>
      </c>
      <c r="CI205" s="22">
        <f t="shared" ref="CI205:CJ205" si="1870">CI206+CI207</f>
        <v>0</v>
      </c>
      <c r="CJ205" s="22">
        <f t="shared" si="1870"/>
        <v>574.79999999999927</v>
      </c>
      <c r="CK205" s="21">
        <f t="shared" ref="CK205:DB205" si="1871">CK206+CK207</f>
        <v>0</v>
      </c>
      <c r="CL205" s="22">
        <f t="shared" si="1871"/>
        <v>-451.70999999999913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-3.637978807091713E-12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123.09000000000015</v>
      </c>
    </row>
    <row r="206" spans="1:110" s="23" customFormat="1" x14ac:dyDescent="0.2">
      <c r="A206" s="23" t="s">
        <v>49</v>
      </c>
      <c r="C206" s="23">
        <f t="shared" ref="C206:AA206" si="1872">C128-B128</f>
        <v>-0.18640000000004875</v>
      </c>
      <c r="D206" s="23">
        <f t="shared" si="1872"/>
        <v>359.53</v>
      </c>
      <c r="E206" s="23">
        <f>E128-D128</f>
        <v>767.3900000000001</v>
      </c>
      <c r="F206" s="23">
        <f t="shared" si="1872"/>
        <v>404.38000000000011</v>
      </c>
      <c r="G206" s="23">
        <f t="shared" si="1872"/>
        <v>229.00999999999976</v>
      </c>
      <c r="H206" s="23">
        <f t="shared" si="1872"/>
        <v>-82.980000000000018</v>
      </c>
      <c r="I206" s="23">
        <f t="shared" si="1872"/>
        <v>598</v>
      </c>
      <c r="J206" s="23">
        <f>J128-I128</f>
        <v>717.42000000000007</v>
      </c>
      <c r="K206" s="23">
        <f>K128-J128</f>
        <v>595.67000000000007</v>
      </c>
      <c r="L206" s="23">
        <f t="shared" si="1872"/>
        <v>712.64000000000033</v>
      </c>
      <c r="M206" s="23">
        <f t="shared" si="1872"/>
        <v>795.4399999999996</v>
      </c>
      <c r="N206" s="23">
        <f t="shared" si="1872"/>
        <v>799.01999999999953</v>
      </c>
      <c r="O206" s="23">
        <f t="shared" si="1872"/>
        <v>272.89000000000124</v>
      </c>
      <c r="P206" s="23">
        <f t="shared" si="1872"/>
        <v>890.22999999999956</v>
      </c>
      <c r="Q206" s="23">
        <f t="shared" si="1872"/>
        <v>4243.43</v>
      </c>
      <c r="R206" s="23">
        <f t="shared" si="1872"/>
        <v>4565.91</v>
      </c>
      <c r="S206" s="23">
        <f t="shared" si="1872"/>
        <v>-641.51000000000204</v>
      </c>
      <c r="T206" s="23">
        <f t="shared" si="1872"/>
        <v>967.20000000000073</v>
      </c>
      <c r="U206" s="23">
        <f t="shared" si="1872"/>
        <v>156.15999999999985</v>
      </c>
      <c r="V206" s="23">
        <f t="shared" si="1872"/>
        <v>2727.8500000000022</v>
      </c>
      <c r="W206" s="23">
        <f t="shared" si="1872"/>
        <v>274.62000000000262</v>
      </c>
      <c r="X206" s="23">
        <f t="shared" si="1872"/>
        <v>121.30999999999403</v>
      </c>
      <c r="Y206" s="23">
        <f t="shared" si="1872"/>
        <v>129.27000000000044</v>
      </c>
      <c r="Z206" s="23">
        <f t="shared" si="1872"/>
        <v>387.7400000000016</v>
      </c>
      <c r="AA206" s="23">
        <f t="shared" si="1872"/>
        <v>320.88000000000102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5660.4000000000005</v>
      </c>
      <c r="AK206" s="23">
        <f t="shared" ref="AK206" si="1879">AK128-AJ128</f>
        <v>0</v>
      </c>
      <c r="AL206" s="23">
        <f t="shared" ref="AL206" si="1880">AL128-AK128</f>
        <v>308.50999999999931</v>
      </c>
      <c r="AM206" s="23">
        <f t="shared" ref="AM206" si="1881">AM128-AL128</f>
        <v>0</v>
      </c>
      <c r="AN206" s="23">
        <f t="shared" ref="AN206" si="1882">AN128-AM128</f>
        <v>335.49000000000069</v>
      </c>
      <c r="AO206" s="23">
        <f t="shared" ref="AO206" si="1883">AO128-AN128</f>
        <v>0</v>
      </c>
      <c r="AP206" s="23">
        <f t="shared" ref="AP206" si="1884">AP128-AO128</f>
        <v>-168.18000000000029</v>
      </c>
      <c r="AQ206" s="23">
        <f t="shared" ref="AQ206" si="1885">AQ128-AP128</f>
        <v>0</v>
      </c>
      <c r="AR206" s="23">
        <f t="shared" ref="AR206" si="1886">AR128-AQ128</f>
        <v>-19.949999999999818</v>
      </c>
      <c r="AS206" s="23">
        <f t="shared" ref="AS206" si="1887">AS128-AR128</f>
        <v>0</v>
      </c>
      <c r="AT206" s="23">
        <f t="shared" ref="AT206" si="1888">AT128-AS128</f>
        <v>654.94999999999982</v>
      </c>
      <c r="AU206" s="23">
        <f t="shared" ref="AU206" si="1889">AU128-AT128</f>
        <v>0</v>
      </c>
      <c r="AV206" s="23">
        <f t="shared" ref="AV206" si="1890">AV128-AU128</f>
        <v>3416.0800000000008</v>
      </c>
      <c r="AW206" s="23">
        <f t="shared" ref="AW206" si="1891">AW128-AV128</f>
        <v>0</v>
      </c>
      <c r="AX206" s="23">
        <f t="shared" ref="AX206" si="1892">AX128-AW128</f>
        <v>472.15999999999985</v>
      </c>
      <c r="AY206" s="23">
        <f t="shared" ref="AY206" si="1893">AY128-AX128</f>
        <v>0</v>
      </c>
      <c r="AZ206" s="23">
        <f t="shared" ref="AZ206" si="1894">AZ128-AY128</f>
        <v>-436.29000000000087</v>
      </c>
      <c r="BA206" s="23">
        <f t="shared" ref="BA206" si="1895">BA128-AZ128</f>
        <v>0</v>
      </c>
      <c r="BB206" s="23">
        <f t="shared" ref="BB206" si="1896">BB128-BA128</f>
        <v>4744.6099999999988</v>
      </c>
      <c r="BC206" s="23">
        <f t="shared" ref="BC206" si="1897">BC128-BB128</f>
        <v>0</v>
      </c>
      <c r="BD206" s="23">
        <f t="shared" ref="BD206" si="1898">BD128-BC128</f>
        <v>-663.01999999999862</v>
      </c>
      <c r="BE206" s="23">
        <f t="shared" ref="BE206" si="1899">BE128-BD128</f>
        <v>0</v>
      </c>
      <c r="BF206" s="23">
        <f t="shared" ref="BF206" si="1900">BF128-BE128</f>
        <v>-1136.1100000000006</v>
      </c>
      <c r="BG206" s="23">
        <f t="shared" ref="BG206" si="1901">BG128-BF128</f>
        <v>0</v>
      </c>
      <c r="BH206" s="23">
        <f t="shared" ref="BH206" si="1902">BH128-BG128</f>
        <v>-46.909999999998035</v>
      </c>
      <c r="BI206" s="23">
        <f t="shared" ref="BI206" si="1903">BI128-BH128</f>
        <v>0</v>
      </c>
      <c r="BJ206" s="23">
        <f t="shared" ref="BJ206" si="1904">BJ128-BI128</f>
        <v>-482.31000000000131</v>
      </c>
      <c r="BK206" s="23">
        <f t="shared" ref="BK206" si="1905">BK128-BJ128</f>
        <v>0</v>
      </c>
      <c r="BL206" s="23">
        <f t="shared" ref="BL206" si="1906">BL128-BK128</f>
        <v>-608.93000000000029</v>
      </c>
      <c r="BM206" s="23">
        <f t="shared" ref="BM206" si="1907">BM128-BL128</f>
        <v>0</v>
      </c>
      <c r="BN206" s="23">
        <f t="shared" ref="BN206" si="1908">BN128-BM128</f>
        <v>-1553.92</v>
      </c>
      <c r="BO206" s="23">
        <f t="shared" ref="BO206" si="1909">BO128-BN128</f>
        <v>0</v>
      </c>
      <c r="BP206" s="23">
        <f t="shared" ref="BP206" si="1910">BP128-BO128</f>
        <v>4233.1499999999996</v>
      </c>
      <c r="BQ206" s="23">
        <f t="shared" ref="BQ206" si="1911">BQ128-BP128</f>
        <v>0</v>
      </c>
      <c r="BR206" s="23">
        <f t="shared" ref="BR206" si="1912">BR128-BQ128</f>
        <v>4719.4900000000016</v>
      </c>
      <c r="BS206" s="23">
        <f t="shared" ref="BS206" si="1913">BS128-BR128</f>
        <v>0</v>
      </c>
      <c r="BT206" s="23">
        <f t="shared" ref="BT206" si="1914">BT128-BS128</f>
        <v>158.11999999999898</v>
      </c>
      <c r="BU206" s="23">
        <f t="shared" ref="BU206" si="1915">BU128-BT128</f>
        <v>0</v>
      </c>
      <c r="BV206" s="23">
        <f t="shared" ref="BV206" si="1916">BV128-BU128</f>
        <v>116.5</v>
      </c>
      <c r="BW206" s="23">
        <f t="shared" ref="BW206" si="1917">BW128-BV128</f>
        <v>0</v>
      </c>
      <c r="BX206" s="23">
        <f t="shared" ref="BX206" si="1918">BX128-BW128</f>
        <v>-311.5</v>
      </c>
      <c r="BY206" s="23">
        <f t="shared" ref="BY206" si="1919">BY128-BX128</f>
        <v>0</v>
      </c>
      <c r="BZ206" s="23">
        <f t="shared" ref="BZ206" si="1920">BZ128-BY128</f>
        <v>432.81000000000131</v>
      </c>
      <c r="CA206" s="23">
        <f t="shared" ref="CA206" si="1921">CA128-BZ128</f>
        <v>0</v>
      </c>
      <c r="CB206" s="23">
        <f t="shared" ref="CB206" si="1922">CB128-CA128</f>
        <v>63.619999999998981</v>
      </c>
      <c r="CC206" s="23">
        <f t="shared" ref="CC206" si="1923">CC128-CB128</f>
        <v>0</v>
      </c>
      <c r="CD206" s="23">
        <f t="shared" ref="CD206" si="1924">CD128-CC128</f>
        <v>65.649999999997817</v>
      </c>
      <c r="CE206" s="23">
        <f t="shared" ref="CE206" si="1925">CE128-CD128</f>
        <v>0</v>
      </c>
      <c r="CF206" s="23">
        <f t="shared" ref="CF206" si="1926">CF128-CE128</f>
        <v>-226.5099999999984</v>
      </c>
      <c r="CG206" s="23">
        <f t="shared" ref="CG206" si="1927">CG128-CF128</f>
        <v>0</v>
      </c>
      <c r="CH206" s="23">
        <f t="shared" ref="CH206:CL206" si="1928">CH128-CG128</f>
        <v>614.25</v>
      </c>
      <c r="CI206" s="23">
        <f t="shared" si="1928"/>
        <v>0</v>
      </c>
      <c r="CJ206" s="23">
        <f t="shared" si="1928"/>
        <v>103.18000000000029</v>
      </c>
      <c r="CK206" s="24">
        <f t="shared" ref="CK206" si="1929">CK128-CJ128</f>
        <v>0</v>
      </c>
      <c r="CL206" s="23">
        <f t="shared" si="1928"/>
        <v>217.70000000000073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320.88000000000102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-3.1000000002450179E-3</v>
      </c>
      <c r="D207" s="23">
        <f t="shared" si="1946"/>
        <v>0</v>
      </c>
      <c r="E207" s="23">
        <f t="shared" si="1946"/>
        <v>1.6500000000000909</v>
      </c>
      <c r="F207" s="23">
        <f t="shared" si="1946"/>
        <v>126.95999999999981</v>
      </c>
      <c r="G207" s="23">
        <f t="shared" si="1946"/>
        <v>87.149999999999864</v>
      </c>
      <c r="H207" s="23">
        <f t="shared" si="1946"/>
        <v>487.00999999999976</v>
      </c>
      <c r="I207" s="23">
        <f t="shared" si="1946"/>
        <v>246.35999999999984</v>
      </c>
      <c r="J207" s="23">
        <f t="shared" si="1946"/>
        <v>-8.1399999999996737</v>
      </c>
      <c r="K207" s="23">
        <f t="shared" si="1946"/>
        <v>1.0000000000218279E-2</v>
      </c>
      <c r="L207" s="23">
        <f t="shared" si="1946"/>
        <v>-2.2737367544323206E-13</v>
      </c>
      <c r="M207" s="23">
        <f t="shared" si="1946"/>
        <v>-1.1368683772161603E-13</v>
      </c>
      <c r="N207" s="23">
        <f t="shared" si="1946"/>
        <v>-2.2737367544323206E-13</v>
      </c>
      <c r="O207" s="23">
        <f t="shared" si="1946"/>
        <v>-2.2737367544323206E-13</v>
      </c>
      <c r="P207" s="23">
        <f t="shared" si="1946"/>
        <v>0</v>
      </c>
      <c r="Q207" s="23">
        <f t="shared" si="1946"/>
        <v>-659.77000000000044</v>
      </c>
      <c r="R207" s="23">
        <f t="shared" si="1946"/>
        <v>433.81999999999925</v>
      </c>
      <c r="S207" s="23">
        <f t="shared" si="1946"/>
        <v>591.67999999999847</v>
      </c>
      <c r="T207" s="23">
        <f t="shared" si="1946"/>
        <v>1006.9200000000037</v>
      </c>
      <c r="U207" s="23">
        <f t="shared" si="1946"/>
        <v>1054.7799999999988</v>
      </c>
      <c r="V207" s="23">
        <f t="shared" si="1946"/>
        <v>984.96999999999753</v>
      </c>
      <c r="W207" s="23">
        <f t="shared" si="1946"/>
        <v>873.40000000000146</v>
      </c>
      <c r="X207" s="23">
        <f t="shared" si="1946"/>
        <v>922.67000000000189</v>
      </c>
      <c r="Y207" s="23">
        <f t="shared" si="1946"/>
        <v>1030.0199999999968</v>
      </c>
      <c r="Z207" s="23">
        <f t="shared" si="1946"/>
        <v>957.97999999999956</v>
      </c>
      <c r="AA207" s="23">
        <f t="shared" si="1946"/>
        <v>-197.79000000000087</v>
      </c>
      <c r="AB207" s="24">
        <f t="shared" si="1946"/>
        <v>0</v>
      </c>
      <c r="AC207" s="24">
        <f t="shared" si="1946"/>
        <v>0</v>
      </c>
      <c r="AD207" s="24">
        <f t="shared" si="1946"/>
        <v>0</v>
      </c>
      <c r="AE207" s="24">
        <f t="shared" si="1946"/>
        <v>0</v>
      </c>
      <c r="AI207" s="23">
        <f t="shared" ref="AI207:BN207" si="1947">AI120-AI48-AH120+AI122-AH122</f>
        <v>162.66000000000008</v>
      </c>
      <c r="AJ207" s="23">
        <f t="shared" si="1947"/>
        <v>-1296.6400000000001</v>
      </c>
      <c r="AK207" s="23">
        <f t="shared" si="1947"/>
        <v>0</v>
      </c>
      <c r="AL207" s="23">
        <f t="shared" si="1947"/>
        <v>-9.9999999997635314E-3</v>
      </c>
      <c r="AM207" s="23">
        <f t="shared" si="1947"/>
        <v>2.2737367544323206E-13</v>
      </c>
      <c r="AN207" s="23">
        <f t="shared" si="1947"/>
        <v>-2.2737367544323206E-13</v>
      </c>
      <c r="AO207" s="23">
        <f t="shared" si="1947"/>
        <v>4.5474735088646412E-13</v>
      </c>
      <c r="AP207" s="23">
        <f t="shared" si="1947"/>
        <v>9.9999999997635314E-3</v>
      </c>
      <c r="AQ207" s="23">
        <f t="shared" si="1947"/>
        <v>0</v>
      </c>
      <c r="AR207" s="23">
        <f t="shared" si="1947"/>
        <v>0</v>
      </c>
      <c r="AS207" s="23">
        <f t="shared" si="1947"/>
        <v>4.5474735088646412E-13</v>
      </c>
      <c r="AT207" s="23">
        <f t="shared" si="1947"/>
        <v>-1.0000000000218279E-2</v>
      </c>
      <c r="AU207" s="23">
        <f t="shared" si="1947"/>
        <v>4.5474735088646412E-13</v>
      </c>
      <c r="AV207" s="23">
        <f t="shared" si="1947"/>
        <v>0.25</v>
      </c>
      <c r="AW207" s="23">
        <f t="shared" si="1947"/>
        <v>-4.5474735088646412E-13</v>
      </c>
      <c r="AX207" s="23">
        <f t="shared" si="1947"/>
        <v>-660.00999999999976</v>
      </c>
      <c r="AY207" s="23">
        <f t="shared" si="1947"/>
        <v>4.5474735088646412E-13</v>
      </c>
      <c r="AZ207" s="23">
        <f t="shared" si="1947"/>
        <v>529.92999999999938</v>
      </c>
      <c r="BA207" s="23">
        <f t="shared" si="1947"/>
        <v>0</v>
      </c>
      <c r="BB207" s="23">
        <f t="shared" si="1947"/>
        <v>-96.070000000000618</v>
      </c>
      <c r="BC207" s="23">
        <f t="shared" si="1947"/>
        <v>0</v>
      </c>
      <c r="BD207" s="23">
        <f t="shared" si="1947"/>
        <v>71.210000000000946</v>
      </c>
      <c r="BE207" s="23">
        <f t="shared" si="1947"/>
        <v>0</v>
      </c>
      <c r="BF207" s="23">
        <f t="shared" si="1947"/>
        <v>520.46999999999753</v>
      </c>
      <c r="BG207" s="23">
        <f t="shared" si="1947"/>
        <v>0</v>
      </c>
      <c r="BH207" s="23">
        <f t="shared" si="1947"/>
        <v>635.56999999999971</v>
      </c>
      <c r="BI207" s="23">
        <f t="shared" si="1947"/>
        <v>1.8189894035458565E-12</v>
      </c>
      <c r="BJ207" s="23">
        <f t="shared" si="1947"/>
        <v>371.35000000000218</v>
      </c>
      <c r="BK207" s="23">
        <f t="shared" si="1947"/>
        <v>1.8189894035458565E-12</v>
      </c>
      <c r="BL207" s="23">
        <f t="shared" si="1947"/>
        <v>1053.6699999999983</v>
      </c>
      <c r="BM207" s="23">
        <f t="shared" si="1947"/>
        <v>1.8189894035458565E-12</v>
      </c>
      <c r="BN207" s="23">
        <f t="shared" si="1947"/>
        <v>1.1099999999969441</v>
      </c>
      <c r="BO207" s="23">
        <f t="shared" ref="BO207:CT207" si="1948">BO120-BO48-BN120+BO122-BN122</f>
        <v>0</v>
      </c>
      <c r="BP207" s="23">
        <f t="shared" si="1948"/>
        <v>928.89999999999782</v>
      </c>
      <c r="BQ207" s="23">
        <f t="shared" si="1948"/>
        <v>0</v>
      </c>
      <c r="BR207" s="23">
        <f t="shared" si="1948"/>
        <v>56.069999999999709</v>
      </c>
      <c r="BS207" s="23">
        <f t="shared" si="1948"/>
        <v>0</v>
      </c>
      <c r="BT207" s="23">
        <f t="shared" si="1948"/>
        <v>442.56000000000131</v>
      </c>
      <c r="BU207" s="23">
        <f t="shared" si="1948"/>
        <v>0</v>
      </c>
      <c r="BV207" s="23">
        <f t="shared" si="1948"/>
        <v>430.84000000000015</v>
      </c>
      <c r="BW207" s="23">
        <f t="shared" si="1948"/>
        <v>0</v>
      </c>
      <c r="BX207" s="23">
        <f t="shared" si="1948"/>
        <v>860.2799999999952</v>
      </c>
      <c r="BY207" s="23">
        <f t="shared" si="1948"/>
        <v>0</v>
      </c>
      <c r="BZ207" s="23">
        <f t="shared" si="1948"/>
        <v>62.390000000003056</v>
      </c>
      <c r="CA207" s="23">
        <f t="shared" si="1948"/>
        <v>0</v>
      </c>
      <c r="CB207" s="23">
        <f t="shared" si="1948"/>
        <v>522.80999999999767</v>
      </c>
      <c r="CC207" s="23">
        <f t="shared" si="1948"/>
        <v>0</v>
      </c>
      <c r="CD207" s="23">
        <f t="shared" si="1948"/>
        <v>507.20999999999913</v>
      </c>
      <c r="CE207" s="23">
        <f t="shared" si="1948"/>
        <v>0</v>
      </c>
      <c r="CF207" s="23">
        <f t="shared" si="1948"/>
        <v>894.05000000000291</v>
      </c>
      <c r="CG207" s="23">
        <f t="shared" si="1948"/>
        <v>0</v>
      </c>
      <c r="CH207" s="23">
        <f t="shared" si="1948"/>
        <v>63.929999999996653</v>
      </c>
      <c r="CI207" s="23">
        <f t="shared" si="1948"/>
        <v>0</v>
      </c>
      <c r="CJ207" s="23">
        <f t="shared" si="1948"/>
        <v>471.61999999999898</v>
      </c>
      <c r="CK207" s="24">
        <f t="shared" si="1948"/>
        <v>0</v>
      </c>
      <c r="CL207" s="23">
        <f t="shared" si="1948"/>
        <v>-669.40999999999985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-3.637978807091713E-12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-197.79000000000087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102.72839999999999</v>
      </c>
      <c r="D209" s="23">
        <f t="shared" ref="D209" si="1951">C161</f>
        <v>101.24</v>
      </c>
      <c r="E209" s="23">
        <f>D161</f>
        <v>179.22</v>
      </c>
      <c r="F209" s="23">
        <f t="shared" ref="F209" si="1952">E161</f>
        <v>106.46000000000001</v>
      </c>
      <c r="G209" s="23">
        <f t="shared" ref="G209" si="1953">F161</f>
        <v>82.02</v>
      </c>
      <c r="H209" s="23">
        <f t="shared" ref="H209" si="1954">G161</f>
        <v>27.39</v>
      </c>
      <c r="I209" s="23">
        <f t="shared" ref="I209" si="1955">H161</f>
        <v>83.61</v>
      </c>
      <c r="J209" s="23">
        <f>I161</f>
        <v>34.46</v>
      </c>
      <c r="K209" s="23">
        <f>J161</f>
        <v>37.489999999999995</v>
      </c>
      <c r="L209" s="23">
        <f t="shared" ref="L209" si="1956">K161</f>
        <v>23.01</v>
      </c>
      <c r="M209" s="23">
        <f t="shared" ref="M209" si="1957">L161</f>
        <v>74.680000000000007</v>
      </c>
      <c r="N209" s="23">
        <f t="shared" ref="N209" si="1958">M161</f>
        <v>137.38999999999999</v>
      </c>
      <c r="O209" s="23">
        <f t="shared" ref="O209" si="1959">N161</f>
        <v>136.81</v>
      </c>
      <c r="P209" s="23">
        <f t="shared" ref="P209" si="1960">O161</f>
        <v>21.65</v>
      </c>
      <c r="Q209" s="23">
        <f t="shared" ref="Q209" si="1961">P161</f>
        <v>49.49</v>
      </c>
      <c r="R209" s="23">
        <f t="shared" ref="R209" si="1962">Q161</f>
        <v>659.07</v>
      </c>
      <c r="S209" s="23">
        <f t="shared" ref="S209" si="1963">R161</f>
        <v>716.65</v>
      </c>
      <c r="T209" s="23">
        <f t="shared" ref="T209" si="1964">S161</f>
        <v>416.95000000000005</v>
      </c>
      <c r="U209" s="23">
        <f t="shared" ref="U209" si="1965">T161</f>
        <v>779.76</v>
      </c>
      <c r="V209" s="23">
        <f t="shared" ref="V209" si="1966">U161</f>
        <v>84.53</v>
      </c>
      <c r="W209" s="23">
        <f t="shared" ref="W209:AA209" si="1967">V161</f>
        <v>113.52000000000001</v>
      </c>
      <c r="X209" s="23">
        <f t="shared" si="1967"/>
        <v>117.52</v>
      </c>
      <c r="Y209" s="23">
        <f t="shared" si="1967"/>
        <v>80.67</v>
      </c>
      <c r="Z209" s="23">
        <f t="shared" si="1967"/>
        <v>66.84</v>
      </c>
      <c r="AA209" s="23">
        <f t="shared" si="1967"/>
        <v>100.43</v>
      </c>
      <c r="AB209" s="24">
        <f t="shared" ref="AB209" si="1968">AA161</f>
        <v>38.76</v>
      </c>
      <c r="AC209" s="24">
        <f t="shared" ref="AC209" si="1969">AB161</f>
        <v>-260.52626383425729</v>
      </c>
      <c r="AD209" s="24">
        <f t="shared" ref="AD209" si="1970">AC161</f>
        <v>-626.39475043709137</v>
      </c>
      <c r="AE209" s="24">
        <f t="shared" ref="AE209" si="1971">AD161</f>
        <v>-1056.8546606884256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194.37</v>
      </c>
      <c r="AL209" s="23">
        <f t="shared" ref="AL209" si="1975">AK161</f>
        <v>-6.7657917165649053</v>
      </c>
      <c r="AM209" s="23">
        <f t="shared" ref="AM209" si="1976">AL161</f>
        <v>136.81</v>
      </c>
      <c r="AN209" s="23">
        <f t="shared" ref="AN209" si="1977">AM161</f>
        <v>13.743229201838105</v>
      </c>
      <c r="AO209" s="23">
        <f t="shared" ref="AO209" si="1978">AN161</f>
        <v>192.16</v>
      </c>
      <c r="AP209" s="23">
        <f t="shared" ref="AP209" si="1979">AO161</f>
        <v>38.458724531197504</v>
      </c>
      <c r="AQ209" s="23">
        <f t="shared" ref="AQ209" si="1980">AP161</f>
        <v>21.65</v>
      </c>
      <c r="AR209" s="23">
        <f t="shared" ref="AR209" si="1981">AQ161</f>
        <v>-86.931346327666901</v>
      </c>
      <c r="AS209" s="23">
        <f t="shared" ref="AS209" si="1982">AR161</f>
        <v>21.71</v>
      </c>
      <c r="AT209" s="23">
        <f t="shared" ref="AT209" si="1983">AS161</f>
        <v>-118.2532275751777</v>
      </c>
      <c r="AU209" s="23">
        <f t="shared" ref="AU209" si="1984">AT161</f>
        <v>49.49</v>
      </c>
      <c r="AV209" s="23">
        <f t="shared" ref="AV209" si="1985">AU161</f>
        <v>-30.947909227386361</v>
      </c>
      <c r="AW209" s="23">
        <f t="shared" ref="AW209" si="1986">AV161</f>
        <v>341.9</v>
      </c>
      <c r="AX209" s="23">
        <f t="shared" ref="AX209" si="1987">AW161</f>
        <v>261.52367941712106</v>
      </c>
      <c r="AY209" s="23">
        <f t="shared" ref="AY209" si="1988">AX161</f>
        <v>659.07</v>
      </c>
      <c r="AZ209" s="23">
        <f t="shared" ref="AZ209" si="1989">AY161</f>
        <v>551.88283731783258</v>
      </c>
      <c r="BA209" s="23">
        <f t="shared" ref="BA209" si="1990">AZ161</f>
        <v>897.15</v>
      </c>
      <c r="BB209" s="23">
        <f t="shared" ref="BB209" si="1991">BA161</f>
        <v>433.69956215541299</v>
      </c>
      <c r="BC209" s="23">
        <f t="shared" ref="BC209" si="1992">BB161</f>
        <v>716.65</v>
      </c>
      <c r="BD209" s="23">
        <f t="shared" ref="BD209" si="1993">BC161</f>
        <v>213.93437815365456</v>
      </c>
      <c r="BE209" s="23">
        <f t="shared" ref="BE209" si="1994">BD161</f>
        <v>372.5</v>
      </c>
      <c r="BF209" s="23">
        <f t="shared" ref="BF209" si="1995">BE161</f>
        <v>-175.86834006054477</v>
      </c>
      <c r="BG209" s="23">
        <f t="shared" ref="BG209" si="1996">BF161</f>
        <v>416.95000000000005</v>
      </c>
      <c r="BH209" s="23">
        <f t="shared" ref="BH209" si="1997">BG161</f>
        <v>-78.624578748820909</v>
      </c>
      <c r="BI209" s="23">
        <f t="shared" ref="BI209" si="1998">BH161</f>
        <v>341.66</v>
      </c>
      <c r="BJ209" s="23">
        <f t="shared" ref="BJ209" si="1999">BI161</f>
        <v>-81.764892803875966</v>
      </c>
      <c r="BK209" s="23">
        <f t="shared" ref="BK209" si="2000">BJ161</f>
        <v>779.76</v>
      </c>
      <c r="BL209" s="23">
        <f t="shared" ref="BL209" si="2001">BK161</f>
        <v>542.57647584633116</v>
      </c>
      <c r="BM209" s="23">
        <f t="shared" ref="BM209" si="2002">BL161</f>
        <v>89.699999999999989</v>
      </c>
      <c r="BN209" s="23">
        <f t="shared" ref="BN209" si="2003">BM161</f>
        <v>-195.43945921952911</v>
      </c>
      <c r="BO209" s="23">
        <f t="shared" ref="BO209" si="2004">BN161</f>
        <v>84.53</v>
      </c>
      <c r="BP209" s="23">
        <f t="shared" ref="BP209" si="2005">BO161</f>
        <v>-994.92187654511713</v>
      </c>
      <c r="BQ209" s="23">
        <f t="shared" ref="BQ209" si="2006">BP161</f>
        <v>193.42</v>
      </c>
      <c r="BR209" s="23">
        <f t="shared" ref="BR209" si="2007">BQ161</f>
        <v>-83.206254578041211</v>
      </c>
      <c r="BS209" s="23">
        <f t="shared" ref="BS209" si="2008">BR161</f>
        <v>113.52000000000001</v>
      </c>
      <c r="BT209" s="23">
        <f t="shared" ref="BT209" si="2009">BS161</f>
        <v>-203.065944815108</v>
      </c>
      <c r="BU209" s="23">
        <f t="shared" ref="BU209" si="2010">BT161</f>
        <v>123.47</v>
      </c>
      <c r="BV209" s="23">
        <f t="shared" ref="BV209" si="2011">BU161</f>
        <v>-169.12783457975209</v>
      </c>
      <c r="BW209" s="23">
        <f t="shared" ref="BW209" si="2012">BV161</f>
        <v>117.52</v>
      </c>
      <c r="BX209" s="23">
        <f t="shared" ref="BX209" si="2013">BW161</f>
        <v>-179.95814722486989</v>
      </c>
      <c r="BY209" s="23">
        <f t="shared" ref="BY209" si="2014">BX161</f>
        <v>141.4</v>
      </c>
      <c r="BZ209" s="23">
        <f t="shared" ref="BZ209" si="2015">BY161</f>
        <v>-135.46280270834842</v>
      </c>
      <c r="CA209" s="23">
        <f t="shared" ref="CA209" si="2016">BZ161</f>
        <v>80.67</v>
      </c>
      <c r="CB209" s="23">
        <f t="shared" ref="CB209" si="2017">CA161</f>
        <v>-218.60098632777641</v>
      </c>
      <c r="CC209" s="23">
        <f t="shared" ref="CC209" si="2018">CB161</f>
        <v>87.48</v>
      </c>
      <c r="CD209" s="23">
        <f t="shared" ref="CD209" si="2019">CC161</f>
        <v>-216.30854612649051</v>
      </c>
      <c r="CE209" s="23">
        <f t="shared" ref="CE209" si="2020">CD161</f>
        <v>66.84</v>
      </c>
      <c r="CF209" s="23">
        <f t="shared" ref="CF209" si="2021">CE161</f>
        <v>-256.48773516038216</v>
      </c>
      <c r="CG209" s="23">
        <f t="shared" ref="CG209" si="2022">CF161</f>
        <v>44.36</v>
      </c>
      <c r="CH209" s="23">
        <f t="shared" ref="CH209:CL209" si="2023">CG161</f>
        <v>-274.29667889374088</v>
      </c>
      <c r="CI209" s="23">
        <f t="shared" si="2023"/>
        <v>100.43</v>
      </c>
      <c r="CJ209" s="23">
        <f t="shared" si="2023"/>
        <v>-200.18465046874496</v>
      </c>
      <c r="CK209" s="24">
        <f t="shared" ref="CK209" si="2024">CJ161</f>
        <v>73.099999999999994</v>
      </c>
      <c r="CL209" s="23">
        <f t="shared" si="2023"/>
        <v>-39.099622549190869</v>
      </c>
      <c r="CM209" s="24">
        <f t="shared" ref="CM209" si="2025">CL161</f>
        <v>38.76</v>
      </c>
      <c r="CN209" s="24">
        <f t="shared" ref="CN209" si="2026">CM161</f>
        <v>-52.222890701590948</v>
      </c>
      <c r="CO209" s="24">
        <f t="shared" ref="CO209" si="2027">CN161</f>
        <v>-128.05682020439303</v>
      </c>
      <c r="CP209" s="24">
        <f t="shared" ref="CP209" si="2028">CO161</f>
        <v>-192.06150351103315</v>
      </c>
      <c r="CQ209" s="24">
        <f t="shared" ref="CQ209" si="2029">CP161</f>
        <v>-260.52626383425729</v>
      </c>
      <c r="CR209" s="24">
        <f t="shared" ref="CR209" si="2030">CQ161</f>
        <v>-365.92600438892924</v>
      </c>
      <c r="CS209" s="24">
        <f t="shared" ref="CS209" si="2031">CR161</f>
        <v>-457.12446268475503</v>
      </c>
      <c r="CT209" s="24">
        <f t="shared" ref="CT209" si="2032">CS161</f>
        <v>-540.44620724503307</v>
      </c>
      <c r="CU209" s="24">
        <f t="shared" ref="CU209" si="2033">CT161</f>
        <v>-626.39475043709137</v>
      </c>
      <c r="CV209" s="24">
        <f t="shared" ref="CV209" si="2034">CU161</f>
        <v>-746.09518976699189</v>
      </c>
      <c r="CW209" s="24">
        <f t="shared" ref="CW209" si="2035">CV161</f>
        <v>-853.2913775368271</v>
      </c>
      <c r="CX209" s="24">
        <f t="shared" ref="CX209" si="2036">CW161</f>
        <v>-953.88868590231812</v>
      </c>
      <c r="CY209" s="24">
        <f t="shared" ref="CY209" si="2037">CX161</f>
        <v>-1056.8546606884256</v>
      </c>
      <c r="CZ209" s="24">
        <f t="shared" ref="CZ209" si="2038">CY161</f>
        <v>-1190.6187365432329</v>
      </c>
      <c r="DA209" s="24">
        <f t="shared" ref="DA209" si="2039">CZ161</f>
        <v>-1313.3798485891416</v>
      </c>
      <c r="DB209" s="24">
        <f t="shared" ref="DB209" si="2040">DA161</f>
        <v>-1430.4651553384554</v>
      </c>
      <c r="DE209" s="123"/>
      <c r="DF209" s="23">
        <v>100.43</v>
      </c>
    </row>
    <row r="210" spans="1:110" s="23" customFormat="1" x14ac:dyDescent="0.2">
      <c r="A210" s="23" t="s">
        <v>443</v>
      </c>
      <c r="C210" s="23">
        <f t="shared" ref="C210:W210" si="2041">C209+C205+C201+C199</f>
        <v>101.23999999999972</v>
      </c>
      <c r="D210" s="23">
        <f t="shared" si="2041"/>
        <v>179.22000000000014</v>
      </c>
      <c r="E210" s="23">
        <f t="shared" si="2041"/>
        <v>106.45999999999992</v>
      </c>
      <c r="F210" s="23">
        <f t="shared" si="2041"/>
        <v>82.020000000000095</v>
      </c>
      <c r="G210" s="23">
        <f t="shared" si="2041"/>
        <v>27.389999999999588</v>
      </c>
      <c r="H210" s="23">
        <f t="shared" si="2041"/>
        <v>83.61000000000007</v>
      </c>
      <c r="I210" s="23">
        <f t="shared" si="2041"/>
        <v>34.460000000000036</v>
      </c>
      <c r="J210" s="23">
        <f>J209+J205+J201+J199</f>
        <v>37.49000000000018</v>
      </c>
      <c r="K210" s="23">
        <f>K209+K205+K201+K199</f>
        <v>23.010000000000332</v>
      </c>
      <c r="L210" s="23">
        <f>L209+L205+L201+L199</f>
        <v>74.67999999999995</v>
      </c>
      <c r="M210" s="23">
        <f>M209+M205+M201+M199</f>
        <v>137.3900000000001</v>
      </c>
      <c r="N210" s="23">
        <f t="shared" si="2041"/>
        <v>136.80999999999995</v>
      </c>
      <c r="O210" s="23">
        <f t="shared" si="2041"/>
        <v>21.650000000001739</v>
      </c>
      <c r="P210" s="23">
        <f t="shared" si="2041"/>
        <v>49.489999999998076</v>
      </c>
      <c r="Q210" s="23">
        <f t="shared" si="2041"/>
        <v>659.07000000000062</v>
      </c>
      <c r="R210" s="23">
        <f t="shared" si="2041"/>
        <v>716.64999999999941</v>
      </c>
      <c r="S210" s="23">
        <f t="shared" si="2041"/>
        <v>416.94999999999527</v>
      </c>
      <c r="T210" s="23">
        <f t="shared" si="2041"/>
        <v>779.76000000000431</v>
      </c>
      <c r="U210" s="23">
        <f t="shared" si="2041"/>
        <v>84.529999999998836</v>
      </c>
      <c r="V210" s="23">
        <f t="shared" si="2041"/>
        <v>113.52000000000044</v>
      </c>
      <c r="W210" s="23">
        <f t="shared" si="2041"/>
        <v>117.52000000000317</v>
      </c>
      <c r="X210" s="23">
        <f t="shared" ref="X210:Y210" si="2042">X209+X205+X201+X199</f>
        <v>80.669999999997117</v>
      </c>
      <c r="Y210" s="23">
        <f t="shared" si="2042"/>
        <v>66.839999999997644</v>
      </c>
      <c r="Z210" s="23">
        <f t="shared" ref="Z210:AA210" si="2043">Z209+Z205+Z201+Z199</f>
        <v>100.43000000000143</v>
      </c>
      <c r="AA210" s="23">
        <f t="shared" si="2043"/>
        <v>38.759999999999053</v>
      </c>
      <c r="AB210" s="24">
        <f t="shared" ref="AA210:AD210" si="2044">AB209+AB205+AB201+AB199</f>
        <v>-260.52626383425718</v>
      </c>
      <c r="AC210" s="24">
        <f t="shared" si="2044"/>
        <v>-626.39475043709126</v>
      </c>
      <c r="AD210" s="24">
        <f t="shared" si="2044"/>
        <v>-1056.8546606884258</v>
      </c>
      <c r="AE210" s="24">
        <f t="shared" ref="AE210" si="2045">AE209+AE205+AE201+AE199</f>
        <v>-1549.9223036224189</v>
      </c>
      <c r="AI210" s="23">
        <f t="shared" ref="AI210" si="2046">AI209+AI205+AI201+AI199</f>
        <v>0</v>
      </c>
      <c r="AJ210" s="23">
        <f t="shared" ref="AJ210:AL210" si="2047">AJ209+AJ205+AJ201+AJ199</f>
        <v>194.36999999999989</v>
      </c>
      <c r="AK210" s="23">
        <f t="shared" si="2047"/>
        <v>-6.7657917165649053</v>
      </c>
      <c r="AL210" s="23">
        <f t="shared" si="2047"/>
        <v>136.81000000000023</v>
      </c>
      <c r="AM210" s="23">
        <f t="shared" ref="AM210" si="2048">AM209+AM205+AM201+AM199</f>
        <v>13.743229201838105</v>
      </c>
      <c r="AN210" s="23">
        <f t="shared" ref="AN210:CD210" si="2049">AN209+AN205+AN201+AN199</f>
        <v>192.16000000000116</v>
      </c>
      <c r="AO210" s="23">
        <f t="shared" si="2049"/>
        <v>38.458724531197504</v>
      </c>
      <c r="AP210" s="23">
        <f t="shared" si="2049"/>
        <v>21.649999999999608</v>
      </c>
      <c r="AQ210" s="23">
        <f t="shared" si="2049"/>
        <v>-86.931346327666901</v>
      </c>
      <c r="AR210" s="23">
        <f t="shared" si="2049"/>
        <v>21.710000000000477</v>
      </c>
      <c r="AS210" s="23">
        <f t="shared" si="2049"/>
        <v>-118.2532275751777</v>
      </c>
      <c r="AT210" s="23">
        <f t="shared" si="2049"/>
        <v>49.489999999999895</v>
      </c>
      <c r="AU210" s="23">
        <f t="shared" si="2049"/>
        <v>-30.947909227386361</v>
      </c>
      <c r="AV210" s="23">
        <f t="shared" si="2049"/>
        <v>341.90000000000089</v>
      </c>
      <c r="AW210" s="23">
        <f t="shared" si="2049"/>
        <v>261.52367941712106</v>
      </c>
      <c r="AX210" s="23">
        <f t="shared" si="2049"/>
        <v>659.06999999999971</v>
      </c>
      <c r="AY210" s="23">
        <f t="shared" si="2049"/>
        <v>551.88283731783258</v>
      </c>
      <c r="AZ210" s="23">
        <f t="shared" si="2049"/>
        <v>897.14999999999918</v>
      </c>
      <c r="BA210" s="23">
        <f t="shared" si="2049"/>
        <v>433.69956215541299</v>
      </c>
      <c r="BB210" s="23">
        <f t="shared" si="2049"/>
        <v>716.65999999999804</v>
      </c>
      <c r="BC210" s="23">
        <f t="shared" si="2049"/>
        <v>213.93437815365456</v>
      </c>
      <c r="BD210" s="23">
        <f t="shared" si="2049"/>
        <v>372.4870000000019</v>
      </c>
      <c r="BE210" s="23">
        <f t="shared" si="2049"/>
        <v>-175.86834006054477</v>
      </c>
      <c r="BF210" s="23">
        <f t="shared" si="2049"/>
        <v>416.95299999999634</v>
      </c>
      <c r="BG210" s="23">
        <f t="shared" si="2049"/>
        <v>-78.624578748820909</v>
      </c>
      <c r="BH210" s="23">
        <f t="shared" si="2049"/>
        <v>341.66000000000224</v>
      </c>
      <c r="BI210" s="23">
        <f t="shared" si="2049"/>
        <v>-81.764892803875966</v>
      </c>
      <c r="BJ210" s="23">
        <f t="shared" si="2049"/>
        <v>779.76000000000272</v>
      </c>
      <c r="BK210" s="23">
        <f t="shared" si="2049"/>
        <v>542.57647584633116</v>
      </c>
      <c r="BL210" s="23">
        <f t="shared" si="2049"/>
        <v>89.700000000000045</v>
      </c>
      <c r="BM210" s="23">
        <f t="shared" si="2049"/>
        <v>-195.43945921952911</v>
      </c>
      <c r="BN210" s="23">
        <f t="shared" si="2049"/>
        <v>84.529999999997017</v>
      </c>
      <c r="BO210" s="23">
        <f t="shared" si="2049"/>
        <v>-994.92187654511713</v>
      </c>
      <c r="BP210" s="23">
        <f t="shared" si="2049"/>
        <v>193.41999999999825</v>
      </c>
      <c r="BQ210" s="23">
        <f t="shared" si="2049"/>
        <v>-83.206254578041211</v>
      </c>
      <c r="BR210" s="23">
        <f t="shared" si="2049"/>
        <v>113.52000000000226</v>
      </c>
      <c r="BS210" s="23">
        <f t="shared" si="2049"/>
        <v>-203.065944815108</v>
      </c>
      <c r="BT210" s="23">
        <f t="shared" si="2049"/>
        <v>123.47000000000037</v>
      </c>
      <c r="BU210" s="23">
        <f t="shared" si="2049"/>
        <v>-169.12783457975209</v>
      </c>
      <c r="BV210" s="23">
        <f t="shared" si="2049"/>
        <v>117.52000000000012</v>
      </c>
      <c r="BW210" s="23">
        <f t="shared" si="2049"/>
        <v>-179.95814722486989</v>
      </c>
      <c r="BX210" s="23">
        <f t="shared" si="2049"/>
        <v>141.39999999999517</v>
      </c>
      <c r="BY210" s="23">
        <f t="shared" si="2049"/>
        <v>-135.46280270834842</v>
      </c>
      <c r="BZ210" s="23">
        <f t="shared" si="2049"/>
        <v>80.670000000004279</v>
      </c>
      <c r="CA210" s="23">
        <f t="shared" si="2049"/>
        <v>-218.60098632777641</v>
      </c>
      <c r="CB210" s="23">
        <f t="shared" si="2049"/>
        <v>87.479999999996551</v>
      </c>
      <c r="CC210" s="23">
        <f t="shared" si="2049"/>
        <v>-216.30854612649051</v>
      </c>
      <c r="CD210" s="23">
        <f t="shared" si="2049"/>
        <v>66.839999999996849</v>
      </c>
      <c r="CE210" s="23">
        <f t="shared" ref="CE210:CF210" si="2050">CE209+CE205+CE201+CE199</f>
        <v>-256.48773516038216</v>
      </c>
      <c r="CF210" s="23">
        <f t="shared" si="2050"/>
        <v>44.360000000004504</v>
      </c>
      <c r="CG210" s="23">
        <f t="shared" ref="CG210:CH210" si="2051">CG209+CG205+CG201+CG199</f>
        <v>-274.29667889374088</v>
      </c>
      <c r="CH210" s="23">
        <f t="shared" si="2051"/>
        <v>100.42999999999773</v>
      </c>
      <c r="CI210" s="23">
        <f t="shared" ref="CI210:CJ210" si="2052">CI209+CI205+CI201+CI199</f>
        <v>-200.18465046874496</v>
      </c>
      <c r="CJ210" s="23">
        <f t="shared" si="2052"/>
        <v>73.099999999998431</v>
      </c>
      <c r="CK210" s="24">
        <f t="shared" ref="CK210:DB210" si="2053">CK209+CK205+CK201+CK199</f>
        <v>-39.099622549190869</v>
      </c>
      <c r="CL210" s="23">
        <f t="shared" si="2053"/>
        <v>38.760000000000787</v>
      </c>
      <c r="CM210" s="24">
        <f t="shared" si="2053"/>
        <v>-52.222890701590948</v>
      </c>
      <c r="CN210" s="24">
        <f t="shared" si="2053"/>
        <v>-128.05682020439303</v>
      </c>
      <c r="CO210" s="24">
        <f t="shared" si="2053"/>
        <v>-192.06150351103315</v>
      </c>
      <c r="CP210" s="24">
        <f t="shared" si="2053"/>
        <v>-260.52626383425729</v>
      </c>
      <c r="CQ210" s="24">
        <f t="shared" si="2053"/>
        <v>-365.92600438892924</v>
      </c>
      <c r="CR210" s="24">
        <f t="shared" si="2053"/>
        <v>-457.12446268475503</v>
      </c>
      <c r="CS210" s="24">
        <f t="shared" si="2053"/>
        <v>-540.44620724503307</v>
      </c>
      <c r="CT210" s="24">
        <f t="shared" si="2053"/>
        <v>-626.39475043709137</v>
      </c>
      <c r="CU210" s="24">
        <f t="shared" si="2053"/>
        <v>-746.09518976699189</v>
      </c>
      <c r="CV210" s="24">
        <f t="shared" si="2053"/>
        <v>-853.2913775368271</v>
      </c>
      <c r="CW210" s="24">
        <f t="shared" si="2053"/>
        <v>-953.88868590231812</v>
      </c>
      <c r="CX210" s="24">
        <f t="shared" si="2053"/>
        <v>-1056.8546606884256</v>
      </c>
      <c r="CY210" s="24">
        <f t="shared" si="2053"/>
        <v>-1190.6187365432329</v>
      </c>
      <c r="CZ210" s="24">
        <f t="shared" si="2053"/>
        <v>-1313.3798485891416</v>
      </c>
      <c r="DA210" s="24">
        <f t="shared" si="2053"/>
        <v>-1430.4651553384554</v>
      </c>
      <c r="DB210" s="24">
        <f t="shared" si="2053"/>
        <v>-1549.9223036224225</v>
      </c>
      <c r="DE210" s="123"/>
      <c r="DF210" s="23">
        <v>38.759999999999195</v>
      </c>
    </row>
    <row r="211" spans="1:110" s="28" customFormat="1" x14ac:dyDescent="0.2">
      <c r="A211" s="28" t="s">
        <v>444</v>
      </c>
      <c r="C211" s="28">
        <f t="shared" ref="C211:W211" si="2054">C210-C161</f>
        <v>-2.7000623958883807E-13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-4.1211478674085811E-13</v>
      </c>
      <c r="H211" s="28">
        <f t="shared" si="2054"/>
        <v>0</v>
      </c>
      <c r="I211" s="28">
        <f t="shared" si="2054"/>
        <v>0</v>
      </c>
      <c r="J211" s="28">
        <f>J210-J161</f>
        <v>1.8474111129762605E-13</v>
      </c>
      <c r="K211" s="28">
        <f t="shared" si="2054"/>
        <v>3.3040237212844659E-13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1.7408297026122455E-12</v>
      </c>
      <c r="P211" s="28">
        <f t="shared" si="2054"/>
        <v>-1.9255708139098715E-12</v>
      </c>
      <c r="Q211" s="28">
        <f t="shared" si="2054"/>
        <v>0</v>
      </c>
      <c r="R211" s="28">
        <f t="shared" si="2054"/>
        <v>0</v>
      </c>
      <c r="S211" s="28">
        <f t="shared" si="2054"/>
        <v>-4.7748471843078732E-12</v>
      </c>
      <c r="T211" s="28">
        <f t="shared" si="2054"/>
        <v>4.3200998334214091E-12</v>
      </c>
      <c r="U211" s="28">
        <f t="shared" si="2054"/>
        <v>-1.1652900866465643E-12</v>
      </c>
      <c r="V211" s="28">
        <f t="shared" si="2054"/>
        <v>4.2632564145606011E-13</v>
      </c>
      <c r="W211" s="28">
        <f t="shared" si="2054"/>
        <v>3.1690206014900468E-12</v>
      </c>
      <c r="X211" s="28">
        <f t="shared" ref="X211:Y211" si="2055">X210-X161</f>
        <v>-2.8848035071860068E-12</v>
      </c>
      <c r="Y211" s="28">
        <f t="shared" si="2055"/>
        <v>-2.3590018827235326E-12</v>
      </c>
      <c r="Z211" s="28">
        <f t="shared" ref="Z211:AA211" si="2056">Z210-Z161</f>
        <v>1.4210854715202004E-12</v>
      </c>
      <c r="AA211" s="28">
        <f t="shared" si="2056"/>
        <v>-9.4502183856093325E-13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3.637978807091713E-12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2.2737367544323206E-13</v>
      </c>
      <c r="AM211" s="28">
        <f t="shared" ref="AM211" si="2061">AM210-AM161</f>
        <v>0</v>
      </c>
      <c r="AN211" s="28">
        <f t="shared" ref="AN211:CD211" si="2062">AN210-AN161</f>
        <v>1.1652900866465643E-12</v>
      </c>
      <c r="AO211" s="28">
        <f t="shared" si="2062"/>
        <v>0</v>
      </c>
      <c r="AP211" s="28">
        <f t="shared" si="2062"/>
        <v>-3.907985046680551E-13</v>
      </c>
      <c r="AQ211" s="28">
        <f t="shared" si="2062"/>
        <v>0</v>
      </c>
      <c r="AR211" s="28">
        <f t="shared" si="2062"/>
        <v>4.7606363295926712E-13</v>
      </c>
      <c r="AS211" s="28">
        <f t="shared" si="2062"/>
        <v>0</v>
      </c>
      <c r="AT211" s="28">
        <f t="shared" si="2062"/>
        <v>-1.0658141036401503E-13</v>
      </c>
      <c r="AU211" s="28">
        <f t="shared" si="2062"/>
        <v>0</v>
      </c>
      <c r="AV211" s="28">
        <f t="shared" si="2062"/>
        <v>9.0949470177292824E-13</v>
      </c>
      <c r="AW211" s="28">
        <f t="shared" si="2062"/>
        <v>0</v>
      </c>
      <c r="AX211" s="28">
        <f t="shared" si="2062"/>
        <v>0</v>
      </c>
      <c r="AY211" s="28">
        <f t="shared" si="2062"/>
        <v>0</v>
      </c>
      <c r="AZ211" s="28">
        <f t="shared" si="2062"/>
        <v>0</v>
      </c>
      <c r="BA211" s="28">
        <f t="shared" si="2062"/>
        <v>0</v>
      </c>
      <c r="BB211" s="28">
        <f t="shared" si="2062"/>
        <v>9.9999999980582288E-3</v>
      </c>
      <c r="BC211" s="28">
        <f t="shared" si="2062"/>
        <v>0</v>
      </c>
      <c r="BD211" s="28">
        <f t="shared" si="2062"/>
        <v>-1.2999999998100975E-2</v>
      </c>
      <c r="BE211" s="28">
        <f t="shared" si="2062"/>
        <v>0</v>
      </c>
      <c r="BF211" s="28">
        <f t="shared" si="2062"/>
        <v>2.9999999962910806E-3</v>
      </c>
      <c r="BG211" s="28">
        <f t="shared" si="2062"/>
        <v>0</v>
      </c>
      <c r="BH211" s="28">
        <f t="shared" si="2062"/>
        <v>2.2168933355715126E-12</v>
      </c>
      <c r="BI211" s="28">
        <f t="shared" si="2062"/>
        <v>0</v>
      </c>
      <c r="BJ211" s="28">
        <f t="shared" si="2062"/>
        <v>2.7284841053187847E-12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-2.9842794901924208E-12</v>
      </c>
      <c r="BO211" s="28">
        <f t="shared" si="2062"/>
        <v>0</v>
      </c>
      <c r="BP211" s="28">
        <f t="shared" si="2062"/>
        <v>-1.7337242752546445E-12</v>
      </c>
      <c r="BQ211" s="28">
        <f t="shared" si="2062"/>
        <v>0</v>
      </c>
      <c r="BR211" s="28">
        <f t="shared" si="2062"/>
        <v>2.2453150450019166E-12</v>
      </c>
      <c r="BS211" s="28">
        <f t="shared" si="2062"/>
        <v>0</v>
      </c>
      <c r="BT211" s="28">
        <f t="shared" si="2062"/>
        <v>3.694822225952521E-13</v>
      </c>
      <c r="BU211" s="28">
        <f t="shared" si="2062"/>
        <v>0</v>
      </c>
      <c r="BV211" s="28">
        <f t="shared" si="2062"/>
        <v>1.2789769243681803E-13</v>
      </c>
      <c r="BW211" s="28">
        <f t="shared" si="2062"/>
        <v>0</v>
      </c>
      <c r="BX211" s="28">
        <f t="shared" si="2062"/>
        <v>-4.8316906031686813E-12</v>
      </c>
      <c r="BY211" s="28">
        <f t="shared" si="2062"/>
        <v>0</v>
      </c>
      <c r="BZ211" s="28">
        <f t="shared" si="2062"/>
        <v>4.2774672692758031E-12</v>
      </c>
      <c r="CA211" s="28">
        <f t="shared" si="2062"/>
        <v>0</v>
      </c>
      <c r="CB211" s="28">
        <f t="shared" si="2062"/>
        <v>-3.4532376957940869E-12</v>
      </c>
      <c r="CC211" s="28">
        <f t="shared" si="2062"/>
        <v>0</v>
      </c>
      <c r="CD211" s="28">
        <f t="shared" si="2062"/>
        <v>-3.1548097467748448E-12</v>
      </c>
      <c r="CE211" s="28">
        <f t="shared" ref="CE211:CF211" si="2063">CE210-CE161</f>
        <v>0</v>
      </c>
      <c r="CF211" s="28">
        <f t="shared" si="2063"/>
        <v>4.5048409447190352E-12</v>
      </c>
      <c r="CG211" s="28">
        <f t="shared" ref="CG211:CH211" si="2064">CG210-CG161</f>
        <v>0</v>
      </c>
      <c r="CH211" s="28">
        <f t="shared" si="2064"/>
        <v>-2.2737367544323206E-12</v>
      </c>
      <c r="CI211" s="28">
        <f t="shared" ref="CI211:CJ211" si="2065">CI210-CI161</f>
        <v>0</v>
      </c>
      <c r="CJ211" s="28">
        <f t="shared" si="2065"/>
        <v>-1.5631940186722204E-12</v>
      </c>
      <c r="CK211" s="30">
        <f t="shared" ref="CK211:DB211" si="2066">CK210-CK161</f>
        <v>0</v>
      </c>
      <c r="CL211" s="28">
        <f t="shared" si="2066"/>
        <v>7.8870243669371121E-13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-8.0291329140891321E-13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-1.2988999999999464</v>
      </c>
      <c r="D213" s="22">
        <f t="shared" si="2067"/>
        <v>-281.54999999999984</v>
      </c>
      <c r="E213" s="22">
        <f t="shared" si="2067"/>
        <v>-841.8000000000003</v>
      </c>
      <c r="F213" s="22">
        <f t="shared" si="2067"/>
        <v>-555.77999999999986</v>
      </c>
      <c r="G213" s="22">
        <f t="shared" si="2067"/>
        <v>-370.79</v>
      </c>
      <c r="H213" s="22">
        <f t="shared" si="2067"/>
        <v>-347.80999999999966</v>
      </c>
      <c r="I213" s="22">
        <f t="shared" si="2067"/>
        <v>-893.50999999999988</v>
      </c>
      <c r="J213" s="22">
        <f>J199+J201</f>
        <v>-706.25000000000023</v>
      </c>
      <c r="K213" s="22">
        <f t="shared" si="2067"/>
        <v>-610.16</v>
      </c>
      <c r="L213" s="22">
        <f t="shared" si="2067"/>
        <v>-660.97000000000014</v>
      </c>
      <c r="M213" s="22">
        <f t="shared" si="2067"/>
        <v>-732.72999999999934</v>
      </c>
      <c r="N213" s="22">
        <f t="shared" si="2067"/>
        <v>-799.59999999999934</v>
      </c>
      <c r="O213" s="22">
        <f t="shared" si="2067"/>
        <v>-388.04999999999927</v>
      </c>
      <c r="P213" s="22">
        <f t="shared" si="2067"/>
        <v>-862.39000000000146</v>
      </c>
      <c r="Q213" s="22">
        <f t="shared" si="2067"/>
        <v>-2974.079999999999</v>
      </c>
      <c r="R213" s="22">
        <f t="shared" si="2067"/>
        <v>-4942.1499999999996</v>
      </c>
      <c r="S213" s="22">
        <f t="shared" si="2067"/>
        <v>-249.8700000000008</v>
      </c>
      <c r="T213" s="22">
        <f t="shared" si="2067"/>
        <v>-1611.3100000000002</v>
      </c>
      <c r="U213" s="22">
        <f t="shared" si="2067"/>
        <v>-1906.1699999999996</v>
      </c>
      <c r="V213" s="22">
        <f t="shared" si="2067"/>
        <v>-3683.8299999999995</v>
      </c>
      <c r="W213" s="22">
        <f t="shared" si="2067"/>
        <v>-1144.0200000000009</v>
      </c>
      <c r="X213" s="22">
        <f t="shared" ref="X213:Y213" si="2068">X199+X201</f>
        <v>-1080.829999999999</v>
      </c>
      <c r="Y213" s="22">
        <f t="shared" si="2068"/>
        <v>-1173.1199999999997</v>
      </c>
      <c r="Z213" s="22">
        <f t="shared" ref="Z213:AA213" si="2069">Z199+Z201</f>
        <v>-1312.1299999999997</v>
      </c>
      <c r="AA213" s="22">
        <f t="shared" si="2069"/>
        <v>-184.7600000000011</v>
      </c>
      <c r="AB213" s="21">
        <f t="shared" ref="AA213:AD213" si="2070">AB199+AB201</f>
        <v>-299.28626383425717</v>
      </c>
      <c r="AC213" s="21">
        <f t="shared" si="2070"/>
        <v>-365.86848660283397</v>
      </c>
      <c r="AD213" s="21">
        <f t="shared" si="2070"/>
        <v>-430.45991025133446</v>
      </c>
      <c r="AE213" s="21">
        <f t="shared" ref="AE213" si="2071">AE199+AE201</f>
        <v>-493.06764293399334</v>
      </c>
      <c r="AI213" s="22">
        <f t="shared" ref="AI213" si="2072">AI199+AI201</f>
        <v>-162.66000000000008</v>
      </c>
      <c r="AJ213" s="22">
        <f t="shared" ref="AJ213:AL213" si="2073">AJ199+AJ201</f>
        <v>-4169.3900000000003</v>
      </c>
      <c r="AK213" s="22">
        <f t="shared" si="2073"/>
        <v>-201.13579171656491</v>
      </c>
      <c r="AL213" s="22">
        <f t="shared" si="2073"/>
        <v>-164.92420828343444</v>
      </c>
      <c r="AM213" s="22">
        <f t="shared" ref="AM213" si="2074">AM199+AM201</f>
        <v>-123.06677079816212</v>
      </c>
      <c r="AN213" s="22">
        <f t="shared" ref="AN213:CD213" si="2075">AN199+AN201</f>
        <v>-157.07322920183742</v>
      </c>
      <c r="AO213" s="22">
        <f t="shared" si="2075"/>
        <v>-153.70127546880295</v>
      </c>
      <c r="AP213" s="22">
        <f t="shared" si="2075"/>
        <v>151.36127546880263</v>
      </c>
      <c r="AQ213" s="22">
        <f t="shared" si="2075"/>
        <v>-108.58134632766691</v>
      </c>
      <c r="AR213" s="22">
        <f t="shared" si="2075"/>
        <v>128.5913463276672</v>
      </c>
      <c r="AS213" s="22">
        <f t="shared" si="2075"/>
        <v>-139.96322757517817</v>
      </c>
      <c r="AT213" s="22">
        <f t="shared" si="2075"/>
        <v>-487.19677242482203</v>
      </c>
      <c r="AU213" s="22">
        <f t="shared" si="2075"/>
        <v>-80.437909227386825</v>
      </c>
      <c r="AV213" s="22">
        <f t="shared" si="2075"/>
        <v>-3043.4820907726134</v>
      </c>
      <c r="AW213" s="22">
        <f t="shared" si="2075"/>
        <v>-80.376320582878463</v>
      </c>
      <c r="AX213" s="22">
        <f t="shared" si="2075"/>
        <v>585.39632058287862</v>
      </c>
      <c r="AY213" s="22">
        <f t="shared" si="2075"/>
        <v>-107.18716268216792</v>
      </c>
      <c r="AZ213" s="22">
        <f t="shared" si="2075"/>
        <v>251.62716268216809</v>
      </c>
      <c r="BA213" s="22">
        <f t="shared" si="2075"/>
        <v>-463.45043784458699</v>
      </c>
      <c r="BB213" s="22">
        <f t="shared" si="2075"/>
        <v>-4365.5795621554134</v>
      </c>
      <c r="BC213" s="22">
        <f t="shared" si="2075"/>
        <v>-502.71562184634541</v>
      </c>
      <c r="BD213" s="22">
        <f t="shared" si="2075"/>
        <v>750.36262184634506</v>
      </c>
      <c r="BE213" s="22">
        <f t="shared" si="2075"/>
        <v>-548.36834006054482</v>
      </c>
      <c r="BF213" s="22">
        <f t="shared" si="2075"/>
        <v>1208.4613400605442</v>
      </c>
      <c r="BG213" s="22">
        <f t="shared" si="2075"/>
        <v>-495.57457874882095</v>
      </c>
      <c r="BH213" s="22">
        <f t="shared" si="2075"/>
        <v>-168.37542125117852</v>
      </c>
      <c r="BI213" s="22">
        <f t="shared" si="2075"/>
        <v>-423.42489280387781</v>
      </c>
      <c r="BJ213" s="22">
        <f t="shared" si="2075"/>
        <v>972.48489280387787</v>
      </c>
      <c r="BK213" s="22">
        <f t="shared" si="2075"/>
        <v>-237.18352415367065</v>
      </c>
      <c r="BL213" s="22">
        <f t="shared" si="2075"/>
        <v>-897.61647584632908</v>
      </c>
      <c r="BM213" s="22">
        <f t="shared" si="2075"/>
        <v>-285.13945921953092</v>
      </c>
      <c r="BN213" s="22">
        <f t="shared" si="2075"/>
        <v>1832.7794592195291</v>
      </c>
      <c r="BO213" s="22">
        <f t="shared" si="2075"/>
        <v>-1079.4518765451171</v>
      </c>
      <c r="BP213" s="22">
        <f t="shared" si="2075"/>
        <v>-3973.7081234548818</v>
      </c>
      <c r="BQ213" s="22">
        <f t="shared" si="2075"/>
        <v>-276.6262545780412</v>
      </c>
      <c r="BR213" s="22">
        <f t="shared" si="2075"/>
        <v>-4578.8337454219582</v>
      </c>
      <c r="BS213" s="22">
        <f t="shared" si="2075"/>
        <v>-316.58594481510801</v>
      </c>
      <c r="BT213" s="22">
        <f t="shared" si="2075"/>
        <v>-274.14405518489195</v>
      </c>
      <c r="BU213" s="22">
        <f t="shared" si="2075"/>
        <v>-292.59783457975209</v>
      </c>
      <c r="BV213" s="22">
        <f t="shared" si="2075"/>
        <v>-260.69216542024799</v>
      </c>
      <c r="BW213" s="22">
        <f t="shared" si="2075"/>
        <v>-297.47814722486987</v>
      </c>
      <c r="BX213" s="22">
        <f t="shared" si="2075"/>
        <v>-227.42185277513013</v>
      </c>
      <c r="BY213" s="22">
        <f t="shared" si="2075"/>
        <v>-276.86280270834845</v>
      </c>
      <c r="BZ213" s="22">
        <f t="shared" si="2075"/>
        <v>-279.06719729165167</v>
      </c>
      <c r="CA213" s="22">
        <f t="shared" si="2075"/>
        <v>-299.27098632777643</v>
      </c>
      <c r="CB213" s="22">
        <f t="shared" si="2075"/>
        <v>-280.34901367222369</v>
      </c>
      <c r="CC213" s="22">
        <f t="shared" si="2075"/>
        <v>-303.78854612649053</v>
      </c>
      <c r="CD213" s="22">
        <f t="shared" si="2075"/>
        <v>-289.71145387350958</v>
      </c>
      <c r="CE213" s="22">
        <f t="shared" ref="CE213:CF213" si="2076">CE199+CE201</f>
        <v>-323.32773516038219</v>
      </c>
      <c r="CF213" s="22">
        <f t="shared" si="2076"/>
        <v>-366.69226483961785</v>
      </c>
      <c r="CG213" s="22">
        <f t="shared" ref="CG213:CH213" si="2077">CG199+CG201</f>
        <v>-318.65667889374089</v>
      </c>
      <c r="CH213" s="22">
        <f t="shared" si="2077"/>
        <v>-303.45332110625804</v>
      </c>
      <c r="CI213" s="22">
        <f t="shared" ref="CI213:CJ213" si="2078">CI199+CI201</f>
        <v>-300.61465046874497</v>
      </c>
      <c r="CJ213" s="22">
        <f t="shared" si="2078"/>
        <v>-301.51534953125588</v>
      </c>
      <c r="CK213" s="21">
        <f t="shared" ref="CK213:DB213" si="2079">CK199+CK201</f>
        <v>-112.19962254919086</v>
      </c>
      <c r="CL213" s="22">
        <f t="shared" si="2079"/>
        <v>529.56962254919074</v>
      </c>
      <c r="CM213" s="21">
        <f t="shared" si="2079"/>
        <v>-90.982890701590946</v>
      </c>
      <c r="CN213" s="21">
        <f t="shared" si="2079"/>
        <v>-75.833929502802079</v>
      </c>
      <c r="CO213" s="21">
        <f t="shared" si="2079"/>
        <v>-64.004683306640118</v>
      </c>
      <c r="CP213" s="21">
        <f t="shared" si="2079"/>
        <v>-68.464760323224141</v>
      </c>
      <c r="CQ213" s="21">
        <f t="shared" si="2079"/>
        <v>-105.39974055467195</v>
      </c>
      <c r="CR213" s="21">
        <f t="shared" si="2079"/>
        <v>-91.198458295825759</v>
      </c>
      <c r="CS213" s="21">
        <f t="shared" si="2079"/>
        <v>-83.321744560277978</v>
      </c>
      <c r="CT213" s="21">
        <f t="shared" si="2079"/>
        <v>-85.94854319205831</v>
      </c>
      <c r="CU213" s="21">
        <f t="shared" si="2079"/>
        <v>-119.70043932990055</v>
      </c>
      <c r="CV213" s="21">
        <f t="shared" si="2079"/>
        <v>-107.19618776983516</v>
      </c>
      <c r="CW213" s="21">
        <f t="shared" si="2079"/>
        <v>-100.59730836549099</v>
      </c>
      <c r="CX213" s="21">
        <f t="shared" si="2079"/>
        <v>-102.96597478610752</v>
      </c>
      <c r="CY213" s="21">
        <f t="shared" si="2079"/>
        <v>-133.76407585480362</v>
      </c>
      <c r="CZ213" s="21">
        <f t="shared" si="2079"/>
        <v>-122.7611120459087</v>
      </c>
      <c r="DA213" s="21">
        <f t="shared" si="2079"/>
        <v>-117.08530674931386</v>
      </c>
      <c r="DB213" s="21">
        <f t="shared" si="2079"/>
        <v>-119.45714828396717</v>
      </c>
      <c r="DE213" s="126"/>
      <c r="DF213" s="22">
        <v>-184.76000000000096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2621.47</v>
      </c>
      <c r="AM225" s="66">
        <f t="shared" si="2080"/>
        <v>2662.8</v>
      </c>
      <c r="AN225" s="66">
        <f t="shared" si="2080"/>
        <v>2697.62</v>
      </c>
      <c r="AO225" s="66">
        <f t="shared" si="2080"/>
        <v>2728.8799999999997</v>
      </c>
      <c r="AP225" s="66">
        <f t="shared" si="2080"/>
        <v>2733.63</v>
      </c>
      <c r="AQ225" s="66">
        <f t="shared" si="2080"/>
        <v>2753.7</v>
      </c>
      <c r="AR225" s="66">
        <f t="shared" si="2080"/>
        <v>2776.25</v>
      </c>
      <c r="AS225" s="66">
        <f t="shared" si="2080"/>
        <v>2832.65</v>
      </c>
      <c r="AT225" s="66">
        <f t="shared" si="2080"/>
        <v>2892.75</v>
      </c>
      <c r="AU225" s="66">
        <f t="shared" si="2080"/>
        <v>2935.67</v>
      </c>
      <c r="AV225" s="66">
        <f t="shared" si="2080"/>
        <v>2981.97</v>
      </c>
      <c r="AW225" s="66">
        <f t="shared" si="2080"/>
        <v>2985.29</v>
      </c>
      <c r="AX225" s="66">
        <f t="shared" si="2080"/>
        <v>2972.09</v>
      </c>
      <c r="AY225" s="66">
        <f t="shared" si="2080"/>
        <v>2956.27</v>
      </c>
      <c r="AZ225" s="66">
        <f t="shared" si="2080"/>
        <v>2922.44</v>
      </c>
      <c r="BA225" s="66">
        <f t="shared" si="2080"/>
        <v>2824.38</v>
      </c>
      <c r="BB225" s="66">
        <f t="shared" si="2080"/>
        <v>2688.0699999999997</v>
      </c>
      <c r="BC225" s="66">
        <f t="shared" si="2080"/>
        <v>2506.25</v>
      </c>
      <c r="BD225" s="66">
        <f t="shared" si="2080"/>
        <v>2308.7600000000002</v>
      </c>
      <c r="BE225" s="66">
        <f t="shared" si="2080"/>
        <v>2083.3200000000002</v>
      </c>
      <c r="BF225" s="66">
        <f t="shared" si="2080"/>
        <v>1868.51</v>
      </c>
      <c r="BG225" s="66">
        <f t="shared" si="2080"/>
        <v>1649.8700000000001</v>
      </c>
      <c r="BH225" s="66">
        <f t="shared" si="2080"/>
        <v>1456.3899999999999</v>
      </c>
      <c r="BI225" s="66">
        <f t="shared" si="2080"/>
        <v>1343.44</v>
      </c>
      <c r="BJ225" s="66">
        <f t="shared" si="2080"/>
        <v>1277.2</v>
      </c>
      <c r="BK225" s="66">
        <f t="shared" si="2080"/>
        <v>1236.2</v>
      </c>
      <c r="BL225" s="66">
        <f t="shared" si="2080"/>
        <v>1184.71</v>
      </c>
      <c r="BM225" s="66">
        <f t="shared" si="2080"/>
        <v>1134.3400000000001</v>
      </c>
      <c r="BN225" s="66">
        <f t="shared" si="2080"/>
        <v>1077.7399999999998</v>
      </c>
      <c r="BO225" s="66">
        <f t="shared" si="2080"/>
        <v>1027.5900000000001</v>
      </c>
      <c r="BP225" s="66">
        <f t="shared" si="2080"/>
        <v>1013.9000000000001</v>
      </c>
      <c r="BQ225" s="66">
        <f t="shared" si="2080"/>
        <v>1037.25</v>
      </c>
      <c r="BR225" s="66">
        <f t="shared" ref="BR225:CW225" si="2081">SUM(BO10:BR10)</f>
        <v>1043.6600000000001</v>
      </c>
      <c r="BS225" s="66">
        <f t="shared" si="2081"/>
        <v>1068.3900000000001</v>
      </c>
      <c r="BT225" s="66">
        <f t="shared" si="2081"/>
        <v>1080.5</v>
      </c>
      <c r="BU225" s="66">
        <f t="shared" si="2081"/>
        <v>1086.31</v>
      </c>
      <c r="BV225" s="66">
        <f t="shared" si="2081"/>
        <v>1093.8</v>
      </c>
      <c r="BW225" s="66">
        <f t="shared" si="2081"/>
        <v>1092.25</v>
      </c>
      <c r="BX225" s="66">
        <f t="shared" si="2081"/>
        <v>1101.1400000000001</v>
      </c>
      <c r="BY225" s="66">
        <f t="shared" si="2081"/>
        <v>1098.8200000000002</v>
      </c>
      <c r="BZ225" s="66">
        <f t="shared" si="2081"/>
        <v>1106.17</v>
      </c>
      <c r="CA225" s="66">
        <f t="shared" si="2081"/>
        <v>1125.1999999999998</v>
      </c>
      <c r="CB225" s="66">
        <f t="shared" si="2081"/>
        <v>1134.3599999999999</v>
      </c>
      <c r="CC225" s="66">
        <f t="shared" si="2081"/>
        <v>1148.49</v>
      </c>
      <c r="CD225" s="66">
        <f t="shared" si="2081"/>
        <v>1191.6499999999999</v>
      </c>
      <c r="CE225" s="66">
        <f t="shared" si="2081"/>
        <v>1229.6399999999999</v>
      </c>
      <c r="CF225" s="66">
        <f t="shared" si="2081"/>
        <v>1286.32</v>
      </c>
      <c r="CG225" s="66">
        <f t="shared" si="2081"/>
        <v>1323.06</v>
      </c>
      <c r="CH225" s="66">
        <f t="shared" si="2081"/>
        <v>1308.04</v>
      </c>
      <c r="CI225" s="66">
        <f t="shared" si="2081"/>
        <v>1268.79</v>
      </c>
      <c r="CJ225" s="66">
        <f t="shared" si="2081"/>
        <v>1211.42</v>
      </c>
      <c r="CK225" s="50">
        <f t="shared" si="2081"/>
        <v>1172.96</v>
      </c>
      <c r="CL225" s="66">
        <f t="shared" si="2081"/>
        <v>1160.23</v>
      </c>
      <c r="CM225" s="50">
        <f t="shared" si="2081"/>
        <v>1128.5918725092074</v>
      </c>
      <c r="CN225" s="50">
        <f t="shared" si="2081"/>
        <v>1097.4616308702753</v>
      </c>
      <c r="CO225" s="50">
        <f t="shared" si="2081"/>
        <v>1069.724994517635</v>
      </c>
      <c r="CP225" s="50">
        <f t="shared" si="2081"/>
        <v>1043.4485832616642</v>
      </c>
      <c r="CQ225" s="50">
        <f t="shared" si="2081"/>
        <v>1017.9818846981275</v>
      </c>
      <c r="CR225" s="50">
        <f t="shared" si="2081"/>
        <v>992.94321298090279</v>
      </c>
      <c r="CS225" s="50">
        <f t="shared" si="2081"/>
        <v>967.47497593300591</v>
      </c>
      <c r="CT225" s="50">
        <f t="shared" si="2081"/>
        <v>941.6624490887823</v>
      </c>
      <c r="CU225" s="50">
        <f t="shared" si="2081"/>
        <v>919.49266903848388</v>
      </c>
      <c r="CV225" s="50">
        <f t="shared" si="2081"/>
        <v>897.23269438802004</v>
      </c>
      <c r="CW225" s="50">
        <f t="shared" si="2081"/>
        <v>873.97789901399938</v>
      </c>
      <c r="CX225" s="50">
        <f t="shared" ref="CX225:DB225" si="2082">SUM(CU10:CX10)</f>
        <v>850.44135750127225</v>
      </c>
      <c r="CY225" s="50">
        <f t="shared" si="2082"/>
        <v>830.58281466366952</v>
      </c>
      <c r="CZ225" s="50">
        <f t="shared" si="2082"/>
        <v>810.49754400422728</v>
      </c>
      <c r="DA225" s="50">
        <f t="shared" si="2082"/>
        <v>789.43605058350931</v>
      </c>
      <c r="DB225" s="50">
        <f t="shared" si="2082"/>
        <v>768.16246565032679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436.30999999999995</v>
      </c>
      <c r="AM226" s="66">
        <f t="shared" si="2083"/>
        <v>471.79999999999995</v>
      </c>
      <c r="AN226" s="66">
        <f t="shared" si="2083"/>
        <v>493.4899999999999</v>
      </c>
      <c r="AO226" s="66">
        <f t="shared" si="2083"/>
        <v>537.02999999999963</v>
      </c>
      <c r="AP226" s="66">
        <f t="shared" si="2083"/>
        <v>526.80999999999972</v>
      </c>
      <c r="AQ226" s="66">
        <f t="shared" si="2083"/>
        <v>535.17999999999972</v>
      </c>
      <c r="AR226" s="66">
        <f t="shared" si="2083"/>
        <v>542.2099999999997</v>
      </c>
      <c r="AS226" s="66">
        <f t="shared" si="2083"/>
        <v>571.94999999999982</v>
      </c>
      <c r="AT226" s="66">
        <f t="shared" si="2083"/>
        <v>600.19999999999982</v>
      </c>
      <c r="AU226" s="66">
        <f t="shared" si="2083"/>
        <v>647.4899999999999</v>
      </c>
      <c r="AV226" s="66">
        <f t="shared" si="2083"/>
        <v>705.97</v>
      </c>
      <c r="AW226" s="66">
        <f t="shared" si="2083"/>
        <v>765.46</v>
      </c>
      <c r="AX226" s="66">
        <f t="shared" si="2083"/>
        <v>721.55000000000007</v>
      </c>
      <c r="AY226" s="66">
        <f t="shared" si="2083"/>
        <v>726.13</v>
      </c>
      <c r="AZ226" s="66">
        <f t="shared" si="2083"/>
        <v>706.79</v>
      </c>
      <c r="BA226" s="66">
        <f t="shared" si="2083"/>
        <v>652.4799999999999</v>
      </c>
      <c r="BB226" s="66">
        <f t="shared" si="2083"/>
        <v>645.53999999999985</v>
      </c>
      <c r="BC226" s="66">
        <f t="shared" si="2083"/>
        <v>549.71</v>
      </c>
      <c r="BD226" s="66">
        <f t="shared" si="2083"/>
        <v>505.13000000000011</v>
      </c>
      <c r="BE226" s="66">
        <f t="shared" si="2083"/>
        <v>384.61000000000013</v>
      </c>
      <c r="BF226" s="66">
        <f t="shared" si="2083"/>
        <v>134.94000000000011</v>
      </c>
      <c r="BG226" s="66">
        <f t="shared" si="2083"/>
        <v>52.360000000000014</v>
      </c>
      <c r="BH226" s="66">
        <f t="shared" si="2083"/>
        <v>-31.35000000000008</v>
      </c>
      <c r="BI226" s="66">
        <f t="shared" si="2083"/>
        <v>5.5399999999999352</v>
      </c>
      <c r="BJ226" s="66">
        <f t="shared" si="2083"/>
        <v>654.2299999999999</v>
      </c>
      <c r="BK226" s="66">
        <f t="shared" si="2083"/>
        <v>668.68999999999994</v>
      </c>
      <c r="BL226" s="66">
        <f t="shared" si="2083"/>
        <v>751.64</v>
      </c>
      <c r="BM226" s="66">
        <f t="shared" si="2083"/>
        <v>811.69</v>
      </c>
      <c r="BN226" s="66">
        <f t="shared" si="2083"/>
        <v>421.61</v>
      </c>
      <c r="BO226" s="66">
        <f t="shared" si="2083"/>
        <v>488.66</v>
      </c>
      <c r="BP226" s="66">
        <f t="shared" si="2083"/>
        <v>484.47000000000008</v>
      </c>
      <c r="BQ226" s="66">
        <f t="shared" si="2083"/>
        <v>482.24000000000007</v>
      </c>
      <c r="BR226" s="66">
        <f t="shared" ref="BR226:CW226" si="2084">SUM(BO28:BR28)</f>
        <v>488.8900000000001</v>
      </c>
      <c r="BS226" s="66">
        <f t="shared" si="2084"/>
        <v>488.15000000000003</v>
      </c>
      <c r="BT226" s="66">
        <f t="shared" si="2084"/>
        <v>483.75</v>
      </c>
      <c r="BU226" s="66">
        <f t="shared" si="2084"/>
        <v>471.63</v>
      </c>
      <c r="BV226" s="66">
        <f t="shared" si="2084"/>
        <v>467.62999999999994</v>
      </c>
      <c r="BW226" s="66">
        <f t="shared" si="2084"/>
        <v>467.71999999999991</v>
      </c>
      <c r="BX226" s="66">
        <f t="shared" si="2084"/>
        <v>472.85</v>
      </c>
      <c r="BY226" s="66">
        <f t="shared" si="2084"/>
        <v>482.23</v>
      </c>
      <c r="BZ226" s="66">
        <f t="shared" si="2084"/>
        <v>492.5</v>
      </c>
      <c r="CA226" s="66">
        <f t="shared" si="2084"/>
        <v>500.25</v>
      </c>
      <c r="CB226" s="66">
        <f t="shared" si="2084"/>
        <v>506.89</v>
      </c>
      <c r="CC226" s="66">
        <f t="shared" si="2084"/>
        <v>517.19999999999993</v>
      </c>
      <c r="CD226" s="66">
        <f t="shared" si="2084"/>
        <v>527.41999999999996</v>
      </c>
      <c r="CE226" s="66">
        <f t="shared" si="2084"/>
        <v>537.52</v>
      </c>
      <c r="CF226" s="66">
        <f t="shared" si="2084"/>
        <v>549.21</v>
      </c>
      <c r="CG226" s="66">
        <f t="shared" si="2084"/>
        <v>561.74</v>
      </c>
      <c r="CH226" s="66">
        <f t="shared" si="2084"/>
        <v>570.78</v>
      </c>
      <c r="CI226" s="66">
        <f t="shared" si="2084"/>
        <v>580.61999999999989</v>
      </c>
      <c r="CJ226" s="66">
        <f t="shared" si="2084"/>
        <v>581.31999999999994</v>
      </c>
      <c r="CK226" s="50">
        <f t="shared" si="2084"/>
        <v>606.29</v>
      </c>
      <c r="CL226" s="66">
        <f t="shared" si="2084"/>
        <v>617.41000000000008</v>
      </c>
      <c r="CM226" s="50">
        <f t="shared" si="2084"/>
        <v>606.99480511649278</v>
      </c>
      <c r="CN226" s="50">
        <f t="shared" si="2084"/>
        <v>606.07504249543229</v>
      </c>
      <c r="CO226" s="50">
        <f t="shared" si="2084"/>
        <v>579.16375798846127</v>
      </c>
      <c r="CP226" s="50">
        <f t="shared" si="2084"/>
        <v>563.8753186185163</v>
      </c>
      <c r="CQ226" s="50">
        <f t="shared" si="2084"/>
        <v>552.30435887963642</v>
      </c>
      <c r="CR226" s="50">
        <f t="shared" si="2084"/>
        <v>540.04703455785977</v>
      </c>
      <c r="CS226" s="50">
        <f t="shared" si="2084"/>
        <v>524.24879101012471</v>
      </c>
      <c r="CT226" s="50">
        <f t="shared" si="2084"/>
        <v>510.45776170569962</v>
      </c>
      <c r="CU226" s="50">
        <f t="shared" si="2084"/>
        <v>498.8527043072425</v>
      </c>
      <c r="CV226" s="50">
        <f t="shared" si="2084"/>
        <v>486.80032547809265</v>
      </c>
      <c r="CW226" s="50">
        <f t="shared" si="2084"/>
        <v>473.90214112660601</v>
      </c>
      <c r="CX226" s="50">
        <f t="shared" ref="CX226:DB226" si="2085">SUM(CU28:CX28)</f>
        <v>461.22959868062821</v>
      </c>
      <c r="CY226" s="50">
        <f t="shared" si="2085"/>
        <v>450.51699103730908</v>
      </c>
      <c r="CZ226" s="50">
        <f t="shared" si="2085"/>
        <v>439.60108773412679</v>
      </c>
      <c r="DA226" s="50">
        <f t="shared" si="2085"/>
        <v>428.14386916837464</v>
      </c>
      <c r="DB226" s="50">
        <f t="shared" si="2085"/>
        <v>416.6277905759556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-658.76</v>
      </c>
      <c r="AM227" s="66">
        <f t="shared" si="2086"/>
        <v>-622.99</v>
      </c>
      <c r="AN227" s="66">
        <f t="shared" si="2086"/>
        <v>-604.5100000000001</v>
      </c>
      <c r="AO227" s="66">
        <f t="shared" si="2086"/>
        <v>-563.71000000000038</v>
      </c>
      <c r="AP227" s="66">
        <f t="shared" si="2086"/>
        <v>-560.09000000000037</v>
      </c>
      <c r="AQ227" s="66">
        <f t="shared" si="2086"/>
        <v>-556.11000000000035</v>
      </c>
      <c r="AR227" s="66">
        <f t="shared" si="2086"/>
        <v>-550.26000000000033</v>
      </c>
      <c r="AS227" s="66">
        <f t="shared" si="2086"/>
        <v>-562.97000000000025</v>
      </c>
      <c r="AT227" s="66">
        <f t="shared" si="2086"/>
        <v>-615.24000000000024</v>
      </c>
      <c r="AU227" s="66">
        <f t="shared" si="2086"/>
        <v>-575.86000000000013</v>
      </c>
      <c r="AV227" s="66">
        <f t="shared" si="2086"/>
        <v>-592.18000000000006</v>
      </c>
      <c r="AW227" s="66">
        <f t="shared" si="2086"/>
        <v>-500.25</v>
      </c>
      <c r="AX227" s="66">
        <f t="shared" si="2086"/>
        <v>-358.34999999999997</v>
      </c>
      <c r="AY227" s="66">
        <f t="shared" si="2086"/>
        <v>-382.89</v>
      </c>
      <c r="AZ227" s="66">
        <f t="shared" si="2086"/>
        <v>-675.32</v>
      </c>
      <c r="BA227" s="66">
        <f t="shared" si="2086"/>
        <v>-1012.9200000000001</v>
      </c>
      <c r="BB227" s="66">
        <f t="shared" si="2086"/>
        <v>-1397.69</v>
      </c>
      <c r="BC227" s="66">
        <f t="shared" si="2086"/>
        <v>-1771.0500000000002</v>
      </c>
      <c r="BD227" s="66">
        <f t="shared" si="2086"/>
        <v>-1792.6</v>
      </c>
      <c r="BE227" s="66">
        <f t="shared" si="2086"/>
        <v>-1762.9499999999998</v>
      </c>
      <c r="BF227" s="66">
        <f t="shared" si="2086"/>
        <v>-1900.3199999999997</v>
      </c>
      <c r="BG227" s="66">
        <f t="shared" si="2086"/>
        <v>-1783.02</v>
      </c>
      <c r="BH227" s="66">
        <f t="shared" si="2086"/>
        <v>-1653.2700000000002</v>
      </c>
      <c r="BI227" s="66">
        <f t="shared" si="2086"/>
        <v>-1612.06</v>
      </c>
      <c r="BJ227" s="66">
        <f t="shared" si="2086"/>
        <v>-998.71</v>
      </c>
      <c r="BK227" s="66">
        <f t="shared" si="2086"/>
        <v>-1045.6399999999999</v>
      </c>
      <c r="BL227" s="66">
        <f t="shared" si="2086"/>
        <v>-995.94</v>
      </c>
      <c r="BM227" s="66">
        <f t="shared" si="2086"/>
        <v>-923.05</v>
      </c>
      <c r="BN227" s="66">
        <f t="shared" si="2086"/>
        <v>-1283.83</v>
      </c>
      <c r="BO227" s="66">
        <f t="shared" si="2086"/>
        <v>-1175.26</v>
      </c>
      <c r="BP227" s="66">
        <f t="shared" si="2086"/>
        <v>-1193.1799999999998</v>
      </c>
      <c r="BQ227" s="66">
        <f t="shared" si="2086"/>
        <v>-1220.1399999999999</v>
      </c>
      <c r="BR227" s="66">
        <f t="shared" ref="BR227:CW227" si="2087">SUM(BO41:BR41)</f>
        <v>-1216.8799999999999</v>
      </c>
      <c r="BS227" s="66">
        <f t="shared" si="2087"/>
        <v>-1232.8399999999999</v>
      </c>
      <c r="BT227" s="66">
        <f t="shared" si="2087"/>
        <v>-1218.3200000000002</v>
      </c>
      <c r="BU227" s="66">
        <f t="shared" si="2087"/>
        <v>-1222.67</v>
      </c>
      <c r="BV227" s="66">
        <f t="shared" si="2087"/>
        <v>-1215</v>
      </c>
      <c r="BW227" s="66">
        <f t="shared" si="2087"/>
        <v>-1191.6500000000001</v>
      </c>
      <c r="BX227" s="66">
        <f t="shared" si="2087"/>
        <v>-1165.51</v>
      </c>
      <c r="BY227" s="66">
        <f t="shared" si="2087"/>
        <v>-1143</v>
      </c>
      <c r="BZ227" s="66">
        <f t="shared" si="2087"/>
        <v>-1139.4499999999998</v>
      </c>
      <c r="CA227" s="66">
        <f t="shared" si="2087"/>
        <v>-1145.53</v>
      </c>
      <c r="CB227" s="66">
        <f t="shared" si="2087"/>
        <v>-1168.27</v>
      </c>
      <c r="CC227" s="66">
        <f t="shared" si="2087"/>
        <v>-1196.17</v>
      </c>
      <c r="CD227" s="66">
        <f t="shared" si="2087"/>
        <v>-1228.44</v>
      </c>
      <c r="CE227" s="66">
        <f t="shared" si="2087"/>
        <v>-1250.6599999999999</v>
      </c>
      <c r="CF227" s="66">
        <f t="shared" si="2087"/>
        <v>-1270.82</v>
      </c>
      <c r="CG227" s="66">
        <f t="shared" si="2087"/>
        <v>-1278.24</v>
      </c>
      <c r="CH227" s="66">
        <f t="shared" si="2087"/>
        <v>-1275.32</v>
      </c>
      <c r="CI227" s="66">
        <f t="shared" si="2087"/>
        <v>-1273.1000000000001</v>
      </c>
      <c r="CJ227" s="66">
        <f t="shared" si="2087"/>
        <v>-1263.5300000000002</v>
      </c>
      <c r="CK227" s="50">
        <f t="shared" si="2087"/>
        <v>-1094.8000000000002</v>
      </c>
      <c r="CL227" s="66">
        <f t="shared" si="2087"/>
        <v>-870.25</v>
      </c>
      <c r="CM227" s="50">
        <f t="shared" si="2087"/>
        <v>-661.17702453637389</v>
      </c>
      <c r="CN227" s="50">
        <f t="shared" si="2087"/>
        <v>-449.06570982293772</v>
      </c>
      <c r="CO227" s="50">
        <f t="shared" si="2087"/>
        <v>-400.72553444788809</v>
      </c>
      <c r="CP227" s="50">
        <f t="shared" si="2087"/>
        <v>-417.25507898083276</v>
      </c>
      <c r="CQ227" s="50">
        <f t="shared" si="2087"/>
        <v>-425.84512159728865</v>
      </c>
      <c r="CR227" s="50">
        <f t="shared" si="2087"/>
        <v>-435.56279261670096</v>
      </c>
      <c r="CS227" s="50">
        <f t="shared" si="2087"/>
        <v>-449.25829555544937</v>
      </c>
      <c r="CT227" s="50">
        <f t="shared" si="2087"/>
        <v>-461.41080053891415</v>
      </c>
      <c r="CU227" s="50">
        <f t="shared" si="2087"/>
        <v>-471.80986273226335</v>
      </c>
      <c r="CV227" s="50">
        <f t="shared" si="2087"/>
        <v>-483.04379181307888</v>
      </c>
      <c r="CW227" s="50">
        <f t="shared" si="2087"/>
        <v>-495.51697888010631</v>
      </c>
      <c r="CX227" s="50">
        <f t="shared" ref="CX227:DB227" si="2088">SUM(CU41:CX41)</f>
        <v>-508.16012147649201</v>
      </c>
      <c r="CY227" s="50">
        <f t="shared" si="2088"/>
        <v>-519.22577120142478</v>
      </c>
      <c r="CZ227" s="50">
        <f t="shared" si="2088"/>
        <v>-530.83672292656604</v>
      </c>
      <c r="DA227" s="50">
        <f t="shared" si="2088"/>
        <v>-543.33696477645105</v>
      </c>
      <c r="DB227" s="50">
        <f t="shared" si="2088"/>
        <v>-556.24450856519115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139.22819999999999</v>
      </c>
      <c r="C231" s="64">
        <f t="shared" si="2089"/>
        <v>252.5</v>
      </c>
      <c r="D231" s="64">
        <f t="shared" si="2089"/>
        <v>359.59</v>
      </c>
      <c r="E231" s="64">
        <f t="shared" si="2089"/>
        <v>597.5</v>
      </c>
      <c r="F231" s="64">
        <f t="shared" si="2089"/>
        <v>807.47</v>
      </c>
      <c r="G231" s="64">
        <f t="shared" si="2089"/>
        <v>1095.1300000000001</v>
      </c>
      <c r="H231" s="64">
        <f t="shared" si="2089"/>
        <v>1406.98</v>
      </c>
      <c r="I231" s="64">
        <f t="shared" si="2089"/>
        <v>1707.19</v>
      </c>
      <c r="J231" s="64">
        <f t="shared" si="2089"/>
        <v>1950.13</v>
      </c>
      <c r="K231" s="64">
        <f t="shared" si="2089"/>
        <v>2098.27</v>
      </c>
      <c r="L231" s="64">
        <f t="shared" si="2089"/>
        <v>2265.59</v>
      </c>
      <c r="M231" s="64">
        <f t="shared" si="2089"/>
        <v>2488.44</v>
      </c>
      <c r="N231" s="64">
        <f t="shared" si="2089"/>
        <v>2634.54</v>
      </c>
      <c r="O231" s="64">
        <f t="shared" si="2089"/>
        <v>2731.18</v>
      </c>
      <c r="P231" s="64">
        <f t="shared" si="2089"/>
        <v>2892.73</v>
      </c>
      <c r="Q231" s="64">
        <f t="shared" si="2089"/>
        <v>2972.09</v>
      </c>
      <c r="R231" s="64">
        <f t="shared" si="2089"/>
        <v>2702.91</v>
      </c>
      <c r="S231" s="64">
        <f t="shared" si="2089"/>
        <v>1868.51</v>
      </c>
      <c r="T231" s="64">
        <f t="shared" si="2089"/>
        <v>1277.2</v>
      </c>
      <c r="U231" s="64">
        <f t="shared" si="2089"/>
        <v>1077.74</v>
      </c>
      <c r="V231" s="64">
        <f t="shared" si="2089"/>
        <v>1043.6600000000001</v>
      </c>
      <c r="W231" s="64">
        <f t="shared" si="2089"/>
        <v>1093.8</v>
      </c>
      <c r="X231" s="64">
        <f t="shared" si="2089"/>
        <v>1106.17</v>
      </c>
      <c r="Y231" s="64">
        <f t="shared" si="2089"/>
        <v>1191.6500000000001</v>
      </c>
      <c r="Z231" s="64">
        <f t="shared" si="2089"/>
        <v>1308.04</v>
      </c>
      <c r="AA231" s="64">
        <f t="shared" ref="AA231" si="2090">AA8-AA237</f>
        <v>1160.23</v>
      </c>
      <c r="AB231" s="30"/>
      <c r="AC231" s="30"/>
      <c r="AD231" s="30"/>
      <c r="AE231" s="30"/>
      <c r="AI231" s="64">
        <f t="shared" ref="AI231:BN231" si="2091">AI8-AI237</f>
        <v>659.73</v>
      </c>
      <c r="AJ231" s="64">
        <f t="shared" si="2091"/>
        <v>642.96999999999991</v>
      </c>
      <c r="AK231" s="64">
        <f t="shared" si="2091"/>
        <v>650.90000000000009</v>
      </c>
      <c r="AL231" s="64">
        <f t="shared" si="2091"/>
        <v>681.18999999999994</v>
      </c>
      <c r="AM231" s="64">
        <f t="shared" si="2091"/>
        <v>687.74</v>
      </c>
      <c r="AN231" s="64">
        <f t="shared" si="2091"/>
        <v>677.79</v>
      </c>
      <c r="AO231" s="64">
        <f t="shared" si="2091"/>
        <v>682.16</v>
      </c>
      <c r="AP231" s="64">
        <f t="shared" si="2091"/>
        <v>685.94</v>
      </c>
      <c r="AQ231" s="64">
        <f t="shared" si="2091"/>
        <v>707.81</v>
      </c>
      <c r="AR231" s="64">
        <f t="shared" si="2091"/>
        <v>700.33999999999992</v>
      </c>
      <c r="AS231" s="64">
        <f t="shared" si="2091"/>
        <v>738.56000000000006</v>
      </c>
      <c r="AT231" s="64">
        <f t="shared" si="2091"/>
        <v>746.04</v>
      </c>
      <c r="AU231" s="64">
        <f t="shared" si="2091"/>
        <v>750.73</v>
      </c>
      <c r="AV231" s="64">
        <f t="shared" si="2091"/>
        <v>746.64</v>
      </c>
      <c r="AW231" s="64">
        <f t="shared" si="2091"/>
        <v>741.88</v>
      </c>
      <c r="AX231" s="64">
        <f t="shared" si="2091"/>
        <v>732.84</v>
      </c>
      <c r="AY231" s="64">
        <f t="shared" si="2091"/>
        <v>734.91</v>
      </c>
      <c r="AZ231" s="64">
        <f t="shared" si="2091"/>
        <v>712.81</v>
      </c>
      <c r="BA231" s="64">
        <f t="shared" si="2091"/>
        <v>658.66</v>
      </c>
      <c r="BB231" s="64">
        <f t="shared" si="2091"/>
        <v>596.53</v>
      </c>
      <c r="BC231" s="64">
        <f t="shared" si="2091"/>
        <v>553.09</v>
      </c>
      <c r="BD231" s="64">
        <f t="shared" si="2091"/>
        <v>515.32000000000005</v>
      </c>
      <c r="BE231" s="64">
        <f t="shared" si="2091"/>
        <v>418.38</v>
      </c>
      <c r="BF231" s="64">
        <f t="shared" si="2091"/>
        <v>381.72</v>
      </c>
      <c r="BG231" s="64">
        <f t="shared" si="2091"/>
        <v>334.45</v>
      </c>
      <c r="BH231" s="64">
        <f t="shared" si="2091"/>
        <v>321.83999999999997</v>
      </c>
      <c r="BI231" s="64">
        <f t="shared" si="2091"/>
        <v>305.43</v>
      </c>
      <c r="BJ231" s="64">
        <f t="shared" si="2091"/>
        <v>315.48</v>
      </c>
      <c r="BK231" s="64">
        <f t="shared" si="2091"/>
        <v>293.45</v>
      </c>
      <c r="BL231" s="64">
        <f t="shared" si="2091"/>
        <v>270.35000000000002</v>
      </c>
      <c r="BM231" s="64">
        <f t="shared" si="2091"/>
        <v>255.06</v>
      </c>
      <c r="BN231" s="64">
        <f t="shared" si="2091"/>
        <v>258.88</v>
      </c>
      <c r="BO231" s="64">
        <f t="shared" ref="BO231:CT231" si="2092">BO8-BO237</f>
        <v>243.3</v>
      </c>
      <c r="BP231" s="64">
        <f t="shared" si="2092"/>
        <v>256.66000000000003</v>
      </c>
      <c r="BQ231" s="64">
        <f t="shared" si="2092"/>
        <v>278.41000000000003</v>
      </c>
      <c r="BR231" s="64">
        <f t="shared" si="2092"/>
        <v>265.29000000000002</v>
      </c>
      <c r="BS231" s="64">
        <f t="shared" si="2092"/>
        <v>268.02999999999997</v>
      </c>
      <c r="BT231" s="64">
        <f t="shared" si="2092"/>
        <v>268.77</v>
      </c>
      <c r="BU231" s="64">
        <f t="shared" si="2092"/>
        <v>284.22000000000003</v>
      </c>
      <c r="BV231" s="64">
        <f t="shared" si="2092"/>
        <v>272.77999999999997</v>
      </c>
      <c r="BW231" s="64">
        <f t="shared" si="2092"/>
        <v>266.48</v>
      </c>
      <c r="BX231" s="64">
        <f t="shared" si="2092"/>
        <v>277.66000000000003</v>
      </c>
      <c r="BY231" s="64">
        <f t="shared" si="2092"/>
        <v>281.89999999999998</v>
      </c>
      <c r="BZ231" s="64">
        <f t="shared" si="2092"/>
        <v>280.13</v>
      </c>
      <c r="CA231" s="64">
        <f t="shared" si="2092"/>
        <v>285.51</v>
      </c>
      <c r="CB231" s="64">
        <f t="shared" si="2092"/>
        <v>286.82</v>
      </c>
      <c r="CC231" s="64">
        <f t="shared" si="2092"/>
        <v>296.02999999999997</v>
      </c>
      <c r="CD231" s="64">
        <f t="shared" si="2092"/>
        <v>323.29000000000002</v>
      </c>
      <c r="CE231" s="64">
        <f t="shared" si="2092"/>
        <v>323.5</v>
      </c>
      <c r="CF231" s="64">
        <f t="shared" si="2092"/>
        <v>343.5</v>
      </c>
      <c r="CG231" s="64">
        <f t="shared" si="2092"/>
        <v>332.77</v>
      </c>
      <c r="CH231" s="64">
        <f t="shared" si="2092"/>
        <v>308.27</v>
      </c>
      <c r="CI231" s="64">
        <f t="shared" si="2092"/>
        <v>284.25</v>
      </c>
      <c r="CJ231" s="64">
        <f t="shared" si="2092"/>
        <v>286.13</v>
      </c>
      <c r="CK231" s="30">
        <f t="shared" si="2092"/>
        <v>294.31</v>
      </c>
      <c r="CL231" s="64">
        <f t="shared" ref="CL231" si="2093">CL8-CL237</f>
        <v>295.54000000000002</v>
      </c>
      <c r="CM231" s="30">
        <f t="shared" si="2092"/>
        <v>252.61187250920742</v>
      </c>
      <c r="CN231" s="30">
        <f t="shared" si="2092"/>
        <v>254.99975836106776</v>
      </c>
      <c r="CO231" s="30">
        <f t="shared" si="2092"/>
        <v>266.57336364735971</v>
      </c>
      <c r="CP231" s="30">
        <f t="shared" si="2092"/>
        <v>269.26358874402945</v>
      </c>
      <c r="CQ231" s="30">
        <f t="shared" si="2092"/>
        <v>227.14517394567054</v>
      </c>
      <c r="CR231" s="30">
        <f t="shared" si="2092"/>
        <v>229.96108664384317</v>
      </c>
      <c r="CS231" s="30">
        <f t="shared" si="2092"/>
        <v>241.10512659946272</v>
      </c>
      <c r="CT231" s="30">
        <f t="shared" si="2092"/>
        <v>243.45106189980589</v>
      </c>
      <c r="CU231" s="30">
        <f t="shared" ref="CU231:DB231" si="2094">CU8-CU237</f>
        <v>204.97539389537195</v>
      </c>
      <c r="CV231" s="30">
        <f t="shared" si="2094"/>
        <v>207.70111199337947</v>
      </c>
      <c r="CW231" s="30">
        <f t="shared" si="2094"/>
        <v>217.85033122544203</v>
      </c>
      <c r="CX231" s="30">
        <f t="shared" si="2094"/>
        <v>219.91452038707888</v>
      </c>
      <c r="CY231" s="30">
        <f t="shared" si="2094"/>
        <v>185.116851057769</v>
      </c>
      <c r="CZ231" s="30">
        <f t="shared" si="2094"/>
        <v>187.61584133393725</v>
      </c>
      <c r="DA231" s="30">
        <f t="shared" si="2094"/>
        <v>196.78883780472415</v>
      </c>
      <c r="DB231" s="30">
        <f t="shared" si="2094"/>
        <v>198.64093545389642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-63.550299999999993</v>
      </c>
      <c r="C232" s="64">
        <f t="shared" si="2095"/>
        <v>13.509999999999991</v>
      </c>
      <c r="D232" s="64">
        <f t="shared" si="2095"/>
        <v>63.350000000000023</v>
      </c>
      <c r="E232" s="64">
        <f t="shared" si="2095"/>
        <v>-0.41999999999995907</v>
      </c>
      <c r="F232" s="64">
        <f t="shared" si="2095"/>
        <v>-95.129999999999882</v>
      </c>
      <c r="G232" s="64">
        <f t="shared" si="2095"/>
        <v>122.70000000000005</v>
      </c>
      <c r="H232" s="64">
        <f t="shared" si="2095"/>
        <v>285.16000000000031</v>
      </c>
      <c r="I232" s="64">
        <f t="shared" si="2095"/>
        <v>391.41000000000008</v>
      </c>
      <c r="J232" s="64">
        <f t="shared" si="2095"/>
        <v>484.50999999999976</v>
      </c>
      <c r="K232" s="64">
        <f t="shared" si="2095"/>
        <v>381.74999999999977</v>
      </c>
      <c r="L232" s="64">
        <f t="shared" si="2095"/>
        <v>14.660000000000309</v>
      </c>
      <c r="M232" s="64">
        <f t="shared" si="2095"/>
        <v>529.80000000000041</v>
      </c>
      <c r="N232" s="64">
        <f t="shared" si="2095"/>
        <v>449.62000000000035</v>
      </c>
      <c r="O232" s="64">
        <f t="shared" si="2095"/>
        <v>410.84000000000015</v>
      </c>
      <c r="P232" s="64">
        <f t="shared" si="2095"/>
        <v>592.92999999999984</v>
      </c>
      <c r="Q232" s="64">
        <f t="shared" si="2095"/>
        <v>715.8400000000006</v>
      </c>
      <c r="R232" s="64">
        <f t="shared" si="2095"/>
        <v>576.44000000000005</v>
      </c>
      <c r="S232" s="64">
        <f t="shared" si="2095"/>
        <v>-9.0099999999999909</v>
      </c>
      <c r="T232" s="64">
        <f t="shared" si="2095"/>
        <v>199.1400000000001</v>
      </c>
      <c r="U232" s="64">
        <f t="shared" si="2095"/>
        <v>421.69999999999993</v>
      </c>
      <c r="V232" s="64">
        <f t="shared" si="2095"/>
        <v>488.8900000000001</v>
      </c>
      <c r="W232" s="64">
        <f t="shared" si="2095"/>
        <v>467.63</v>
      </c>
      <c r="X232" s="64">
        <f t="shared" si="2095"/>
        <v>492.5</v>
      </c>
      <c r="Y232" s="64">
        <f t="shared" si="2095"/>
        <v>527.42000000000007</v>
      </c>
      <c r="Z232" s="64">
        <f t="shared" si="2095"/>
        <v>570.77999999999986</v>
      </c>
      <c r="AA232" s="64">
        <f t="shared" ref="AA232" si="2096">AA28-AA238</f>
        <v>617.41</v>
      </c>
      <c r="AB232" s="30"/>
      <c r="AC232" s="30"/>
      <c r="AD232" s="30"/>
      <c r="AE232" s="30"/>
      <c r="AI232" s="64">
        <f t="shared" ref="AI232:BN232" si="2097">AI28-AI238</f>
        <v>118.82999999999993</v>
      </c>
      <c r="AJ232" s="64">
        <f t="shared" si="2097"/>
        <v>99.819999999999936</v>
      </c>
      <c r="AK232" s="64">
        <f t="shared" si="2097"/>
        <v>76.080000000000155</v>
      </c>
      <c r="AL232" s="64">
        <f t="shared" si="2097"/>
        <v>141.57999999999993</v>
      </c>
      <c r="AM232" s="64">
        <f t="shared" si="2097"/>
        <v>154.31999999999994</v>
      </c>
      <c r="AN232" s="64">
        <f t="shared" si="2097"/>
        <v>121.50999999999988</v>
      </c>
      <c r="AO232" s="64">
        <f t="shared" si="2097"/>
        <v>119.61999999999989</v>
      </c>
      <c r="AP232" s="64">
        <f t="shared" si="2097"/>
        <v>131.36000000000001</v>
      </c>
      <c r="AQ232" s="64">
        <f t="shared" si="2097"/>
        <v>162.68999999999994</v>
      </c>
      <c r="AR232" s="64">
        <f t="shared" si="2097"/>
        <v>128.53999999999985</v>
      </c>
      <c r="AS232" s="64">
        <f t="shared" si="2097"/>
        <v>149.36000000000001</v>
      </c>
      <c r="AT232" s="64">
        <f t="shared" si="2097"/>
        <v>159.61000000000001</v>
      </c>
      <c r="AU232" s="64">
        <f t="shared" si="2097"/>
        <v>209.98000000000002</v>
      </c>
      <c r="AV232" s="64">
        <f t="shared" si="2097"/>
        <v>187.01999999999998</v>
      </c>
      <c r="AW232" s="64">
        <f t="shared" si="2097"/>
        <v>208.85000000000002</v>
      </c>
      <c r="AX232" s="64">
        <f t="shared" si="2097"/>
        <v>115.70000000000005</v>
      </c>
      <c r="AY232" s="64">
        <f t="shared" si="2097"/>
        <v>214.55999999999995</v>
      </c>
      <c r="AZ232" s="64">
        <f t="shared" si="2097"/>
        <v>167.67999999999995</v>
      </c>
      <c r="BA232" s="64">
        <f t="shared" si="2097"/>
        <v>154.53999999999996</v>
      </c>
      <c r="BB232" s="64">
        <f t="shared" si="2097"/>
        <v>108.75999999999999</v>
      </c>
      <c r="BC232" s="64">
        <f t="shared" si="2097"/>
        <v>118.73000000000008</v>
      </c>
      <c r="BD232" s="64">
        <f t="shared" si="2097"/>
        <v>123.10000000000008</v>
      </c>
      <c r="BE232" s="64">
        <f t="shared" si="2097"/>
        <v>34.019999999999982</v>
      </c>
      <c r="BF232" s="64">
        <f t="shared" si="2097"/>
        <v>-140.91000000000003</v>
      </c>
      <c r="BG232" s="64">
        <f t="shared" si="2097"/>
        <v>36.149999999999977</v>
      </c>
      <c r="BH232" s="64">
        <f t="shared" si="2097"/>
        <v>39.389999999999986</v>
      </c>
      <c r="BI232" s="64">
        <f t="shared" si="2097"/>
        <v>70.91</v>
      </c>
      <c r="BJ232" s="64">
        <f t="shared" si="2097"/>
        <v>507.78</v>
      </c>
      <c r="BK232" s="64">
        <f t="shared" si="2097"/>
        <v>50.609999999999985</v>
      </c>
      <c r="BL232" s="64">
        <f t="shared" si="2097"/>
        <v>122.34000000000003</v>
      </c>
      <c r="BM232" s="64">
        <f t="shared" si="2097"/>
        <v>130.96</v>
      </c>
      <c r="BN232" s="64">
        <f t="shared" si="2097"/>
        <v>117.69999999999999</v>
      </c>
      <c r="BO232" s="64">
        <f t="shared" ref="BO232:CT232" si="2098">BO28-BO238</f>
        <v>117.66000000000003</v>
      </c>
      <c r="BP232" s="64">
        <f t="shared" si="2098"/>
        <v>118.15000000000003</v>
      </c>
      <c r="BQ232" s="64">
        <f t="shared" si="2098"/>
        <v>128.73000000000002</v>
      </c>
      <c r="BR232" s="64">
        <f t="shared" si="2098"/>
        <v>124.35000000000002</v>
      </c>
      <c r="BS232" s="64">
        <f t="shared" si="2098"/>
        <v>116.91999999999996</v>
      </c>
      <c r="BT232" s="64">
        <f t="shared" si="2098"/>
        <v>113.74999999999997</v>
      </c>
      <c r="BU232" s="64">
        <f t="shared" si="2098"/>
        <v>116.61000000000001</v>
      </c>
      <c r="BV232" s="64">
        <f t="shared" si="2098"/>
        <v>120.34999999999997</v>
      </c>
      <c r="BW232" s="64">
        <f t="shared" si="2098"/>
        <v>117.01000000000002</v>
      </c>
      <c r="BX232" s="64">
        <f t="shared" si="2098"/>
        <v>118.88000000000002</v>
      </c>
      <c r="BY232" s="64">
        <f t="shared" si="2098"/>
        <v>125.98999999999998</v>
      </c>
      <c r="BZ232" s="64">
        <f t="shared" si="2098"/>
        <v>130.62</v>
      </c>
      <c r="CA232" s="64">
        <f t="shared" si="2098"/>
        <v>124.75999999999999</v>
      </c>
      <c r="CB232" s="64">
        <f t="shared" si="2098"/>
        <v>125.52000000000001</v>
      </c>
      <c r="CC232" s="64">
        <f t="shared" si="2098"/>
        <v>136.29999999999995</v>
      </c>
      <c r="CD232" s="64">
        <f t="shared" si="2098"/>
        <v>140.84</v>
      </c>
      <c r="CE232" s="64">
        <f t="shared" si="2098"/>
        <v>134.85999999999999</v>
      </c>
      <c r="CF232" s="64">
        <f t="shared" si="2098"/>
        <v>137.20999999999998</v>
      </c>
      <c r="CG232" s="64">
        <f t="shared" si="2098"/>
        <v>148.82999999999998</v>
      </c>
      <c r="CH232" s="64">
        <f t="shared" si="2098"/>
        <v>149.88</v>
      </c>
      <c r="CI232" s="64">
        <f t="shared" si="2098"/>
        <v>144.69999999999999</v>
      </c>
      <c r="CJ232" s="64">
        <f t="shared" si="2098"/>
        <v>137.91</v>
      </c>
      <c r="CK232" s="30">
        <f t="shared" si="2098"/>
        <v>173.8</v>
      </c>
      <c r="CL232" s="64">
        <f t="shared" ref="CL232" si="2099">CL28-CL238</f>
        <v>161.00000000000003</v>
      </c>
      <c r="CM232" s="30">
        <f t="shared" si="2098"/>
        <v>134.28480511649278</v>
      </c>
      <c r="CN232" s="30">
        <f t="shared" si="2098"/>
        <v>136.99023737893944</v>
      </c>
      <c r="CO232" s="30">
        <f t="shared" si="2098"/>
        <v>146.88871549302905</v>
      </c>
      <c r="CP232" s="30">
        <f t="shared" si="2098"/>
        <v>145.71156063005509</v>
      </c>
      <c r="CQ232" s="30">
        <f t="shared" si="2098"/>
        <v>122.71384537761278</v>
      </c>
      <c r="CR232" s="30">
        <f t="shared" si="2098"/>
        <v>124.73291305716283</v>
      </c>
      <c r="CS232" s="30">
        <f t="shared" si="2098"/>
        <v>131.09047194529398</v>
      </c>
      <c r="CT232" s="30">
        <f t="shared" si="2098"/>
        <v>131.92053132563001</v>
      </c>
      <c r="CU232" s="30">
        <f t="shared" ref="CU232:DB232" si="2100">CU28-CU238</f>
        <v>111.10878797915569</v>
      </c>
      <c r="CV232" s="30">
        <f t="shared" si="2100"/>
        <v>112.68053422801299</v>
      </c>
      <c r="CW232" s="30">
        <f t="shared" si="2100"/>
        <v>118.19228759380735</v>
      </c>
      <c r="CX232" s="30">
        <f t="shared" si="2100"/>
        <v>119.24798887965224</v>
      </c>
      <c r="CY232" s="30">
        <f t="shared" si="2100"/>
        <v>100.39618033583649</v>
      </c>
      <c r="CZ232" s="30">
        <f t="shared" si="2100"/>
        <v>101.76463092483073</v>
      </c>
      <c r="DA232" s="30">
        <f t="shared" si="2100"/>
        <v>106.73506902805519</v>
      </c>
      <c r="DB232" s="30">
        <f t="shared" si="2100"/>
        <v>107.73191028723321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-0.45644704161944205</v>
      </c>
      <c r="C233" s="86">
        <f t="shared" ref="C233" si="2101">+C232/C231</f>
        <v>5.3504950495049469E-2</v>
      </c>
      <c r="D233" s="86">
        <f t="shared" ref="D233" si="2102">+D232/D231</f>
        <v>0.17617286353903064</v>
      </c>
      <c r="E233" s="86">
        <f t="shared" ref="E233" si="2103">+E232/E231</f>
        <v>-7.0292887029281851E-4</v>
      </c>
      <c r="F233" s="86">
        <f t="shared" ref="F233" si="2104">+F232/F231</f>
        <v>-0.11781242646785624</v>
      </c>
      <c r="G233" s="86">
        <f t="shared" ref="G233" si="2105">+G232/G231</f>
        <v>0.11204149279081026</v>
      </c>
      <c r="H233" s="86">
        <f t="shared" ref="H233" si="2106">+H232/H231</f>
        <v>0.20267523347879879</v>
      </c>
      <c r="I233" s="86">
        <f t="shared" ref="I233" si="2107">+I232/I231</f>
        <v>0.22927149292111604</v>
      </c>
      <c r="J233" s="86">
        <f t="shared" ref="J233" si="2108">+J232/J231</f>
        <v>0.24845010332644477</v>
      </c>
      <c r="K233" s="86">
        <f t="shared" ref="K233" si="2109">+K232/K231</f>
        <v>0.18193559456123368</v>
      </c>
      <c r="L233" s="86">
        <f t="shared" ref="L233" si="2110">+L232/L231</f>
        <v>6.4707206511329532E-3</v>
      </c>
      <c r="M233" s="86">
        <f t="shared" ref="M233" si="2111">+M232/M231</f>
        <v>0.21290447027053108</v>
      </c>
      <c r="N233" s="86">
        <f t="shared" ref="N233" si="2112">+N232/N231</f>
        <v>0.17066356935176552</v>
      </c>
      <c r="O233" s="86">
        <f t="shared" ref="O233" si="2113">+O232/O231</f>
        <v>0.15042582327052781</v>
      </c>
      <c r="P233" s="86">
        <f t="shared" ref="P233" si="2114">+P232/P231</f>
        <v>0.20497246545650644</v>
      </c>
      <c r="Q233" s="86">
        <f t="shared" ref="Q233" si="2115">+Q232/Q231</f>
        <v>0.24085407911604312</v>
      </c>
      <c r="R233" s="86">
        <f t="shared" ref="R233" si="2116">+R232/R231</f>
        <v>0.21326644246386306</v>
      </c>
      <c r="S233" s="86">
        <f t="shared" ref="S233" si="2117">+S232/S231</f>
        <v>-4.8220239656196597E-3</v>
      </c>
      <c r="T233" s="86">
        <f t="shared" ref="T233" si="2118">+T232/T231</f>
        <v>0.15591919824616354</v>
      </c>
      <c r="U233" s="86">
        <f t="shared" ref="U233" si="2119">+U232/U231</f>
        <v>0.39128175626774542</v>
      </c>
      <c r="V233" s="86">
        <f t="shared" ref="V233" si="2120">+V232/V231</f>
        <v>0.46843799704884737</v>
      </c>
      <c r="W233" s="86">
        <f t="shared" ref="W233" si="2121">+W232/W231</f>
        <v>0.42752788443956852</v>
      </c>
      <c r="X233" s="86">
        <f t="shared" ref="X233:Y233" si="2122">+X232/X231</f>
        <v>0.44522993753220569</v>
      </c>
      <c r="Y233" s="86">
        <f t="shared" si="2122"/>
        <v>0.44259639994964967</v>
      </c>
      <c r="Z233" s="86">
        <f t="shared" ref="Z233:AA233" si="2123">+Z232/Z231</f>
        <v>0.43636280236078395</v>
      </c>
      <c r="AA233" s="86">
        <f t="shared" si="2123"/>
        <v>0.53214448859277896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0.18011913964803772</v>
      </c>
      <c r="AJ233" s="86">
        <f t="shared" ref="AJ233" si="2125">+AJ232/AJ231</f>
        <v>0.15524830085385002</v>
      </c>
      <c r="AK233" s="86">
        <f t="shared" ref="AK233" si="2126">+AK232/AK231</f>
        <v>0.11688431402673244</v>
      </c>
      <c r="AL233" s="86">
        <f t="shared" ref="AL233" si="2127">+AL232/AL231</f>
        <v>0.20784215857543409</v>
      </c>
      <c r="AM233" s="86">
        <f t="shared" ref="AM233" si="2128">+AM232/AM231</f>
        <v>0.22438712304068389</v>
      </c>
      <c r="AN233" s="86">
        <f t="shared" ref="AN233" si="2129">+AN232/AN231</f>
        <v>0.17927381637380294</v>
      </c>
      <c r="AO233" s="86">
        <f t="shared" ref="AO233" si="2130">+AO232/AO231</f>
        <v>0.17535475548258458</v>
      </c>
      <c r="AP233" s="86">
        <f t="shared" ref="AP233" si="2131">+AP232/AP231</f>
        <v>0.19150363005510687</v>
      </c>
      <c r="AQ233" s="86">
        <f t="shared" ref="AQ233" si="2132">+AQ232/AQ231</f>
        <v>0.22984981845410485</v>
      </c>
      <c r="AR233" s="86">
        <f t="shared" ref="AR233" si="2133">+AR232/AR231</f>
        <v>0.18353942370848425</v>
      </c>
      <c r="AS233" s="86">
        <f t="shared" ref="AS233" si="2134">+AS232/AS231</f>
        <v>0.20223136915077991</v>
      </c>
      <c r="AT233" s="86">
        <f t="shared" ref="AT233" si="2135">+AT232/AT231</f>
        <v>0.21394295212052977</v>
      </c>
      <c r="AU233" s="86">
        <f t="shared" ref="AU233" si="2136">+AU232/AU231</f>
        <v>0.27970109093815354</v>
      </c>
      <c r="AV233" s="86">
        <f t="shared" ref="AV233" si="2137">+AV232/AV231</f>
        <v>0.25048216007714558</v>
      </c>
      <c r="AW233" s="86">
        <f t="shared" ref="AW233" si="2138">+AW232/AW231</f>
        <v>0.2815145306518575</v>
      </c>
      <c r="AX233" s="86">
        <f t="shared" ref="AX233" si="2139">+AX232/AX231</f>
        <v>0.15787893673926101</v>
      </c>
      <c r="AY233" s="86">
        <f t="shared" ref="AY233" si="2140">+AY232/AY231</f>
        <v>0.29195411683063227</v>
      </c>
      <c r="AZ233" s="86">
        <f t="shared" ref="AZ233" si="2141">+AZ232/AZ231</f>
        <v>0.23523800171153597</v>
      </c>
      <c r="BA233" s="86">
        <f t="shared" ref="BA233" si="2142">+BA232/BA231</f>
        <v>0.23462788084899641</v>
      </c>
      <c r="BB233" s="86">
        <f t="shared" ref="BB233" si="2143">+BB232/BB231</f>
        <v>0.18232109030560073</v>
      </c>
      <c r="BC233" s="86">
        <f t="shared" ref="BC233" si="2144">+BC232/BC231</f>
        <v>0.21466669077365361</v>
      </c>
      <c r="BD233" s="86">
        <f t="shared" ref="BD233" si="2145">+BD232/BD231</f>
        <v>0.23888069549018098</v>
      </c>
      <c r="BE233" s="86">
        <f t="shared" ref="BE233" si="2146">+BE232/BE231</f>
        <v>8.1313638319231274E-2</v>
      </c>
      <c r="BF233" s="86">
        <f t="shared" ref="BF233" si="2147">+BF232/BF231</f>
        <v>-0.36914492298019497</v>
      </c>
      <c r="BG233" s="86">
        <f t="shared" ref="BG233" si="2148">+BG232/BG231</f>
        <v>0.10808790551651959</v>
      </c>
      <c r="BH233" s="86">
        <f t="shared" ref="BH233" si="2149">+BH232/BH231</f>
        <v>0.12239000745712152</v>
      </c>
      <c r="BI233" s="86">
        <f t="shared" ref="BI233" si="2150">+BI232/BI231</f>
        <v>0.23216448940837506</v>
      </c>
      <c r="BJ233" s="86">
        <f t="shared" ref="BJ233" si="2151">+BJ232/BJ231</f>
        <v>1.6095473564092808</v>
      </c>
      <c r="BK233" s="86">
        <f t="shared" ref="BK233" si="2152">+BK232/BK231</f>
        <v>0.17246549667745778</v>
      </c>
      <c r="BL233" s="86">
        <f t="shared" ref="BL233" si="2153">+BL232/BL231</f>
        <v>0.45252450527094518</v>
      </c>
      <c r="BM233" s="86">
        <f t="shared" ref="BM233" si="2154">+BM232/BM231</f>
        <v>0.51344781620010982</v>
      </c>
      <c r="BN233" s="86">
        <f t="shared" ref="BN233" si="2155">+BN232/BN231</f>
        <v>0.45465080346106301</v>
      </c>
      <c r="BO233" s="86">
        <f t="shared" ref="BO233" si="2156">+BO232/BO231</f>
        <v>0.48360049321824916</v>
      </c>
      <c r="BP233" s="86">
        <f t="shared" ref="BP233" si="2157">+BP232/BP231</f>
        <v>0.46033663212031489</v>
      </c>
      <c r="BQ233" s="86">
        <f t="shared" ref="BQ233" si="2158">+BQ232/BQ231</f>
        <v>0.46237563305915741</v>
      </c>
      <c r="BR233" s="86">
        <f t="shared" ref="BR233" si="2159">+BR232/BR231</f>
        <v>0.46873233065701692</v>
      </c>
      <c r="BS233" s="86">
        <f t="shared" ref="BS233" si="2160">+BS232/BS231</f>
        <v>0.43621982613886495</v>
      </c>
      <c r="BT233" s="86">
        <f t="shared" ref="BT233" si="2161">+BT232/BT231</f>
        <v>0.42322431819027412</v>
      </c>
      <c r="BU233" s="86">
        <f t="shared" ref="BU233" si="2162">+BU232/BU231</f>
        <v>0.41028076841883049</v>
      </c>
      <c r="BV233" s="86">
        <f t="shared" ref="BV233" si="2163">+BV232/BV231</f>
        <v>0.44119803504655758</v>
      </c>
      <c r="BW233" s="86">
        <f t="shared" ref="BW233" si="2164">+BW232/BW231</f>
        <v>0.4390948664064846</v>
      </c>
      <c r="BX233" s="86">
        <f t="shared" ref="BX233" si="2165">+BX232/BX231</f>
        <v>0.42814953540301093</v>
      </c>
      <c r="BY233" s="86">
        <f t="shared" ref="BY233" si="2166">+BY232/BY231</f>
        <v>0.44693153600567576</v>
      </c>
      <c r="BZ233" s="86">
        <f t="shared" ref="BZ233" si="2167">+BZ232/BZ231</f>
        <v>0.4662835112269304</v>
      </c>
      <c r="CA233" s="86">
        <f t="shared" ref="CA233" si="2168">+CA232/CA231</f>
        <v>0.4369724352912332</v>
      </c>
      <c r="CB233" s="86">
        <f t="shared" ref="CB233:CC233" si="2169">+CB232/CB231</f>
        <v>0.43762638588661884</v>
      </c>
      <c r="CC233" s="86">
        <f t="shared" si="2169"/>
        <v>0.46042630814444468</v>
      </c>
      <c r="CD233" s="86">
        <f t="shared" ref="CD233" si="2170">+CD232/CD231</f>
        <v>0.43564601441430295</v>
      </c>
      <c r="CE233" s="86">
        <f t="shared" ref="CE233:CF233" si="2171">+CE232/CE231</f>
        <v>0.41687789799072639</v>
      </c>
      <c r="CF233" s="86">
        <f t="shared" si="2171"/>
        <v>0.39944687045123722</v>
      </c>
      <c r="CG233" s="86">
        <f t="shared" ref="CG233:CH233" si="2172">+CG232/CG231</f>
        <v>0.44724584547885926</v>
      </c>
      <c r="CH233" s="86">
        <f t="shared" si="2172"/>
        <v>0.48619716482304476</v>
      </c>
      <c r="CI233" s="86">
        <f t="shared" ref="CI233:CJ233" si="2173">+CI232/CI231</f>
        <v>0.50905892700087951</v>
      </c>
      <c r="CJ233" s="86">
        <f t="shared" si="2173"/>
        <v>0.4819837136965715</v>
      </c>
      <c r="CK233" s="47">
        <f t="shared" ref="CK233:DB233" si="2174">+CK232/CK231</f>
        <v>0.59053379090075098</v>
      </c>
      <c r="CL233" s="86">
        <f t="shared" si="2174"/>
        <v>0.54476551397441975</v>
      </c>
      <c r="CM233" s="47">
        <f t="shared" si="2174"/>
        <v>0.53158548639315539</v>
      </c>
      <c r="CN233" s="47">
        <f t="shared" si="2174"/>
        <v>0.53721712624122431</v>
      </c>
      <c r="CO233" s="47">
        <f t="shared" si="2174"/>
        <v>0.55102547937738755</v>
      </c>
      <c r="CP233" s="47">
        <f t="shared" si="2174"/>
        <v>0.54114840149654675</v>
      </c>
      <c r="CQ233" s="47">
        <f t="shared" si="2174"/>
        <v>0.5402441233770785</v>
      </c>
      <c r="CR233" s="47">
        <f t="shared" si="2174"/>
        <v>0.54240878262305925</v>
      </c>
      <c r="CS233" s="47">
        <f t="shared" si="2174"/>
        <v>0.54370669671851812</v>
      </c>
      <c r="CT233" s="47">
        <f t="shared" si="2174"/>
        <v>0.54187700105380066</v>
      </c>
      <c r="CU233" s="47">
        <f t="shared" si="2174"/>
        <v>0.54205915094311408</v>
      </c>
      <c r="CV233" s="47">
        <f t="shared" si="2174"/>
        <v>0.54251290783462303</v>
      </c>
      <c r="CW233" s="47">
        <f t="shared" si="2174"/>
        <v>0.54253893913751394</v>
      </c>
      <c r="CX233" s="47">
        <f t="shared" si="2174"/>
        <v>0.54224699974226298</v>
      </c>
      <c r="CY233" s="47">
        <f t="shared" si="2174"/>
        <v>0.54233949941437842</v>
      </c>
      <c r="CZ233" s="47">
        <f t="shared" si="2174"/>
        <v>0.54240958653219462</v>
      </c>
      <c r="DA233" s="47">
        <f t="shared" si="2174"/>
        <v>0.54238375620658752</v>
      </c>
      <c r="DB233" s="47">
        <f t="shared" si="2174"/>
        <v>0.54234496047385583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-208.79200000000003</v>
      </c>
      <c r="C234" s="64">
        <f t="shared" si="2175"/>
        <v>-148.49</v>
      </c>
      <c r="D234" s="64">
        <f t="shared" si="2175"/>
        <v>-205</v>
      </c>
      <c r="E234" s="64">
        <f t="shared" si="2175"/>
        <v>-269.67999999999995</v>
      </c>
      <c r="F234" s="64">
        <f t="shared" si="2175"/>
        <v>-527.8599999999999</v>
      </c>
      <c r="G234" s="64">
        <f t="shared" si="2175"/>
        <v>-493.80999999999995</v>
      </c>
      <c r="H234" s="64">
        <f t="shared" si="2175"/>
        <v>-316.08999999999969</v>
      </c>
      <c r="I234" s="64">
        <f t="shared" si="2175"/>
        <v>-125.73999999999994</v>
      </c>
      <c r="J234" s="64">
        <f t="shared" si="2175"/>
        <v>-169.94000000000025</v>
      </c>
      <c r="K234" s="64">
        <f t="shared" si="2175"/>
        <v>-318.00000000000023</v>
      </c>
      <c r="L234" s="64">
        <f t="shared" si="2175"/>
        <v>80.230000000000231</v>
      </c>
      <c r="M234" s="64">
        <f t="shared" si="2175"/>
        <v>-517.54999999999961</v>
      </c>
      <c r="N234" s="64">
        <f t="shared" si="2175"/>
        <v>-658.76999999999964</v>
      </c>
      <c r="O234" s="64">
        <f t="shared" si="2175"/>
        <v>-560.07999999999981</v>
      </c>
      <c r="P234" s="64">
        <f t="shared" si="2175"/>
        <v>-615.25000000000011</v>
      </c>
      <c r="Q234" s="64">
        <f t="shared" si="2175"/>
        <v>-358.33999999999941</v>
      </c>
      <c r="R234" s="64">
        <f t="shared" si="2175"/>
        <v>-1397.6499999999999</v>
      </c>
      <c r="S234" s="64">
        <f t="shared" si="2175"/>
        <v>-1900.32</v>
      </c>
      <c r="T234" s="64">
        <f t="shared" si="2175"/>
        <v>-998.70999999999992</v>
      </c>
      <c r="U234" s="64">
        <f t="shared" si="2175"/>
        <v>-1283.83</v>
      </c>
      <c r="V234" s="64">
        <f t="shared" si="2175"/>
        <v>-1216.8800000000001</v>
      </c>
      <c r="W234" s="64">
        <f t="shared" si="2175"/>
        <v>-1215</v>
      </c>
      <c r="X234" s="64">
        <f t="shared" si="2175"/>
        <v>-1139.4499999999998</v>
      </c>
      <c r="Y234" s="64">
        <f t="shared" si="2175"/>
        <v>-1228.4399999999998</v>
      </c>
      <c r="Z234" s="64">
        <f t="shared" si="2175"/>
        <v>-1275.3200000000002</v>
      </c>
      <c r="AA234" s="64">
        <f t="shared" ref="AA234" si="2176">AA41-AA240</f>
        <v>-870.25000000000011</v>
      </c>
      <c r="AB234" s="30"/>
      <c r="AC234" s="30"/>
      <c r="AD234" s="30"/>
      <c r="AE234" s="30"/>
      <c r="AI234" s="64">
        <f t="shared" ref="AI234:BN234" si="2177">AI41-AI240</f>
        <v>-162.66000000000008</v>
      </c>
      <c r="AJ234" s="64">
        <f t="shared" si="2177"/>
        <v>-183.71000000000006</v>
      </c>
      <c r="AK234" s="64">
        <f t="shared" si="2177"/>
        <v>-197.15999999999983</v>
      </c>
      <c r="AL234" s="64">
        <f t="shared" si="2177"/>
        <v>-115.23000000000006</v>
      </c>
      <c r="AM234" s="64">
        <f t="shared" si="2177"/>
        <v>-126.89000000000009</v>
      </c>
      <c r="AN234" s="64">
        <f t="shared" si="2177"/>
        <v>-165.23000000000013</v>
      </c>
      <c r="AO234" s="64">
        <f t="shared" si="2177"/>
        <v>-156.3600000000001</v>
      </c>
      <c r="AP234" s="64">
        <f t="shared" si="2177"/>
        <v>-111.61000000000001</v>
      </c>
      <c r="AQ234" s="64">
        <f t="shared" si="2177"/>
        <v>-122.91000000000004</v>
      </c>
      <c r="AR234" s="64">
        <f t="shared" si="2177"/>
        <v>-159.38000000000017</v>
      </c>
      <c r="AS234" s="64">
        <f t="shared" si="2177"/>
        <v>-169.07</v>
      </c>
      <c r="AT234" s="64">
        <f t="shared" si="2177"/>
        <v>-163.88</v>
      </c>
      <c r="AU234" s="64">
        <f t="shared" si="2177"/>
        <v>-83.53</v>
      </c>
      <c r="AV234" s="64">
        <f t="shared" si="2177"/>
        <v>-175.7</v>
      </c>
      <c r="AW234" s="64">
        <f t="shared" si="2177"/>
        <v>-77.139999999999986</v>
      </c>
      <c r="AX234" s="64">
        <f t="shared" si="2177"/>
        <v>-21.979999999999961</v>
      </c>
      <c r="AY234" s="64">
        <f t="shared" si="2177"/>
        <v>-108.07000000000005</v>
      </c>
      <c r="AZ234" s="64">
        <f t="shared" si="2177"/>
        <v>-468.13000000000005</v>
      </c>
      <c r="BA234" s="64">
        <f t="shared" si="2177"/>
        <v>-414.74</v>
      </c>
      <c r="BB234" s="64">
        <f t="shared" si="2177"/>
        <v>-406.75</v>
      </c>
      <c r="BC234" s="64">
        <f t="shared" si="2177"/>
        <v>-481.42999999999995</v>
      </c>
      <c r="BD234" s="64">
        <f t="shared" si="2177"/>
        <v>-489.67999999999995</v>
      </c>
      <c r="BE234" s="64">
        <f t="shared" si="2177"/>
        <v>-385.09000000000003</v>
      </c>
      <c r="BF234" s="64">
        <f t="shared" si="2177"/>
        <v>-544.12</v>
      </c>
      <c r="BG234" s="64">
        <f t="shared" si="2177"/>
        <v>-364.13</v>
      </c>
      <c r="BH234" s="64">
        <f t="shared" si="2177"/>
        <v>-359.93</v>
      </c>
      <c r="BI234" s="64">
        <f t="shared" si="2177"/>
        <v>-343.88</v>
      </c>
      <c r="BJ234" s="64">
        <f t="shared" si="2177"/>
        <v>69.230000000000018</v>
      </c>
      <c r="BK234" s="64">
        <f t="shared" si="2177"/>
        <v>-411.06000000000006</v>
      </c>
      <c r="BL234" s="64">
        <f t="shared" si="2177"/>
        <v>-310.22999999999996</v>
      </c>
      <c r="BM234" s="64">
        <f t="shared" si="2177"/>
        <v>-270.98999999999995</v>
      </c>
      <c r="BN234" s="64">
        <f t="shared" si="2177"/>
        <v>-291.55</v>
      </c>
      <c r="BO234" s="64">
        <f t="shared" ref="BO234:CT234" si="2178">BO41-BO240</f>
        <v>-302.48999999999995</v>
      </c>
      <c r="BP234" s="64">
        <f t="shared" si="2178"/>
        <v>-328.15</v>
      </c>
      <c r="BQ234" s="64">
        <f t="shared" si="2178"/>
        <v>-297.95</v>
      </c>
      <c r="BR234" s="64">
        <f t="shared" si="2178"/>
        <v>-288.28999999999996</v>
      </c>
      <c r="BS234" s="64">
        <f t="shared" si="2178"/>
        <v>-318.45000000000005</v>
      </c>
      <c r="BT234" s="64">
        <f t="shared" si="2178"/>
        <v>-313.63000000000005</v>
      </c>
      <c r="BU234" s="64">
        <f t="shared" si="2178"/>
        <v>-302.29999999999995</v>
      </c>
      <c r="BV234" s="64">
        <f t="shared" si="2178"/>
        <v>-280.62</v>
      </c>
      <c r="BW234" s="64">
        <f t="shared" si="2178"/>
        <v>-295.09999999999997</v>
      </c>
      <c r="BX234" s="64">
        <f t="shared" si="2178"/>
        <v>-287.48999999999995</v>
      </c>
      <c r="BY234" s="64">
        <f t="shared" si="2178"/>
        <v>-279.79000000000002</v>
      </c>
      <c r="BZ234" s="64">
        <f t="shared" si="2178"/>
        <v>-277.07</v>
      </c>
      <c r="CA234" s="64">
        <f t="shared" si="2178"/>
        <v>-301.18</v>
      </c>
      <c r="CB234" s="64">
        <f t="shared" si="2178"/>
        <v>-310.23</v>
      </c>
      <c r="CC234" s="64">
        <f t="shared" si="2178"/>
        <v>-307.69000000000005</v>
      </c>
      <c r="CD234" s="64">
        <f t="shared" si="2178"/>
        <v>-309.33999999999997</v>
      </c>
      <c r="CE234" s="64">
        <f t="shared" si="2178"/>
        <v>-323.39999999999998</v>
      </c>
      <c r="CF234" s="64">
        <f t="shared" si="2178"/>
        <v>-330.39</v>
      </c>
      <c r="CG234" s="64">
        <f t="shared" si="2178"/>
        <v>-315.11</v>
      </c>
      <c r="CH234" s="64">
        <f t="shared" si="2178"/>
        <v>-306.42</v>
      </c>
      <c r="CI234" s="64">
        <f t="shared" si="2178"/>
        <v>-321.18</v>
      </c>
      <c r="CJ234" s="64">
        <f t="shared" si="2178"/>
        <v>-320.82000000000005</v>
      </c>
      <c r="CK234" s="30">
        <f t="shared" si="2178"/>
        <v>-146.38</v>
      </c>
      <c r="CL234" s="64">
        <f t="shared" ref="CL234" si="2179">CL41-CL240</f>
        <v>-81.869999999999976</v>
      </c>
      <c r="CM234" s="30">
        <f t="shared" si="2178"/>
        <v>-112.10702453637383</v>
      </c>
      <c r="CN234" s="30">
        <f t="shared" si="2178"/>
        <v>-108.70868528656392</v>
      </c>
      <c r="CO234" s="30">
        <f t="shared" si="2178"/>
        <v>-98.03982462495037</v>
      </c>
      <c r="CP234" s="30">
        <f t="shared" si="2178"/>
        <v>-98.39954453294466</v>
      </c>
      <c r="CQ234" s="30">
        <f t="shared" si="2178"/>
        <v>-120.69706715282969</v>
      </c>
      <c r="CR234" s="30">
        <f t="shared" si="2178"/>
        <v>-118.42635630597624</v>
      </c>
      <c r="CS234" s="30">
        <f t="shared" si="2178"/>
        <v>-111.73532756369876</v>
      </c>
      <c r="CT234" s="30">
        <f t="shared" si="2178"/>
        <v>-110.55204951640948</v>
      </c>
      <c r="CU234" s="30">
        <f t="shared" ref="CU234:DB234" si="2180">CU41-CU240</f>
        <v>-131.09612934617886</v>
      </c>
      <c r="CV234" s="30">
        <f t="shared" si="2180"/>
        <v>-129.66028538679177</v>
      </c>
      <c r="CW234" s="30">
        <f t="shared" si="2180"/>
        <v>-124.20851463072617</v>
      </c>
      <c r="CX234" s="30">
        <f t="shared" si="2180"/>
        <v>-123.19519211279524</v>
      </c>
      <c r="CY234" s="30">
        <f t="shared" si="2180"/>
        <v>-142.1617790711116</v>
      </c>
      <c r="CZ234" s="30">
        <f t="shared" si="2180"/>
        <v>-141.27123711193303</v>
      </c>
      <c r="DA234" s="30">
        <f t="shared" si="2180"/>
        <v>-136.70875648061121</v>
      </c>
      <c r="DB234" s="30">
        <f t="shared" si="2180"/>
        <v>-136.10273590153531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0.10464748943871975</v>
      </c>
      <c r="C244" s="84">
        <f>C8/C165</f>
        <v>0.21366255701193973</v>
      </c>
      <c r="D244" s="84">
        <f>D8/D165</f>
        <v>0.26909376636982718</v>
      </c>
      <c r="E244" s="84">
        <f t="shared" ref="E244:Y244" si="2235">E10/(E161+E148+E138)</f>
        <v>0.23605404551201009</v>
      </c>
      <c r="F244" s="84">
        <f t="shared" si="2235"/>
        <v>0.28243289564809826</v>
      </c>
      <c r="G244" s="84">
        <f t="shared" si="2235"/>
        <v>0.39587256946829236</v>
      </c>
      <c r="H244" s="84">
        <f t="shared" si="2235"/>
        <v>0.49240557717613459</v>
      </c>
      <c r="I244" s="84">
        <f t="shared" si="2235"/>
        <v>0.49609157057838943</v>
      </c>
      <c r="J244" s="84">
        <f t="shared" si="2235"/>
        <v>0.4843274630135081</v>
      </c>
      <c r="K244" s="84">
        <f t="shared" si="2235"/>
        <v>0.43633146110640925</v>
      </c>
      <c r="L244" s="84">
        <f t="shared" si="2235"/>
        <v>0.38749362897184431</v>
      </c>
      <c r="M244" s="84">
        <f t="shared" si="2235"/>
        <v>0.40800519426008025</v>
      </c>
      <c r="N244" s="84">
        <f t="shared" si="2235"/>
        <v>0.43107840779120049</v>
      </c>
      <c r="O244" s="84">
        <f t="shared" si="2235"/>
        <v>0.48199647394549266</v>
      </c>
      <c r="P244" s="84">
        <f t="shared" si="2235"/>
        <v>0.47861659778224136</v>
      </c>
      <c r="Q244" s="84">
        <f t="shared" si="2235"/>
        <v>0.31411199465645301</v>
      </c>
      <c r="R244" s="84">
        <f t="shared" si="2235"/>
        <v>0.22702216458521088</v>
      </c>
      <c r="S244" s="84">
        <f t="shared" si="2235"/>
        <v>0.55278744201457919</v>
      </c>
      <c r="T244" s="84">
        <f t="shared" si="2235"/>
        <v>0.28190526641062991</v>
      </c>
      <c r="U244" s="84">
        <f t="shared" si="2235"/>
        <v>0.62870943466669782</v>
      </c>
      <c r="V244" s="84">
        <f t="shared" si="2235"/>
        <v>0.69148611939309634</v>
      </c>
      <c r="W244" s="84">
        <f t="shared" si="2235"/>
        <v>0.80159468828094671</v>
      </c>
      <c r="X244" s="84">
        <f t="shared" si="2235"/>
        <v>0.91363133290384413</v>
      </c>
      <c r="Y244" s="84">
        <f t="shared" si="2235"/>
        <v>0.91175142885561467</v>
      </c>
      <c r="Z244" s="84">
        <f>Z10/(Z161+Z148+Z138)</f>
        <v>1.003259727410089</v>
      </c>
      <c r="AA244" s="84">
        <f>AA10/(AA161+AA148+AA138)</f>
        <v>0.8651782585027924</v>
      </c>
      <c r="AB244" s="50">
        <f t="shared" ref="AA244:AE244" si="2236">AB10/(AB161+AB148+AB138)</f>
        <v>1.2063371154804126</v>
      </c>
      <c r="AC244" s="50">
        <f t="shared" si="2236"/>
        <v>2.7231605165323556</v>
      </c>
      <c r="AD244" s="50">
        <f t="shared" si="2236"/>
        <v>-3.954926645705878</v>
      </c>
      <c r="AE244" s="50">
        <f t="shared" si="2236"/>
        <v>-0.93805936101156062</v>
      </c>
      <c r="AL244" s="84">
        <f>SUM(AI10:AL10)/(AL161+AL148+AL138)</f>
        <v>0.42893982010992371</v>
      </c>
      <c r="AM244" s="84">
        <f t="shared" ref="AM244:CL244" si="2237">SUM(AJ10:AM10)/(AM161+AM148+AM138)</f>
        <v>0.44444603495741225</v>
      </c>
      <c r="AN244" s="84">
        <f t="shared" si="2237"/>
        <v>0.43612348333589313</v>
      </c>
      <c r="AO244" s="84">
        <f t="shared" si="2237"/>
        <v>0.45227258983888347</v>
      </c>
      <c r="AP244" s="84">
        <f t="shared" si="2237"/>
        <v>0.48242884799669628</v>
      </c>
      <c r="AQ244" s="84">
        <f t="shared" si="2237"/>
        <v>0.49472115154013896</v>
      </c>
      <c r="AR244" s="84">
        <f t="shared" si="2237"/>
        <v>0.50300762777888508</v>
      </c>
      <c r="AS244" s="84">
        <f t="shared" si="2237"/>
        <v>0.52525277832158035</v>
      </c>
      <c r="AT244" s="84">
        <f t="shared" si="2237"/>
        <v>0.47861990688193468</v>
      </c>
      <c r="AU244" s="84">
        <f t="shared" si="2237"/>
        <v>0.49216263932889998</v>
      </c>
      <c r="AV244" s="84">
        <f t="shared" si="2237"/>
        <v>0.30772128137999205</v>
      </c>
      <c r="AW244" s="84">
        <f t="shared" si="2237"/>
        <v>0.31069593133545803</v>
      </c>
      <c r="AX244" s="84">
        <f t="shared" si="2237"/>
        <v>0.31411199465645301</v>
      </c>
      <c r="AY244" s="84">
        <f t="shared" si="2237"/>
        <v>0.31599179648497888</v>
      </c>
      <c r="AZ244" s="84">
        <f t="shared" si="2237"/>
        <v>0.29659053427987148</v>
      </c>
      <c r="BA244" s="84">
        <f t="shared" si="2237"/>
        <v>0.30162761951995554</v>
      </c>
      <c r="BB244" s="84">
        <f t="shared" si="2237"/>
        <v>0.22577572688567796</v>
      </c>
      <c r="BC244" s="84">
        <f t="shared" si="2237"/>
        <v>0.22010633300800397</v>
      </c>
      <c r="BD244" s="84">
        <f t="shared" si="2237"/>
        <v>0.66510661969433038</v>
      </c>
      <c r="BE244" s="84">
        <f t="shared" si="2237"/>
        <v>0.72540996780910028</v>
      </c>
      <c r="BF244" s="84">
        <f t="shared" si="2237"/>
        <v>0.55278744201457919</v>
      </c>
      <c r="BG244" s="84">
        <f t="shared" si="2237"/>
        <v>0.57586716165679763</v>
      </c>
      <c r="BH244" s="84">
        <f t="shared" si="2237"/>
        <v>0.44226710517125672</v>
      </c>
      <c r="BI244" s="84">
        <f t="shared" si="2237"/>
        <v>0.46951397730398831</v>
      </c>
      <c r="BJ244" s="84">
        <f t="shared" si="2237"/>
        <v>0.28190526641062996</v>
      </c>
      <c r="BK244" s="84">
        <f t="shared" si="2237"/>
        <v>0.28834810198926497</v>
      </c>
      <c r="BL244" s="84">
        <f t="shared" si="2237"/>
        <v>0.65869551921804559</v>
      </c>
      <c r="BM244" s="84">
        <f t="shared" si="2237"/>
        <v>0.75402074529846874</v>
      </c>
      <c r="BN244" s="84">
        <f t="shared" si="2237"/>
        <v>0.6287094346666976</v>
      </c>
      <c r="BO244" s="84">
        <f t="shared" si="2237"/>
        <v>1.6377691969788193</v>
      </c>
      <c r="BP244" s="84">
        <f t="shared" si="2237"/>
        <v>0.60648657702062514</v>
      </c>
      <c r="BQ244" s="84">
        <f t="shared" si="2237"/>
        <v>0.73969175742402771</v>
      </c>
      <c r="BR244" s="84">
        <f t="shared" si="2237"/>
        <v>0.69148611939309623</v>
      </c>
      <c r="BS244" s="84">
        <f t="shared" si="2237"/>
        <v>0.89515740552541734</v>
      </c>
      <c r="BT244" s="84">
        <f t="shared" si="2237"/>
        <v>0.74254023667825786</v>
      </c>
      <c r="BU244" s="84">
        <f t="shared" si="2237"/>
        <v>0.93120913041023312</v>
      </c>
      <c r="BV244" s="84">
        <f t="shared" si="2237"/>
        <v>0.80159468828094649</v>
      </c>
      <c r="BW244" s="84">
        <f t="shared" si="2237"/>
        <v>1.0263079199713001</v>
      </c>
      <c r="BX244" s="84">
        <f t="shared" si="2237"/>
        <v>0.85045877228212186</v>
      </c>
      <c r="BY244" s="84">
        <f t="shared" si="2237"/>
        <v>1.0787044342396048</v>
      </c>
      <c r="BZ244" s="84">
        <f t="shared" si="2237"/>
        <v>0.91363133290384402</v>
      </c>
      <c r="CA244" s="84">
        <f t="shared" si="2237"/>
        <v>1.2316440343745458</v>
      </c>
      <c r="CB244" s="84">
        <f t="shared" si="2237"/>
        <v>0.95253929866989095</v>
      </c>
      <c r="CC244" s="84">
        <f t="shared" si="2237"/>
        <v>1.2886685586089257</v>
      </c>
      <c r="CD244" s="84">
        <f t="shared" si="2237"/>
        <v>0.91175142885561455</v>
      </c>
      <c r="CE244" s="84">
        <f t="shared" si="2237"/>
        <v>1.2499345287844656</v>
      </c>
      <c r="CF244" s="84">
        <f t="shared" si="2237"/>
        <v>0.96932247198631516</v>
      </c>
      <c r="CG244" s="84">
        <f t="shared" si="2237"/>
        <v>1.3200471677694154</v>
      </c>
      <c r="CH244" s="84">
        <f t="shared" si="2237"/>
        <v>1.003259727410089</v>
      </c>
      <c r="CI244" s="84">
        <f t="shared" si="2237"/>
        <v>1.3535731076200721</v>
      </c>
      <c r="CJ244" s="84">
        <f t="shared" si="2237"/>
        <v>0.98113727110009641</v>
      </c>
      <c r="CK244" s="50">
        <f t="shared" ref="CK244" si="2238">SUM(CH10:CK10)/(CK161+CK148+CK138)</f>
        <v>1.0667717931166683</v>
      </c>
      <c r="CL244" s="84">
        <f t="shared" si="2237"/>
        <v>0.86517825850279251</v>
      </c>
      <c r="CM244" s="50">
        <f t="shared" ref="CM244:DB244" si="2239">SUM(CJ10:CM10)/(CM161+CM148+CM138)</f>
        <v>0.99623518079529227</v>
      </c>
      <c r="CN244" s="50">
        <f t="shared" si="2239"/>
        <v>1.0660226144690241</v>
      </c>
      <c r="CO244" s="50">
        <f t="shared" si="2239"/>
        <v>1.1173791025514008</v>
      </c>
      <c r="CP244" s="50">
        <f t="shared" si="2239"/>
        <v>1.2063371154804126</v>
      </c>
      <c r="CQ244" s="50">
        <f t="shared" si="2239"/>
        <v>1.5660742675471204</v>
      </c>
      <c r="CR244" s="50">
        <f t="shared" si="2239"/>
        <v>1.8459739472767402</v>
      </c>
      <c r="CS244" s="50">
        <f t="shared" si="2239"/>
        <v>2.1447024516376136</v>
      </c>
      <c r="CT244" s="50">
        <f t="shared" si="2239"/>
        <v>2.7231605165323556</v>
      </c>
      <c r="CU244" s="50">
        <f t="shared" si="2239"/>
        <v>7.1500612847221623</v>
      </c>
      <c r="CV244" s="50">
        <f t="shared" si="2239"/>
        <v>178.06845800559375</v>
      </c>
      <c r="CW244" s="50">
        <f t="shared" si="2239"/>
        <v>-9.0607531840833389</v>
      </c>
      <c r="CX244" s="50">
        <f t="shared" si="2239"/>
        <v>-3.954926645705878</v>
      </c>
      <c r="CY244" s="50">
        <f t="shared" si="2239"/>
        <v>-1.9090932340921922</v>
      </c>
      <c r="CZ244" s="50">
        <f t="shared" si="2239"/>
        <v>-1.4200680520180005</v>
      </c>
      <c r="DA244" s="50">
        <f t="shared" si="2239"/>
        <v>-1.1492290137201229</v>
      </c>
      <c r="DB244" s="50">
        <f t="shared" si="2239"/>
        <v>-0.93805936101156062</v>
      </c>
      <c r="DE244" s="138"/>
      <c r="DF244" s="84">
        <v>0.86517825850279262</v>
      </c>
    </row>
    <row r="245" spans="1:110" s="84" customFormat="1" x14ac:dyDescent="0.2">
      <c r="A245" s="84" t="s">
        <v>513</v>
      </c>
      <c r="E245" s="181">
        <f>+E42</f>
        <v>-0.45134728033472793</v>
      </c>
      <c r="F245" s="181">
        <f t="shared" ref="F245:AE245" si="2240">+F42</f>
        <v>-0.6537208812711307</v>
      </c>
      <c r="G245" s="181">
        <f t="shared" si="2240"/>
        <v>-0.45091450330097788</v>
      </c>
      <c r="H245" s="181">
        <f t="shared" si="2240"/>
        <v>-0.22465848839358035</v>
      </c>
      <c r="I245" s="181">
        <f t="shared" si="2240"/>
        <v>-7.3653196187887654E-2</v>
      </c>
      <c r="J245" s="181">
        <f t="shared" si="2240"/>
        <v>-8.7142908421489973E-2</v>
      </c>
      <c r="K245" s="181">
        <f t="shared" si="2240"/>
        <v>-0.15155342258146007</v>
      </c>
      <c r="L245" s="181">
        <f t="shared" si="2240"/>
        <v>3.5412409129630791E-2</v>
      </c>
      <c r="M245" s="181">
        <f t="shared" si="2240"/>
        <v>-0.2079817074150872</v>
      </c>
      <c r="N245" s="181">
        <f t="shared" si="2240"/>
        <v>-0.25005124234211651</v>
      </c>
      <c r="O245" s="181">
        <f t="shared" si="2240"/>
        <v>-0.20506887133034069</v>
      </c>
      <c r="P245" s="181">
        <f t="shared" si="2240"/>
        <v>-0.21268836013039588</v>
      </c>
      <c r="Q245" s="181">
        <f t="shared" si="2240"/>
        <v>-0.12056835425575921</v>
      </c>
      <c r="R245" s="181">
        <f t="shared" si="2240"/>
        <v>-0.51709083913263854</v>
      </c>
      <c r="S245" s="181">
        <f t="shared" si="2240"/>
        <v>-1.0170242599718493</v>
      </c>
      <c r="T245" s="181">
        <f t="shared" si="2240"/>
        <v>-0.78195270905104908</v>
      </c>
      <c r="U245" s="181">
        <f t="shared" si="2240"/>
        <v>-1.1912242284781116</v>
      </c>
      <c r="V245" s="181">
        <f t="shared" si="2240"/>
        <v>-1.1659735929325643</v>
      </c>
      <c r="W245" s="181">
        <f t="shared" si="2240"/>
        <v>-1.1108063631376852</v>
      </c>
      <c r="X245" s="181">
        <f t="shared" si="2240"/>
        <v>-1.0300857915148665</v>
      </c>
      <c r="Y245" s="181">
        <f t="shared" si="2240"/>
        <v>-1.0308731590651616</v>
      </c>
      <c r="Z245" s="181">
        <f t="shared" si="2240"/>
        <v>-0.9749854744503228</v>
      </c>
      <c r="AA245" s="181">
        <f t="shared" ref="AA245" si="2241">+AA42</f>
        <v>-0.750066797100575</v>
      </c>
      <c r="AB245" s="182">
        <f t="shared" si="2240"/>
        <v>-0.39988082371682937</v>
      </c>
      <c r="AC245" s="182">
        <f t="shared" si="2240"/>
        <v>-0.48999596509917875</v>
      </c>
      <c r="AD245" s="182">
        <f t="shared" si="2240"/>
        <v>-0.5975251755976978</v>
      </c>
      <c r="AE245" s="182">
        <f t="shared" si="2240"/>
        <v>-0.72412352000858859</v>
      </c>
      <c r="AL245" s="181">
        <f t="shared" ref="AL245:CW245" si="2242">+AL42</f>
        <v>-0.16915985261087224</v>
      </c>
      <c r="AM245" s="181">
        <f t="shared" si="2242"/>
        <v>-0.18450286445459052</v>
      </c>
      <c r="AN245" s="181">
        <f t="shared" si="2242"/>
        <v>-0.24377757122412566</v>
      </c>
      <c r="AO245" s="181">
        <f t="shared" si="2242"/>
        <v>-0.2292130878386304</v>
      </c>
      <c r="AP245" s="181">
        <f t="shared" si="2242"/>
        <v>-0.1627110242878386</v>
      </c>
      <c r="AQ245" s="181">
        <f t="shared" si="2242"/>
        <v>-0.17364829544651819</v>
      </c>
      <c r="AR245" s="181">
        <f t="shared" si="2242"/>
        <v>-0.2275751777707973</v>
      </c>
      <c r="AS245" s="181">
        <f t="shared" si="2242"/>
        <v>-0.2289184358752166</v>
      </c>
      <c r="AT245" s="181">
        <f t="shared" si="2242"/>
        <v>-0.21966650581738245</v>
      </c>
      <c r="AU245" s="181">
        <f t="shared" si="2242"/>
        <v>-0.1112650353655775</v>
      </c>
      <c r="AV245" s="181">
        <f t="shared" si="2242"/>
        <v>-0.23532090431801134</v>
      </c>
      <c r="AW245" s="181">
        <f t="shared" si="2242"/>
        <v>-0.1039790801746913</v>
      </c>
      <c r="AX245" s="181">
        <f t="shared" si="2242"/>
        <v>-2.9992904317449866E-2</v>
      </c>
      <c r="AY245" s="181">
        <f t="shared" si="2242"/>
        <v>-0.14705201997523515</v>
      </c>
      <c r="AZ245" s="181">
        <f t="shared" si="2242"/>
        <v>-0.65673882240709314</v>
      </c>
      <c r="BA245" s="181">
        <f t="shared" si="2242"/>
        <v>-0.6441862632412787</v>
      </c>
      <c r="BB245" s="181">
        <f t="shared" si="2242"/>
        <v>-0.68186009085880006</v>
      </c>
      <c r="BC245" s="181">
        <f t="shared" si="2242"/>
        <v>-0.87043699940335195</v>
      </c>
      <c r="BD245" s="181">
        <f t="shared" si="2242"/>
        <v>-0.95024450826670792</v>
      </c>
      <c r="BE245" s="181">
        <f t="shared" si="2242"/>
        <v>-0.92043118695922377</v>
      </c>
      <c r="BF245" s="181">
        <f t="shared" si="2242"/>
        <v>-1.42544273289322</v>
      </c>
      <c r="BG245" s="181">
        <f t="shared" si="2242"/>
        <v>-1.0887427119150845</v>
      </c>
      <c r="BH245" s="181">
        <f t="shared" si="2242"/>
        <v>-1.1183507332836193</v>
      </c>
      <c r="BI245" s="181">
        <f t="shared" si="2242"/>
        <v>-1.1258880921978849</v>
      </c>
      <c r="BJ245" s="181">
        <f t="shared" si="2242"/>
        <v>0.21944338785342973</v>
      </c>
      <c r="BK245" s="181">
        <f t="shared" si="2242"/>
        <v>-1.4007837791787361</v>
      </c>
      <c r="BL245" s="181">
        <f t="shared" si="2242"/>
        <v>-1.1475124838172737</v>
      </c>
      <c r="BM245" s="181">
        <f t="shared" si="2242"/>
        <v>-1.0624558927311218</v>
      </c>
      <c r="BN245" s="181">
        <f t="shared" si="2242"/>
        <v>-1.1261974660074165</v>
      </c>
      <c r="BO245" s="181">
        <f t="shared" si="2242"/>
        <v>-1.24327990135635</v>
      </c>
      <c r="BP245" s="181">
        <f t="shared" si="2242"/>
        <v>-1.2785397023299305</v>
      </c>
      <c r="BQ245" s="181">
        <f t="shared" si="2242"/>
        <v>-1.0701842606228222</v>
      </c>
      <c r="BR245" s="181">
        <f t="shared" si="2242"/>
        <v>-1.086697576237325</v>
      </c>
      <c r="BS245" s="181">
        <f t="shared" si="2242"/>
        <v>-1.1881132709025113</v>
      </c>
      <c r="BT245" s="181">
        <f t="shared" si="2242"/>
        <v>-1.1669085091342042</v>
      </c>
      <c r="BU245" s="181">
        <f t="shared" si="2242"/>
        <v>-1.0636126943916682</v>
      </c>
      <c r="BV245" s="181">
        <f t="shared" si="2242"/>
        <v>-1.0287411100520567</v>
      </c>
      <c r="BW245" s="181">
        <f t="shared" si="2242"/>
        <v>-1.107400180126088</v>
      </c>
      <c r="BX245" s="181">
        <f t="shared" si="2242"/>
        <v>-1.0354030108766115</v>
      </c>
      <c r="BY245" s="181">
        <f t="shared" si="2242"/>
        <v>-0.99251507626818036</v>
      </c>
      <c r="BZ245" s="181">
        <f t="shared" si="2242"/>
        <v>-0.98907650019633742</v>
      </c>
      <c r="CA245" s="181">
        <f t="shared" si="2242"/>
        <v>-1.0548842422331968</v>
      </c>
      <c r="CB245" s="181">
        <f t="shared" si="2242"/>
        <v>-1.0816191339516075</v>
      </c>
      <c r="CC245" s="181">
        <f t="shared" si="2242"/>
        <v>-1.039387899875013</v>
      </c>
      <c r="CD245" s="181">
        <f t="shared" si="2242"/>
        <v>-0.95684988709827079</v>
      </c>
      <c r="CE245" s="181">
        <f t="shared" si="2242"/>
        <v>-0.9996908809891808</v>
      </c>
      <c r="CF245" s="181">
        <f t="shared" si="2242"/>
        <v>-0.96183406113537118</v>
      </c>
      <c r="CG245" s="181">
        <f t="shared" si="2242"/>
        <v>-0.94693031222766488</v>
      </c>
      <c r="CH245" s="181">
        <f t="shared" si="2242"/>
        <v>-0.99399876731436743</v>
      </c>
      <c r="CI245" s="181">
        <f t="shared" si="2242"/>
        <v>-1.1299208443271769</v>
      </c>
      <c r="CJ245" s="181">
        <f t="shared" si="2242"/>
        <v>-1.1212385978401427</v>
      </c>
      <c r="CK245" s="182">
        <f t="shared" si="2242"/>
        <v>-0.49736672216370492</v>
      </c>
      <c r="CL245" s="181">
        <f t="shared" ref="CL245" si="2243">+CL42</f>
        <v>-0.27701833931109149</v>
      </c>
      <c r="CM245" s="182">
        <f t="shared" si="2242"/>
        <v>-0.44379158993125967</v>
      </c>
      <c r="CN245" s="182">
        <f t="shared" si="2242"/>
        <v>-0.42630897372317306</v>
      </c>
      <c r="CO245" s="182">
        <f t="shared" si="2242"/>
        <v>-0.36777802284343653</v>
      </c>
      <c r="CP245" s="182">
        <f t="shared" si="2242"/>
        <v>-0.36543947509548497</v>
      </c>
      <c r="CQ245" s="182">
        <f t="shared" si="2242"/>
        <v>-0.53136531609383209</v>
      </c>
      <c r="CR245" s="182">
        <f t="shared" si="2242"/>
        <v>-0.51498433075936634</v>
      </c>
      <c r="CS245" s="182">
        <f t="shared" si="2242"/>
        <v>-0.46342991183808263</v>
      </c>
      <c r="CT245" s="182">
        <f t="shared" si="2242"/>
        <v>-0.45410378847272398</v>
      </c>
      <c r="CU245" s="182">
        <f t="shared" si="2242"/>
        <v>-0.63957008133910853</v>
      </c>
      <c r="CV245" s="182">
        <f t="shared" si="2242"/>
        <v>-0.62426379975724311</v>
      </c>
      <c r="CW245" s="182">
        <f t="shared" si="2242"/>
        <v>-0.57015527096990826</v>
      </c>
      <c r="CX245" s="182">
        <f t="shared" ref="CX245:DB245" si="2244">+CX42</f>
        <v>-0.56019580651589207</v>
      </c>
      <c r="CY245" s="182">
        <f t="shared" si="2244"/>
        <v>-0.76795698640502208</v>
      </c>
      <c r="CZ245" s="182">
        <f t="shared" si="2244"/>
        <v>-0.75298139063046654</v>
      </c>
      <c r="DA245" s="182">
        <f t="shared" si="2244"/>
        <v>-0.69469771764325827</v>
      </c>
      <c r="DB245" s="182">
        <f t="shared" si="2244"/>
        <v>-0.6851696282568307</v>
      </c>
      <c r="DE245" s="138"/>
      <c r="DF245" s="84">
        <v>-0.75006679710057489</v>
      </c>
    </row>
    <row r="246" spans="1:110" s="84" customFormat="1" x14ac:dyDescent="0.2">
      <c r="A246" s="84" t="s">
        <v>514</v>
      </c>
      <c r="E246" s="84">
        <f>(E161+E148+E138+E140)/E120</f>
        <v>7.0862262038073904</v>
      </c>
      <c r="F246" s="84">
        <f t="shared" ref="F246:AE246" si="2245">(F161+F148+F138+F140)/F120</f>
        <v>-65.422883295194438</v>
      </c>
      <c r="G246" s="84">
        <f t="shared" si="2245"/>
        <v>-5.5593135186189979</v>
      </c>
      <c r="H246" s="84">
        <f t="shared" si="2245"/>
        <v>-8.8956134615983302</v>
      </c>
      <c r="I246" s="84">
        <f t="shared" si="2245"/>
        <v>-17.155790418266104</v>
      </c>
      <c r="J246" s="84">
        <f t="shared" si="2245"/>
        <v>-10.633189848680908</v>
      </c>
      <c r="K246" s="84">
        <f t="shared" si="2245"/>
        <v>-6.902778973961472</v>
      </c>
      <c r="L246" s="84">
        <f t="shared" si="2245"/>
        <v>-9.4849050176013492</v>
      </c>
      <c r="M246" s="84">
        <f t="shared" si="2245"/>
        <v>-5.3784370094710683</v>
      </c>
      <c r="N246" s="84">
        <f t="shared" si="2245"/>
        <v>-3.4090140845070427</v>
      </c>
      <c r="O246" s="84">
        <f t="shared" si="2245"/>
        <v>-2.4083295435709338</v>
      </c>
      <c r="P246" s="84">
        <f t="shared" si="2245"/>
        <v>-2.0363130373844371</v>
      </c>
      <c r="Q246" s="84">
        <f t="shared" si="2245"/>
        <v>-2.3736650786841573</v>
      </c>
      <c r="R246" s="84">
        <f t="shared" si="2245"/>
        <v>-2.0149352495582891</v>
      </c>
      <c r="S246" s="84">
        <f t="shared" si="2245"/>
        <v>-0.22297820128437279</v>
      </c>
      <c r="T246" s="84">
        <f t="shared" si="2245"/>
        <v>-0.30571200884220673</v>
      </c>
      <c r="U246" s="84">
        <f t="shared" si="2245"/>
        <v>-9.8071646463560036E-2</v>
      </c>
      <c r="V246" s="84">
        <f t="shared" si="2245"/>
        <v>-8.1624022220683906E-2</v>
      </c>
      <c r="W246" s="84">
        <f t="shared" si="2245"/>
        <v>-7.2456203325318796E-2</v>
      </c>
      <c r="X246" s="84">
        <f t="shared" si="2245"/>
        <v>-6.3540795810759956E-2</v>
      </c>
      <c r="Y246" s="84">
        <f t="shared" si="2245"/>
        <v>-6.7885181231967059E-2</v>
      </c>
      <c r="Z246" s="84">
        <f t="shared" si="2245"/>
        <v>-6.6620882981294594E-2</v>
      </c>
      <c r="AA246" s="84">
        <f t="shared" ref="AA246" si="2246">(AA161+AA148+AA138+AA140)/AA120</f>
        <v>-6.7107266138160829E-2</v>
      </c>
      <c r="AB246" s="50">
        <f t="shared" si="2245"/>
        <v>-4.2399299001454636E-2</v>
      </c>
      <c r="AC246" s="50">
        <f t="shared" si="2245"/>
        <v>-1.6575441865154666E-2</v>
      </c>
      <c r="AD246" s="50">
        <f t="shared" si="2245"/>
        <v>1.0062299288005849E-2</v>
      </c>
      <c r="AE246" s="50">
        <f t="shared" si="2245"/>
        <v>3.7346888742719339E-2</v>
      </c>
      <c r="AL246" s="84">
        <f t="shared" ref="AL246:CW246" si="2247">(AL161+AL148+AL138+AL140)/AL120</f>
        <v>-3.4090140845070427</v>
      </c>
      <c r="AM246" s="84">
        <f t="shared" si="2247"/>
        <v>-3.1210427784824013</v>
      </c>
      <c r="AN246" s="84">
        <f t="shared" si="2247"/>
        <v>-2.9668276679121481</v>
      </c>
      <c r="AO246" s="84">
        <f t="shared" si="2247"/>
        <v>-2.6921406353201136</v>
      </c>
      <c r="AP246" s="84">
        <f t="shared" si="2247"/>
        <v>-2.4083295435709338</v>
      </c>
      <c r="AQ246" s="84">
        <f t="shared" si="2247"/>
        <v>-2.2482837020437878</v>
      </c>
      <c r="AR246" s="84">
        <f t="shared" si="2247"/>
        <v>-2.0945156197820212</v>
      </c>
      <c r="AS246" s="84">
        <f t="shared" si="2247"/>
        <v>-1.9231675490446283</v>
      </c>
      <c r="AT246" s="84">
        <f t="shared" si="2247"/>
        <v>-2.0363130373844371</v>
      </c>
      <c r="AU246" s="84">
        <f t="shared" si="2247"/>
        <v>-1.9546525146856673</v>
      </c>
      <c r="AV246" s="84">
        <f t="shared" si="2247"/>
        <v>-3.0028849788972014</v>
      </c>
      <c r="AW246" s="84">
        <f t="shared" si="2247"/>
        <v>-2.9079345887427706</v>
      </c>
      <c r="AX246" s="84">
        <f t="shared" si="2247"/>
        <v>-2.3736650786841573</v>
      </c>
      <c r="AY246" s="84">
        <f t="shared" si="2247"/>
        <v>-2.2850350696376971</v>
      </c>
      <c r="AZ246" s="84">
        <f t="shared" si="2247"/>
        <v>-2.4435332278559492</v>
      </c>
      <c r="BA246" s="84">
        <f t="shared" si="2247"/>
        <v>-2.1055490347005468</v>
      </c>
      <c r="BB246" s="84">
        <f t="shared" si="2247"/>
        <v>-2.0149352495582891</v>
      </c>
      <c r="BC246" s="84">
        <f t="shared" si="2247"/>
        <v>-1.781856161961088</v>
      </c>
      <c r="BD246" s="84">
        <f t="shared" si="2247"/>
        <v>-0.23911100977656422</v>
      </c>
      <c r="BE246" s="84">
        <f t="shared" si="2247"/>
        <v>-0.19148538845904367</v>
      </c>
      <c r="BF246" s="84">
        <f t="shared" si="2247"/>
        <v>-0.22297820128437279</v>
      </c>
      <c r="BG246" s="84">
        <f t="shared" si="2247"/>
        <v>-0.18348353753420493</v>
      </c>
      <c r="BH246" s="84">
        <f t="shared" si="2247"/>
        <v>-0.21437038898375196</v>
      </c>
      <c r="BI246" s="84">
        <f t="shared" si="2247"/>
        <v>-0.18143369813221519</v>
      </c>
      <c r="BJ246" s="84">
        <f t="shared" si="2247"/>
        <v>-0.30571200884220667</v>
      </c>
      <c r="BK246" s="84">
        <f t="shared" si="2247"/>
        <v>-0.28488739552569453</v>
      </c>
      <c r="BL246" s="84">
        <f t="shared" si="2247"/>
        <v>-0.11014265015499593</v>
      </c>
      <c r="BM246" s="84">
        <f t="shared" si="2247"/>
        <v>-9.0591366594775555E-2</v>
      </c>
      <c r="BN246" s="84">
        <f t="shared" si="2247"/>
        <v>-9.8071646463560036E-2</v>
      </c>
      <c r="BO246" s="84">
        <f t="shared" si="2247"/>
        <v>-3.3826748100110736E-2</v>
      </c>
      <c r="BP246" s="84">
        <f t="shared" si="2247"/>
        <v>-9.3078725729662123E-2</v>
      </c>
      <c r="BQ246" s="84">
        <f t="shared" si="2247"/>
        <v>-7.6800449635843662E-2</v>
      </c>
      <c r="BR246" s="84">
        <f t="shared" si="2247"/>
        <v>-8.162402222068392E-2</v>
      </c>
      <c r="BS246" s="84">
        <f t="shared" si="2247"/>
        <v>-6.3453718785917296E-2</v>
      </c>
      <c r="BT246" s="84">
        <f t="shared" si="2247"/>
        <v>-7.7896618916083155E-2</v>
      </c>
      <c r="BU246" s="84">
        <f t="shared" si="2247"/>
        <v>-6.1453775231262518E-2</v>
      </c>
      <c r="BV246" s="84">
        <f t="shared" si="2247"/>
        <v>-7.245620332531881E-2</v>
      </c>
      <c r="BW246" s="84">
        <f t="shared" si="2247"/>
        <v>-5.5639644436374522E-2</v>
      </c>
      <c r="BX246" s="84">
        <f t="shared" si="2247"/>
        <v>-6.9760550343048455E-2</v>
      </c>
      <c r="BY246" s="84">
        <f t="shared" si="2247"/>
        <v>-5.4068790028953644E-2</v>
      </c>
      <c r="BZ246" s="84">
        <f t="shared" si="2247"/>
        <v>-6.354079581075997E-2</v>
      </c>
      <c r="CA246" s="84">
        <f t="shared" si="2247"/>
        <v>-4.7199283859429446E-2</v>
      </c>
      <c r="CB246" s="84">
        <f t="shared" si="2247"/>
        <v>-6.2209262539616041E-2</v>
      </c>
      <c r="CC246" s="84">
        <f t="shared" si="2247"/>
        <v>-4.5819259978227611E-2</v>
      </c>
      <c r="CD246" s="84">
        <f t="shared" si="2247"/>
        <v>-6.7885181231967059E-2</v>
      </c>
      <c r="CE246" s="84">
        <f t="shared" si="2247"/>
        <v>-5.0252653153172344E-2</v>
      </c>
      <c r="CF246" s="84">
        <f t="shared" si="2247"/>
        <v>-6.9797067116752043E-2</v>
      </c>
      <c r="CG246" s="84">
        <f t="shared" si="2247"/>
        <v>-5.1857033242446011E-2</v>
      </c>
      <c r="CH246" s="84">
        <f t="shared" si="2247"/>
        <v>-6.6620882981294594E-2</v>
      </c>
      <c r="CI246" s="84">
        <f t="shared" si="2247"/>
        <v>-4.7114891179629567E-2</v>
      </c>
      <c r="CJ246" s="84">
        <f t="shared" si="2247"/>
        <v>-6.2534471677386128E-2</v>
      </c>
      <c r="CK246" s="50">
        <f t="shared" si="2247"/>
        <v>-5.5267512454107527E-2</v>
      </c>
      <c r="CL246" s="84">
        <f t="shared" ref="CL246" si="2248">(CL161+CL148+CL138+CL140)/CL120</f>
        <v>-6.7107266138160815E-2</v>
      </c>
      <c r="CM246" s="50">
        <f t="shared" si="2247"/>
        <v>-5.6373695867174507E-2</v>
      </c>
      <c r="CN246" s="50">
        <f t="shared" si="2247"/>
        <v>-5.0954361155016989E-2</v>
      </c>
      <c r="CO246" s="50">
        <f t="shared" si="2247"/>
        <v>-4.7154998637496899E-2</v>
      </c>
      <c r="CP246" s="50">
        <f t="shared" si="2247"/>
        <v>-4.2399299001454636E-2</v>
      </c>
      <c r="CQ246" s="50">
        <f t="shared" si="2247"/>
        <v>-3.1675402804447111E-2</v>
      </c>
      <c r="CR246" s="50">
        <f t="shared" si="2247"/>
        <v>-2.6061189415650513E-2</v>
      </c>
      <c r="CS246" s="50">
        <f t="shared" si="2247"/>
        <v>-2.1738187323550737E-2</v>
      </c>
      <c r="CT246" s="50">
        <f t="shared" si="2247"/>
        <v>-1.6575441865154666E-2</v>
      </c>
      <c r="CU246" s="50">
        <f t="shared" si="2247"/>
        <v>-6.1257753115833364E-3</v>
      </c>
      <c r="CV246" s="50">
        <f t="shared" si="2247"/>
        <v>-2.3854293500644467E-4</v>
      </c>
      <c r="CW246" s="50">
        <f t="shared" si="2247"/>
        <v>4.5398166283549908E-3</v>
      </c>
      <c r="CX246" s="50">
        <f t="shared" ref="CX246:DB246" si="2249">(CX161+CX148+CX138+CX140)/CX120</f>
        <v>1.0062299288005849E-2</v>
      </c>
      <c r="CY246" s="50">
        <f t="shared" si="2249"/>
        <v>2.0224024767145278E-2</v>
      </c>
      <c r="CZ246" s="50">
        <f t="shared" si="2249"/>
        <v>2.6357951449843764E-2</v>
      </c>
      <c r="DA246" s="50">
        <f t="shared" si="2249"/>
        <v>3.1524355159885033E-2</v>
      </c>
      <c r="DB246" s="50">
        <f t="shared" si="2249"/>
        <v>3.7346888742719339E-2</v>
      </c>
      <c r="DE246" s="138"/>
      <c r="DF246" s="84">
        <v>-6.7107266138160801E-2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0.10496165871634171</v>
      </c>
      <c r="C248" s="88">
        <f t="shared" si="2250"/>
        <v>0.12194211242667695</v>
      </c>
      <c r="D248" s="88">
        <f t="shared" si="2250"/>
        <v>0.28664651408281755</v>
      </c>
      <c r="F248" s="88">
        <f t="shared" si="2250"/>
        <v>-1.8768878718535449</v>
      </c>
      <c r="G248" s="88">
        <f t="shared" si="2250"/>
        <v>-5.504310604690419E-2</v>
      </c>
      <c r="H248" s="88">
        <f t="shared" si="2250"/>
        <v>-0.26029700196133365</v>
      </c>
      <c r="I248" s="88">
        <f t="shared" si="2250"/>
        <v>-0.17179321003041018</v>
      </c>
      <c r="J248" s="88">
        <f t="shared" si="2250"/>
        <v>-9.9004410172445628E-2</v>
      </c>
      <c r="K248" s="88">
        <f t="shared" si="2250"/>
        <v>-3.3029024201188528E-2</v>
      </c>
      <c r="L248" s="88">
        <f t="shared" si="2250"/>
        <v>-0.12114919780023685</v>
      </c>
      <c r="M248" s="88">
        <f t="shared" si="2250"/>
        <v>-0.12115733963561968</v>
      </c>
      <c r="N248" s="88">
        <f t="shared" si="2250"/>
        <v>-7.6312927067354638E-2</v>
      </c>
      <c r="O248" s="88">
        <f t="shared" si="2250"/>
        <v>-9.2016847796058364E-3</v>
      </c>
      <c r="P248" s="88">
        <f t="shared" si="2250"/>
        <v>-1.6674078865798768E-2</v>
      </c>
      <c r="Q248" s="88">
        <f t="shared" si="2250"/>
        <v>-0.16533833058634939</v>
      </c>
      <c r="R248" s="88">
        <f t="shared" si="2250"/>
        <v>-0.12128438069062625</v>
      </c>
      <c r="S248" s="88">
        <f t="shared" si="2250"/>
        <v>-2.7504840310967303E-2</v>
      </c>
      <c r="T248" s="88">
        <f t="shared" si="2250"/>
        <v>-5.2615988172603878E-2</v>
      </c>
      <c r="U248" s="88">
        <f t="shared" si="2250"/>
        <v>-4.8360447527226709E-3</v>
      </c>
      <c r="V248" s="88">
        <f t="shared" si="2250"/>
        <v>-6.1392426969403297E-3</v>
      </c>
      <c r="W248" s="88">
        <f t="shared" si="2250"/>
        <v>-6.2402827455544886E-3</v>
      </c>
      <c r="X248" s="88">
        <f t="shared" si="2250"/>
        <v>-4.2336389299552392E-3</v>
      </c>
      <c r="Y248" s="88">
        <f t="shared" si="2250"/>
        <v>-3.4716757691678419E-3</v>
      </c>
      <c r="Z248" s="88">
        <f t="shared" si="2250"/>
        <v>-5.1317583949956795E-3</v>
      </c>
      <c r="AA248" s="88">
        <f t="shared" ref="AA248" si="2251">AA161/AA120</f>
        <v>-1.9396118174202762E-3</v>
      </c>
      <c r="AB248" s="42">
        <f t="shared" si="2250"/>
        <v>1.2770497723508739E-2</v>
      </c>
      <c r="AC248" s="42">
        <f t="shared" si="2250"/>
        <v>3.0025566718364018E-2</v>
      </c>
      <c r="AD248" s="42">
        <f t="shared" si="2250"/>
        <v>4.9454584604339186E-2</v>
      </c>
      <c r="AE248" s="42">
        <f t="shared" si="2250"/>
        <v>7.0687332769458072E-2</v>
      </c>
      <c r="AL248" s="88">
        <f t="shared" ref="AL248:CW248" si="2252">AL161/AL120</f>
        <v>-7.6312927067354638E-2</v>
      </c>
      <c r="AM248" s="88">
        <f t="shared" si="2252"/>
        <v>-7.1592742398773248E-3</v>
      </c>
      <c r="AN248" s="88">
        <f t="shared" si="2252"/>
        <v>-9.2168816281111052E-2</v>
      </c>
      <c r="AO248" s="88">
        <f t="shared" si="2252"/>
        <v>-1.7159650964513912E-2</v>
      </c>
      <c r="AP248" s="88">
        <f t="shared" si="2252"/>
        <v>-9.2016847796058364E-3</v>
      </c>
      <c r="AQ248" s="88">
        <f t="shared" si="2252"/>
        <v>3.5113277778630596E-2</v>
      </c>
      <c r="AR248" s="88">
        <f t="shared" si="2252"/>
        <v>-8.23871398645982E-3</v>
      </c>
      <c r="AS248" s="88">
        <f t="shared" si="2252"/>
        <v>4.2170190884061966E-2</v>
      </c>
      <c r="AT248" s="88">
        <f t="shared" si="2252"/>
        <v>-1.6674078865798768E-2</v>
      </c>
      <c r="AU248" s="88">
        <f t="shared" si="2252"/>
        <v>1.0141502101312542E-2</v>
      </c>
      <c r="AV248" s="88">
        <f t="shared" si="2252"/>
        <v>-0.10594782867377738</v>
      </c>
      <c r="AW248" s="88">
        <f t="shared" si="2252"/>
        <v>-7.914886490440079E-2</v>
      </c>
      <c r="AX248" s="88">
        <f t="shared" si="2252"/>
        <v>-0.16533833058634939</v>
      </c>
      <c r="AY248" s="88">
        <f t="shared" si="2252"/>
        <v>-0.13479428207242156</v>
      </c>
      <c r="AZ248" s="88">
        <f t="shared" si="2252"/>
        <v>-0.22248205809853042</v>
      </c>
      <c r="BA248" s="88">
        <f t="shared" si="2252"/>
        <v>-9.7521937883480167E-2</v>
      </c>
      <c r="BB248" s="88">
        <f t="shared" si="2252"/>
        <v>-0.12128438069062625</v>
      </c>
      <c r="BC248" s="88">
        <f t="shared" si="2252"/>
        <v>-3.347814382704558E-2</v>
      </c>
      <c r="BD248" s="88">
        <f t="shared" si="2252"/>
        <v>-2.5658917558758924E-2</v>
      </c>
      <c r="BE248" s="88">
        <f t="shared" si="2252"/>
        <v>1.172602566591978E-2</v>
      </c>
      <c r="BF248" s="88">
        <f t="shared" si="2252"/>
        <v>-2.7504840310967303E-2</v>
      </c>
      <c r="BG248" s="88">
        <f t="shared" si="2252"/>
        <v>5.0353310014627931E-3</v>
      </c>
      <c r="BH248" s="88">
        <f t="shared" si="2252"/>
        <v>-2.2241592676666248E-2</v>
      </c>
      <c r="BI248" s="88">
        <f t="shared" si="2252"/>
        <v>5.1845978470163381E-3</v>
      </c>
      <c r="BJ248" s="88">
        <f t="shared" si="2252"/>
        <v>-5.2615988172603878E-2</v>
      </c>
      <c r="BK248" s="88">
        <f t="shared" si="2252"/>
        <v>-3.6054755357036714E-2</v>
      </c>
      <c r="BL248" s="88">
        <f t="shared" si="2252"/>
        <v>-5.4931393934643273E-3</v>
      </c>
      <c r="BM248" s="88">
        <f t="shared" si="2252"/>
        <v>1.1768987765465606E-2</v>
      </c>
      <c r="BN248" s="88">
        <f t="shared" si="2252"/>
        <v>-4.8360447527226709E-3</v>
      </c>
      <c r="BO248" s="88">
        <f t="shared" si="2252"/>
        <v>5.3639171236424303E-2</v>
      </c>
      <c r="BP248" s="88">
        <f t="shared" si="2252"/>
        <v>-1.0769062024830866E-2</v>
      </c>
      <c r="BQ248" s="88">
        <f t="shared" si="2252"/>
        <v>4.5570843960094122E-3</v>
      </c>
      <c r="BR248" s="88">
        <f t="shared" si="2252"/>
        <v>-6.1392426969403297E-3</v>
      </c>
      <c r="BS248" s="88">
        <f t="shared" si="2252"/>
        <v>1.0796022230196821E-2</v>
      </c>
      <c r="BT248" s="88">
        <f t="shared" si="2252"/>
        <v>-6.6096015074623661E-3</v>
      </c>
      <c r="BU248" s="88">
        <f t="shared" si="2252"/>
        <v>8.9095773825510639E-3</v>
      </c>
      <c r="BV248" s="88">
        <f t="shared" si="2252"/>
        <v>-6.2402827455544886E-3</v>
      </c>
      <c r="BW248" s="88">
        <f t="shared" si="2252"/>
        <v>9.4083071264043812E-3</v>
      </c>
      <c r="BX248" s="88">
        <f t="shared" si="2252"/>
        <v>-7.6185098539552137E-3</v>
      </c>
      <c r="BY248" s="88">
        <f t="shared" si="2252"/>
        <v>7.1902272421674488E-3</v>
      </c>
      <c r="BZ248" s="88">
        <f t="shared" si="2252"/>
        <v>-4.2336389299552392E-3</v>
      </c>
      <c r="CA248" s="88">
        <f t="shared" si="2252"/>
        <v>1.1293875880955874E-2</v>
      </c>
      <c r="CB248" s="88">
        <f t="shared" si="2252"/>
        <v>-4.5697856097722785E-3</v>
      </c>
      <c r="CC248" s="88">
        <f t="shared" si="2252"/>
        <v>1.1120793165866042E-2</v>
      </c>
      <c r="CD248" s="88">
        <f t="shared" si="2252"/>
        <v>-3.4716757691678419E-3</v>
      </c>
      <c r="CE248" s="88">
        <f t="shared" si="2252"/>
        <v>1.310191813899844E-2</v>
      </c>
      <c r="CF248" s="88">
        <f t="shared" si="2252"/>
        <v>-2.3331785244486711E-3</v>
      </c>
      <c r="CG248" s="88">
        <f t="shared" si="2252"/>
        <v>1.4191821050183719E-2</v>
      </c>
      <c r="CH248" s="88">
        <f t="shared" si="2252"/>
        <v>-5.1317583949956795E-3</v>
      </c>
      <c r="CI248" s="88">
        <f t="shared" si="2252"/>
        <v>1.0061921776821574E-2</v>
      </c>
      <c r="CJ248" s="88">
        <f t="shared" si="2252"/>
        <v>-3.7023024674757029E-3</v>
      </c>
      <c r="CK248" s="42">
        <f t="shared" si="2252"/>
        <v>1.9653088253366877E-3</v>
      </c>
      <c r="CL248" s="88">
        <f t="shared" ref="CL248" si="2253">CL161/CL120</f>
        <v>-1.9396118174202762E-3</v>
      </c>
      <c r="CM248" s="42">
        <f t="shared" si="2252"/>
        <v>2.5987372506984957E-3</v>
      </c>
      <c r="CN248" s="42">
        <f t="shared" si="2252"/>
        <v>6.338130061872939E-3</v>
      </c>
      <c r="CO248" s="42">
        <f t="shared" si="2252"/>
        <v>9.4601160145715048E-3</v>
      </c>
      <c r="CP248" s="42">
        <f t="shared" si="2252"/>
        <v>1.2770497723508739E-2</v>
      </c>
      <c r="CQ248" s="42">
        <f t="shared" si="2252"/>
        <v>1.7831493676099961E-2</v>
      </c>
      <c r="CR248" s="42">
        <f t="shared" si="2252"/>
        <v>2.2147762176128294E-2</v>
      </c>
      <c r="CS248" s="42">
        <f t="shared" si="2252"/>
        <v>2.6043725414294481E-2</v>
      </c>
      <c r="CT248" s="42">
        <f t="shared" si="2252"/>
        <v>3.0025566718364018E-2</v>
      </c>
      <c r="CU248" s="42">
        <f t="shared" si="2252"/>
        <v>3.5539948686666212E-2</v>
      </c>
      <c r="CV248" s="42">
        <f t="shared" si="2252"/>
        <v>4.0396693850086277E-2</v>
      </c>
      <c r="CW248" s="42">
        <f t="shared" si="2252"/>
        <v>4.489519464561547E-2</v>
      </c>
      <c r="CX248" s="42">
        <f t="shared" ref="CX248:DB248" si="2254">CX161/CX120</f>
        <v>4.9454584604339186E-2</v>
      </c>
      <c r="CY248" s="42">
        <f t="shared" si="2254"/>
        <v>5.5345778238619588E-2</v>
      </c>
      <c r="CZ248" s="42">
        <f t="shared" si="2254"/>
        <v>6.0654001276512881E-2</v>
      </c>
      <c r="DA248" s="42">
        <f t="shared" si="2254"/>
        <v>6.5646733599525067E-2</v>
      </c>
      <c r="DB248" s="42">
        <f t="shared" si="2254"/>
        <v>7.0687332769458072E-2</v>
      </c>
      <c r="DE248" s="125"/>
      <c r="DF248" s="88">
        <v>-1.9396118174202762E-3</v>
      </c>
    </row>
    <row r="249" spans="1:110" s="89" customFormat="1" x14ac:dyDescent="0.2">
      <c r="A249" s="89" t="s">
        <v>103</v>
      </c>
      <c r="C249" s="89">
        <f t="shared" ref="C249:AE249" si="2255">C128/B128-1</f>
        <v>-5.2995737596051029E-4</v>
      </c>
      <c r="D249" s="89">
        <f t="shared" si="2255"/>
        <v>1.0227285657393184</v>
      </c>
      <c r="F249" s="89">
        <f t="shared" si="2255"/>
        <v>0.27351433248109536</v>
      </c>
      <c r="G249" s="89">
        <f t="shared" si="2255"/>
        <v>0.12163009071402753</v>
      </c>
      <c r="H249" s="89">
        <f t="shared" si="2255"/>
        <v>-3.9292563392286373E-2</v>
      </c>
      <c r="I249" s="89">
        <f t="shared" si="2255"/>
        <v>0.29474535086033105</v>
      </c>
      <c r="J249" s="89">
        <f t="shared" si="2255"/>
        <v>0.27310829999200581</v>
      </c>
      <c r="K249" s="89">
        <f>K128/J128-1</f>
        <v>0.17811553423895665</v>
      </c>
      <c r="L249" s="89">
        <f t="shared" si="2255"/>
        <v>0.18087493274043398</v>
      </c>
      <c r="M249" s="89">
        <f t="shared" si="2255"/>
        <v>0.17096677126767812</v>
      </c>
      <c r="N249" s="89">
        <f t="shared" si="2255"/>
        <v>0.14666191878180035</v>
      </c>
      <c r="O249" s="89">
        <f t="shared" si="2255"/>
        <v>4.3682948458955373E-2</v>
      </c>
      <c r="P249" s="89">
        <f t="shared" si="2255"/>
        <v>0.13653939063949871</v>
      </c>
      <c r="Q249" s="89">
        <f t="shared" si="2255"/>
        <v>0.57264870758874964</v>
      </c>
      <c r="R249" s="89">
        <f t="shared" si="2255"/>
        <v>0.39180219691580542</v>
      </c>
      <c r="S249" s="89">
        <f t="shared" si="2255"/>
        <v>-3.9551725328493159E-2</v>
      </c>
      <c r="T249" s="89">
        <f t="shared" si="2255"/>
        <v>6.2087519522711965E-2</v>
      </c>
      <c r="U249" s="89">
        <f t="shared" si="2255"/>
        <v>9.4383812595910666E-3</v>
      </c>
      <c r="V249" s="89">
        <f t="shared" si="2255"/>
        <v>0.16333091237425457</v>
      </c>
      <c r="W249" s="89">
        <f t="shared" si="2255"/>
        <v>1.4134381102278049E-2</v>
      </c>
      <c r="X249" s="89">
        <f t="shared" si="2255"/>
        <v>6.1566679388380674E-3</v>
      </c>
      <c r="Y249" s="89">
        <f t="shared" si="2255"/>
        <v>6.5205055195043382E-3</v>
      </c>
      <c r="Z249" s="89">
        <f t="shared" si="2255"/>
        <v>1.943128389599913E-2</v>
      </c>
      <c r="AA249" s="89">
        <f t="shared" si="2255"/>
        <v>1.5774136079944379E-2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5.4503215320471865E-2</v>
      </c>
      <c r="AM249" s="89">
        <f t="shared" si="2256"/>
        <v>0</v>
      </c>
      <c r="AN249" s="89">
        <f t="shared" si="2256"/>
        <v>5.620624201068547E-2</v>
      </c>
      <c r="AO249" s="89">
        <f t="shared" si="2256"/>
        <v>0</v>
      </c>
      <c r="AP249" s="89">
        <f t="shared" si="2256"/>
        <v>-2.6676606814288517E-2</v>
      </c>
      <c r="AQ249" s="89">
        <f t="shared" si="2256"/>
        <v>0</v>
      </c>
      <c r="AR249" s="89">
        <f t="shared" si="2256"/>
        <v>-3.2511872129746822E-3</v>
      </c>
      <c r="AS249" s="89">
        <f t="shared" si="2256"/>
        <v>0</v>
      </c>
      <c r="AT249" s="89">
        <f t="shared" si="2256"/>
        <v>0.10708323864054403</v>
      </c>
      <c r="AU249" s="89">
        <f t="shared" si="2256"/>
        <v>0</v>
      </c>
      <c r="AV249" s="89">
        <f t="shared" si="2256"/>
        <v>0.50449992763490203</v>
      </c>
      <c r="AW249" s="89">
        <f t="shared" si="2256"/>
        <v>0</v>
      </c>
      <c r="AX249" s="89">
        <f t="shared" si="2256"/>
        <v>4.6347903762527842E-2</v>
      </c>
      <c r="AY249" s="89">
        <f t="shared" si="2256"/>
        <v>0</v>
      </c>
      <c r="AZ249" s="89">
        <f t="shared" si="2256"/>
        <v>-4.0929840723639033E-2</v>
      </c>
      <c r="BA249" s="89">
        <f t="shared" si="2256"/>
        <v>0</v>
      </c>
      <c r="BB249" s="89">
        <f t="shared" si="2256"/>
        <v>0.46410359995969919</v>
      </c>
      <c r="BC249" s="89">
        <f t="shared" si="2256"/>
        <v>0</v>
      </c>
      <c r="BD249" s="89">
        <f t="shared" si="2256"/>
        <v>-4.4296482177049512E-2</v>
      </c>
      <c r="BE249" s="89">
        <f t="shared" si="2256"/>
        <v>0</v>
      </c>
      <c r="BF249" s="89">
        <f t="shared" si="2256"/>
        <v>-7.9421814836460047E-2</v>
      </c>
      <c r="BG249" s="89">
        <f t="shared" si="2256"/>
        <v>0</v>
      </c>
      <c r="BH249" s="89">
        <f t="shared" si="2256"/>
        <v>-3.5622482183061965E-3</v>
      </c>
      <c r="BI249" s="89">
        <f t="shared" si="2256"/>
        <v>0</v>
      </c>
      <c r="BJ249" s="89">
        <f t="shared" si="2256"/>
        <v>-3.6756558200360723E-2</v>
      </c>
      <c r="BK249" s="89">
        <f t="shared" si="2256"/>
        <v>0</v>
      </c>
      <c r="BL249" s="89">
        <f t="shared" si="2256"/>
        <v>-4.8177014311563071E-2</v>
      </c>
      <c r="BM249" s="89">
        <f t="shared" si="2256"/>
        <v>0</v>
      </c>
      <c r="BN249" s="89">
        <f t="shared" si="2256"/>
        <v>-0.12916503885956532</v>
      </c>
      <c r="BO249" s="89">
        <f t="shared" si="2256"/>
        <v>0</v>
      </c>
      <c r="BP249" s="89">
        <f t="shared" si="2256"/>
        <v>0.40405838546548578</v>
      </c>
      <c r="BQ249" s="89">
        <f t="shared" si="2256"/>
        <v>0</v>
      </c>
      <c r="BR249" s="89">
        <f t="shared" si="2256"/>
        <v>0.32084137506262866</v>
      </c>
      <c r="BS249" s="89">
        <f t="shared" si="2256"/>
        <v>0</v>
      </c>
      <c r="BT249" s="89">
        <f t="shared" si="2256"/>
        <v>8.1382577375725962E-3</v>
      </c>
      <c r="BU249" s="89">
        <f t="shared" si="2256"/>
        <v>0</v>
      </c>
      <c r="BV249" s="89">
        <f t="shared" si="2256"/>
        <v>5.9477192921550959E-3</v>
      </c>
      <c r="BW249" s="89">
        <f t="shared" si="2256"/>
        <v>0</v>
      </c>
      <c r="BX249" s="89">
        <f t="shared" si="2256"/>
        <v>-1.5809101170127238E-2</v>
      </c>
      <c r="BY249" s="89">
        <f t="shared" si="2256"/>
        <v>0</v>
      </c>
      <c r="BZ249" s="89">
        <f t="shared" si="2256"/>
        <v>2.2318606212556213E-2</v>
      </c>
      <c r="CA249" s="89">
        <f t="shared" si="2256"/>
        <v>0</v>
      </c>
      <c r="CB249" s="89">
        <f t="shared" si="2256"/>
        <v>3.2090551647780963E-3</v>
      </c>
      <c r="CC249" s="89">
        <f t="shared" si="2256"/>
        <v>0</v>
      </c>
      <c r="CD249" s="89">
        <f t="shared" si="2256"/>
        <v>3.3008577202109368E-3</v>
      </c>
      <c r="CE249" s="89">
        <f t="shared" si="2256"/>
        <v>0</v>
      </c>
      <c r="CF249" s="89">
        <f t="shared" si="2256"/>
        <v>-1.1351369771709696E-2</v>
      </c>
      <c r="CG249" s="89">
        <f t="shared" si="2256"/>
        <v>0</v>
      </c>
      <c r="CH249" s="89">
        <f t="shared" si="2256"/>
        <v>3.1136090949320128E-2</v>
      </c>
      <c r="CI249" s="89">
        <f t="shared" si="2256"/>
        <v>0</v>
      </c>
      <c r="CJ249" s="89">
        <f t="shared" si="2256"/>
        <v>5.0722243852177051E-3</v>
      </c>
      <c r="CK249" s="47">
        <f t="shared" si="2256"/>
        <v>0</v>
      </c>
      <c r="CL249" s="89">
        <f t="shared" si="2256"/>
        <v>1.0647903140764692E-2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1.5774136079944379E-2</v>
      </c>
    </row>
    <row r="250" spans="1:110" s="89" customFormat="1" x14ac:dyDescent="0.2">
      <c r="A250" s="89" t="s">
        <v>104</v>
      </c>
      <c r="C250" s="89">
        <f>C28/B28-1</f>
        <v>-1.2125875094216707</v>
      </c>
      <c r="D250" s="89">
        <f>D28/C28-1</f>
        <v>3.6891191709844611</v>
      </c>
      <c r="F250" s="89">
        <f t="shared" ref="F250:AE250" si="2258">F28/E28-1</f>
        <v>225.5000000000218</v>
      </c>
      <c r="G250" s="89">
        <f t="shared" si="2258"/>
        <v>-2.2898139388205632</v>
      </c>
      <c r="H250" s="89">
        <f t="shared" si="2258"/>
        <v>1.3240423797881027</v>
      </c>
      <c r="I250" s="89">
        <f t="shared" si="2258"/>
        <v>0.37259783980922867</v>
      </c>
      <c r="J250" s="89">
        <f t="shared" si="2258"/>
        <v>0.23785800056206963</v>
      </c>
      <c r="K250" s="89">
        <f t="shared" si="2258"/>
        <v>-0.21209056572619767</v>
      </c>
      <c r="L250" s="89">
        <f t="shared" si="2258"/>
        <v>-0.96159790438768744</v>
      </c>
      <c r="M250" s="89">
        <f t="shared" si="2258"/>
        <v>35.139154160981533</v>
      </c>
      <c r="N250" s="89">
        <f t="shared" si="2258"/>
        <v>-0.15134012835032085</v>
      </c>
      <c r="O250" s="89">
        <f t="shared" si="2258"/>
        <v>-8.6250611627597062E-2</v>
      </c>
      <c r="P250" s="89">
        <f t="shared" si="2258"/>
        <v>0.44321390322266474</v>
      </c>
      <c r="Q250" s="89">
        <f t="shared" si="2258"/>
        <v>0.20729259777714204</v>
      </c>
      <c r="R250" s="89">
        <f t="shared" si="2258"/>
        <v>-0.19473625391148919</v>
      </c>
      <c r="S250" s="89">
        <f t="shared" si="2258"/>
        <v>-1.0156304212060232</v>
      </c>
      <c r="T250" s="89">
        <f t="shared" si="2258"/>
        <v>-23.102108768035549</v>
      </c>
      <c r="U250" s="89">
        <f t="shared" si="2258"/>
        <v>1.1176057045294754</v>
      </c>
      <c r="V250" s="89">
        <f t="shared" si="2258"/>
        <v>0.15933127815982973</v>
      </c>
      <c r="W250" s="89">
        <f t="shared" si="2258"/>
        <v>-4.3486264803943797E-2</v>
      </c>
      <c r="X250" s="89">
        <f t="shared" si="2258"/>
        <v>5.3183072086906424E-2</v>
      </c>
      <c r="Y250" s="89">
        <f t="shared" si="2258"/>
        <v>7.0903553299492605E-2</v>
      </c>
      <c r="Z250" s="89">
        <f t="shared" si="2258"/>
        <v>8.2211520230555779E-2</v>
      </c>
      <c r="AA250" s="89">
        <f t="shared" si="2258"/>
        <v>8.1695224079330275E-2</v>
      </c>
      <c r="AB250" s="47">
        <f t="shared" si="2258"/>
        <v>-8.6708477966802699E-2</v>
      </c>
      <c r="AC250" s="47">
        <f t="shared" si="2258"/>
        <v>-9.4732922596592273E-2</v>
      </c>
      <c r="AD250" s="47">
        <f t="shared" si="2258"/>
        <v>-9.6439248686463364E-2</v>
      </c>
      <c r="AE250" s="47">
        <f t="shared" si="2258"/>
        <v>-9.6701964124285222E-2</v>
      </c>
      <c r="AL250" s="89">
        <f t="shared" ref="AL250:CW250" si="2259">AL28/AK28-1</f>
        <v>0.86093585699263464</v>
      </c>
      <c r="AM250" s="89">
        <f t="shared" si="2259"/>
        <v>8.9984461082073919E-2</v>
      </c>
      <c r="AN250" s="89">
        <f t="shared" si="2259"/>
        <v>-0.21261016070502903</v>
      </c>
      <c r="AO250" s="89">
        <f t="shared" si="2259"/>
        <v>-1.5554275368282355E-2</v>
      </c>
      <c r="AP250" s="89">
        <f t="shared" si="2259"/>
        <v>9.8144123056346233E-2</v>
      </c>
      <c r="AQ250" s="89">
        <f t="shared" si="2259"/>
        <v>0.23850487210718585</v>
      </c>
      <c r="AR250" s="89">
        <f t="shared" si="2259"/>
        <v>-0.20990841477656952</v>
      </c>
      <c r="AS250" s="89">
        <f t="shared" si="2259"/>
        <v>0.16197292671542085</v>
      </c>
      <c r="AT250" s="89">
        <f t="shared" si="2259"/>
        <v>6.8626138189608943E-2</v>
      </c>
      <c r="AU250" s="89">
        <f t="shared" si="2259"/>
        <v>0.31558173046801574</v>
      </c>
      <c r="AV250" s="89">
        <f t="shared" si="2259"/>
        <v>-0.10934374702352623</v>
      </c>
      <c r="AW250" s="89">
        <f t="shared" si="2259"/>
        <v>0.11672548390546478</v>
      </c>
      <c r="AX250" s="89">
        <f t="shared" si="2259"/>
        <v>-0.44601388556380162</v>
      </c>
      <c r="AY250" s="89">
        <f t="shared" si="2259"/>
        <v>0.8544511668107162</v>
      </c>
      <c r="AZ250" s="89">
        <f t="shared" si="2259"/>
        <v>-0.21849366144668159</v>
      </c>
      <c r="BA250" s="89">
        <f t="shared" si="2259"/>
        <v>-7.8363549618320594E-2</v>
      </c>
      <c r="BB250" s="89">
        <f t="shared" si="2259"/>
        <v>-0.29623398472887263</v>
      </c>
      <c r="BC250" s="89">
        <f t="shared" si="2259"/>
        <v>9.1669731518941644E-2</v>
      </c>
      <c r="BD250" s="89">
        <f t="shared" si="2259"/>
        <v>3.6806198938768686E-2</v>
      </c>
      <c r="BE250" s="89">
        <f t="shared" si="2259"/>
        <v>-0.72363931762794509</v>
      </c>
      <c r="BF250" s="89">
        <f t="shared" si="2259"/>
        <v>-5.1419753086419782</v>
      </c>
      <c r="BG250" s="89">
        <f t="shared" si="2259"/>
        <v>-1.2565467319565677</v>
      </c>
      <c r="BH250" s="89">
        <f t="shared" si="2259"/>
        <v>8.9626556016597858E-2</v>
      </c>
      <c r="BI250" s="89">
        <f t="shared" si="2259"/>
        <v>0.8002030972328007</v>
      </c>
      <c r="BJ250" s="89">
        <f t="shared" si="2259"/>
        <v>6.1609081934846985</v>
      </c>
      <c r="BK250" s="89">
        <f t="shared" si="2259"/>
        <v>-0.90033085194375517</v>
      </c>
      <c r="BL250" s="89">
        <f t="shared" si="2259"/>
        <v>1.4173088322465928</v>
      </c>
      <c r="BM250" s="89">
        <f t="shared" si="2259"/>
        <v>7.0459375510871114E-2</v>
      </c>
      <c r="BN250" s="89">
        <f t="shared" si="2259"/>
        <v>-0.10125229077580955</v>
      </c>
      <c r="BO250" s="89">
        <f t="shared" si="2259"/>
        <v>-3.3984706881873272E-4</v>
      </c>
      <c r="BP250" s="89">
        <f t="shared" si="2259"/>
        <v>4.1645419003910611E-3</v>
      </c>
      <c r="BQ250" s="89">
        <f t="shared" si="2259"/>
        <v>8.954718578078702E-2</v>
      </c>
      <c r="BR250" s="89">
        <f t="shared" si="2259"/>
        <v>-3.402470286646464E-2</v>
      </c>
      <c r="BS250" s="89">
        <f t="shared" si="2259"/>
        <v>-5.975070365902746E-2</v>
      </c>
      <c r="BT250" s="89">
        <f t="shared" si="2259"/>
        <v>-2.7112555593568177E-2</v>
      </c>
      <c r="BU250" s="89">
        <f t="shared" si="2259"/>
        <v>2.5142857142857578E-2</v>
      </c>
      <c r="BV250" s="89">
        <f t="shared" si="2259"/>
        <v>3.2072721035931284E-2</v>
      </c>
      <c r="BW250" s="89">
        <f t="shared" si="2259"/>
        <v>-2.7752388865807665E-2</v>
      </c>
      <c r="BX250" s="89">
        <f t="shared" si="2259"/>
        <v>1.5981540039312847E-2</v>
      </c>
      <c r="BY250" s="89">
        <f t="shared" si="2259"/>
        <v>5.9808209959622882E-2</v>
      </c>
      <c r="BZ250" s="89">
        <f t="shared" si="2259"/>
        <v>3.67489483292327E-2</v>
      </c>
      <c r="CA250" s="89">
        <f t="shared" si="2259"/>
        <v>-4.4862961261675216E-2</v>
      </c>
      <c r="CB250" s="89">
        <f t="shared" si="2259"/>
        <v>6.0916960564285638E-3</v>
      </c>
      <c r="CC250" s="89">
        <f t="shared" si="2259"/>
        <v>8.5882727852134577E-2</v>
      </c>
      <c r="CD250" s="89">
        <f t="shared" si="2259"/>
        <v>3.3308877476155851E-2</v>
      </c>
      <c r="CE250" s="89">
        <f t="shared" si="2259"/>
        <v>-4.2459528543027703E-2</v>
      </c>
      <c r="CF250" s="89">
        <f t="shared" si="2259"/>
        <v>1.7425478273765282E-2</v>
      </c>
      <c r="CG250" s="89">
        <f t="shared" si="2259"/>
        <v>8.468770497777145E-2</v>
      </c>
      <c r="CH250" s="89">
        <f t="shared" si="2259"/>
        <v>7.0550292279782933E-3</v>
      </c>
      <c r="CI250" s="89">
        <f t="shared" si="2259"/>
        <v>-3.4560982119028583E-2</v>
      </c>
      <c r="CJ250" s="89">
        <f t="shared" si="2259"/>
        <v>-4.6924671734623336E-2</v>
      </c>
      <c r="CK250" s="47">
        <f t="shared" si="2259"/>
        <v>0.26024218693350742</v>
      </c>
      <c r="CL250" s="89">
        <f t="shared" si="2259"/>
        <v>-7.3647871116225394E-2</v>
      </c>
      <c r="CM250" s="47">
        <f t="shared" si="2259"/>
        <v>-0.1659328874752003</v>
      </c>
      <c r="CN250" s="47">
        <f t="shared" si="2259"/>
        <v>2.0146972400188368E-2</v>
      </c>
      <c r="CO250" s="47">
        <f t="shared" si="2259"/>
        <v>7.225681408747886E-2</v>
      </c>
      <c r="CP250" s="47">
        <f t="shared" si="2259"/>
        <v>-8.0139230506772741E-3</v>
      </c>
      <c r="CQ250" s="47">
        <f t="shared" si="2259"/>
        <v>-0.15783040928942393</v>
      </c>
      <c r="CR250" s="47">
        <f t="shared" si="2259"/>
        <v>1.6453462715124045E-2</v>
      </c>
      <c r="CS250" s="47">
        <f t="shared" si="2259"/>
        <v>5.096937714601113E-2</v>
      </c>
      <c r="CT250" s="47">
        <f t="shared" si="2259"/>
        <v>6.3319581356180432E-3</v>
      </c>
      <c r="CU250" s="47">
        <f t="shared" si="2259"/>
        <v>-0.15775969924729172</v>
      </c>
      <c r="CV250" s="47">
        <f t="shared" si="2259"/>
        <v>1.4146012007188569E-2</v>
      </c>
      <c r="CW250" s="47">
        <f t="shared" si="2259"/>
        <v>4.8914867182304311E-2</v>
      </c>
      <c r="CX250" s="47">
        <f t="shared" ref="CX250:DB250" si="2260">CX28/CW28-1</f>
        <v>8.9320657661946523E-3</v>
      </c>
      <c r="CY250" s="47">
        <f t="shared" si="2260"/>
        <v>-0.15808911094376121</v>
      </c>
      <c r="CZ250" s="47">
        <f t="shared" si="2260"/>
        <v>1.3630504511392916E-2</v>
      </c>
      <c r="DA250" s="47">
        <f t="shared" si="2260"/>
        <v>4.8842491325850945E-2</v>
      </c>
      <c r="DB250" s="47">
        <f t="shared" si="2260"/>
        <v>9.339397709257069E-3</v>
      </c>
      <c r="DE250" s="130"/>
      <c r="DF250" s="89">
        <v>8.1695224079330497E-2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261">IF(D249&gt;D250,"RF",0)</f>
        <v>0</v>
      </c>
      <c r="F251" s="103">
        <f t="shared" si="2261"/>
        <v>0</v>
      </c>
      <c r="G251" s="103" t="str">
        <f t="shared" si="2261"/>
        <v>RF</v>
      </c>
      <c r="H251" s="103">
        <f t="shared" si="2261"/>
        <v>0</v>
      </c>
      <c r="I251" s="103">
        <f t="shared" si="2261"/>
        <v>0</v>
      </c>
      <c r="J251" s="103" t="str">
        <f t="shared" si="2261"/>
        <v>RF</v>
      </c>
      <c r="K251" s="103" t="str">
        <f t="shared" si="2261"/>
        <v>RF</v>
      </c>
      <c r="L251" s="103" t="str">
        <f t="shared" si="2261"/>
        <v>RF</v>
      </c>
      <c r="M251" s="103">
        <f t="shared" si="2261"/>
        <v>0</v>
      </c>
      <c r="N251" s="103" t="str">
        <f t="shared" si="2261"/>
        <v>RF</v>
      </c>
      <c r="O251" s="103" t="str">
        <f t="shared" si="2261"/>
        <v>RF</v>
      </c>
      <c r="P251" s="103">
        <f t="shared" si="2261"/>
        <v>0</v>
      </c>
      <c r="Q251" s="103" t="str">
        <f t="shared" si="2261"/>
        <v>RF</v>
      </c>
      <c r="R251" s="103" t="str">
        <f t="shared" si="2261"/>
        <v>RF</v>
      </c>
      <c r="S251" s="103" t="str">
        <f t="shared" si="2261"/>
        <v>RF</v>
      </c>
      <c r="T251" s="103" t="str">
        <f t="shared" si="2261"/>
        <v>RF</v>
      </c>
      <c r="U251" s="103">
        <f t="shared" si="2261"/>
        <v>0</v>
      </c>
      <c r="V251" s="103" t="str">
        <f>IF(V249&gt;V250,"RF",0)</f>
        <v>RF</v>
      </c>
      <c r="W251" s="103" t="str">
        <f t="shared" ref="W251:AE251" si="2262">IF(W249&gt;W250,"RF",0)</f>
        <v>RF</v>
      </c>
      <c r="X251" s="103">
        <f t="shared" si="2262"/>
        <v>0</v>
      </c>
      <c r="Y251" s="103">
        <f t="shared" si="2262"/>
        <v>0</v>
      </c>
      <c r="Z251" s="103">
        <f t="shared" si="2262"/>
        <v>0</v>
      </c>
      <c r="AA251" s="103">
        <f t="shared" ref="AA251" si="2263">IF(AA249&gt;AA250,"RF",0)</f>
        <v>0</v>
      </c>
      <c r="AB251" s="73" t="str">
        <f t="shared" si="2262"/>
        <v>RF</v>
      </c>
      <c r="AC251" s="73" t="str">
        <f t="shared" si="2262"/>
        <v>RF</v>
      </c>
      <c r="AD251" s="73" t="str">
        <f t="shared" si="2262"/>
        <v>RF</v>
      </c>
      <c r="AE251" s="73" t="str">
        <f t="shared" si="2262"/>
        <v>RF</v>
      </c>
      <c r="AL251" s="103">
        <f t="shared" ref="AL251:CW251" si="2264">IF(AL249&gt;AL250,"RF",0)</f>
        <v>0</v>
      </c>
      <c r="AM251" s="103">
        <f t="shared" si="2264"/>
        <v>0</v>
      </c>
      <c r="AN251" s="103" t="str">
        <f t="shared" si="2264"/>
        <v>RF</v>
      </c>
      <c r="AO251" s="103" t="str">
        <f t="shared" si="2264"/>
        <v>RF</v>
      </c>
      <c r="AP251" s="103">
        <f t="shared" si="2264"/>
        <v>0</v>
      </c>
      <c r="AQ251" s="103">
        <f t="shared" si="2264"/>
        <v>0</v>
      </c>
      <c r="AR251" s="103" t="str">
        <f t="shared" si="2264"/>
        <v>RF</v>
      </c>
      <c r="AS251" s="103">
        <f t="shared" si="2264"/>
        <v>0</v>
      </c>
      <c r="AT251" s="103" t="str">
        <f t="shared" si="2264"/>
        <v>RF</v>
      </c>
      <c r="AU251" s="103">
        <f t="shared" si="2264"/>
        <v>0</v>
      </c>
      <c r="AV251" s="103" t="str">
        <f t="shared" si="2264"/>
        <v>RF</v>
      </c>
      <c r="AW251" s="103">
        <f t="shared" si="2264"/>
        <v>0</v>
      </c>
      <c r="AX251" s="103" t="str">
        <f t="shared" si="2264"/>
        <v>RF</v>
      </c>
      <c r="AY251" s="103">
        <f t="shared" si="2264"/>
        <v>0</v>
      </c>
      <c r="AZ251" s="103" t="str">
        <f t="shared" si="2264"/>
        <v>RF</v>
      </c>
      <c r="BA251" s="103" t="str">
        <f t="shared" si="2264"/>
        <v>RF</v>
      </c>
      <c r="BB251" s="103" t="str">
        <f t="shared" si="2264"/>
        <v>RF</v>
      </c>
      <c r="BC251" s="103">
        <f t="shared" si="2264"/>
        <v>0</v>
      </c>
      <c r="BD251" s="103">
        <f t="shared" si="2264"/>
        <v>0</v>
      </c>
      <c r="BE251" s="103" t="str">
        <f t="shared" si="2264"/>
        <v>RF</v>
      </c>
      <c r="BF251" s="103" t="str">
        <f t="shared" si="2264"/>
        <v>RF</v>
      </c>
      <c r="BG251" s="103" t="str">
        <f t="shared" si="2264"/>
        <v>RF</v>
      </c>
      <c r="BH251" s="103">
        <f t="shared" si="2264"/>
        <v>0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>
        <f t="shared" si="2264"/>
        <v>0</v>
      </c>
      <c r="BM251" s="103">
        <f t="shared" si="2264"/>
        <v>0</v>
      </c>
      <c r="BN251" s="103">
        <f t="shared" si="2264"/>
        <v>0</v>
      </c>
      <c r="BO251" s="103" t="str">
        <f t="shared" si="2264"/>
        <v>RF</v>
      </c>
      <c r="BP251" s="103" t="str">
        <f t="shared" si="2264"/>
        <v>RF</v>
      </c>
      <c r="BQ251" s="103">
        <f t="shared" si="2264"/>
        <v>0</v>
      </c>
      <c r="BR251" s="103" t="str">
        <f t="shared" si="2264"/>
        <v>RF</v>
      </c>
      <c r="BS251" s="103" t="str">
        <f t="shared" si="2264"/>
        <v>RF</v>
      </c>
      <c r="BT251" s="103" t="str">
        <f t="shared" si="2264"/>
        <v>RF</v>
      </c>
      <c r="BU251" s="103">
        <f t="shared" si="2264"/>
        <v>0</v>
      </c>
      <c r="BV251" s="103">
        <f t="shared" si="2264"/>
        <v>0</v>
      </c>
      <c r="BW251" s="103" t="str">
        <f t="shared" si="2264"/>
        <v>RF</v>
      </c>
      <c r="BX251" s="103">
        <f t="shared" si="2264"/>
        <v>0</v>
      </c>
      <c r="BY251" s="103">
        <f t="shared" si="2264"/>
        <v>0</v>
      </c>
      <c r="BZ251" s="103">
        <f t="shared" si="2264"/>
        <v>0</v>
      </c>
      <c r="CA251" s="103" t="str">
        <f t="shared" si="2264"/>
        <v>RF</v>
      </c>
      <c r="CB251" s="103">
        <f t="shared" si="2264"/>
        <v>0</v>
      </c>
      <c r="CC251" s="103">
        <f t="shared" si="2264"/>
        <v>0</v>
      </c>
      <c r="CD251" s="103">
        <f t="shared" si="2264"/>
        <v>0</v>
      </c>
      <c r="CE251" s="103" t="str">
        <f t="shared" si="2264"/>
        <v>RF</v>
      </c>
      <c r="CF251" s="103">
        <f t="shared" si="2264"/>
        <v>0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 t="str">
        <f t="shared" si="2264"/>
        <v>RF</v>
      </c>
      <c r="CK251" s="73">
        <f t="shared" si="2264"/>
        <v>0</v>
      </c>
      <c r="CL251" s="103" t="str">
        <f t="shared" ref="CL251" si="2265">IF(CL249&gt;CL250,"RF",0)</f>
        <v>RF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 t="str">
        <f t="shared" si="2264"/>
        <v>RF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0.92244674570237939</v>
      </c>
      <c r="C252" s="86">
        <f>C36/C8</f>
        <v>0.28629702970297033</v>
      </c>
      <c r="D252" s="86">
        <f>D36/D8</f>
        <v>0.27231013098250789</v>
      </c>
      <c r="F252" s="86">
        <f t="shared" ref="F252:AE252" si="2267">F36/F8</f>
        <v>0.18824228763916925</v>
      </c>
      <c r="G252" s="86">
        <f t="shared" si="2267"/>
        <v>0.13351839507638361</v>
      </c>
      <c r="H252" s="86">
        <f t="shared" si="2267"/>
        <v>0.12378285405620548</v>
      </c>
      <c r="I252" s="86">
        <f t="shared" si="2267"/>
        <v>0.10092022563393646</v>
      </c>
      <c r="J252" s="86">
        <f t="shared" si="2267"/>
        <v>0.15674852445734386</v>
      </c>
      <c r="K252" s="86">
        <f t="shared" si="2267"/>
        <v>0.16708049964971142</v>
      </c>
      <c r="L252" s="86">
        <f t="shared" si="2267"/>
        <v>0.15861210545597393</v>
      </c>
      <c r="M252" s="86">
        <f t="shared" si="2267"/>
        <v>0.21016379739917379</v>
      </c>
      <c r="N252" s="86">
        <f t="shared" si="2267"/>
        <v>0.21421196869282685</v>
      </c>
      <c r="O252" s="86">
        <f t="shared" si="2267"/>
        <v>0.20688859760250147</v>
      </c>
      <c r="P252" s="86">
        <f t="shared" si="2267"/>
        <v>0.2249708752631597</v>
      </c>
      <c r="Q252" s="86">
        <f t="shared" si="2267"/>
        <v>0.23001658765380589</v>
      </c>
      <c r="R252" s="86">
        <f t="shared" si="2267"/>
        <v>0.47444051041285135</v>
      </c>
      <c r="S252" s="86">
        <f t="shared" si="2267"/>
        <v>0.83969044853921038</v>
      </c>
      <c r="T252" s="86">
        <f t="shared" si="2267"/>
        <v>1.2165205136235515</v>
      </c>
      <c r="U252" s="86">
        <f t="shared" si="2267"/>
        <v>1.4336203537031194</v>
      </c>
      <c r="V252" s="86">
        <f t="shared" si="2267"/>
        <v>1.4958319759308587</v>
      </c>
      <c r="W252" s="86">
        <f t="shared" si="2267"/>
        <v>1.4073322362406291</v>
      </c>
      <c r="X252" s="86">
        <f t="shared" si="2267"/>
        <v>1.3574314978710325</v>
      </c>
      <c r="Y252" s="86">
        <f t="shared" si="2267"/>
        <v>1.3607854655309863</v>
      </c>
      <c r="Z252" s="86">
        <f t="shared" si="2267"/>
        <v>1.2950980092351916</v>
      </c>
      <c r="AA252" s="86">
        <f t="shared" ref="AA252" si="2268">AA36/AA8</f>
        <v>1.1730260379407531</v>
      </c>
      <c r="AB252" s="87">
        <f t="shared" si="2267"/>
        <v>0.81978396950422128</v>
      </c>
      <c r="AC252" s="87">
        <f t="shared" si="2267"/>
        <v>0.92252172598978155</v>
      </c>
      <c r="AD252" s="87">
        <f t="shared" si="2267"/>
        <v>1.0403297021134863</v>
      </c>
      <c r="AE252" s="87">
        <f t="shared" si="2267"/>
        <v>1.1760709452593217</v>
      </c>
      <c r="AL252" s="86">
        <f t="shared" ref="AL252:CW252" si="2269">AL36/AL8</f>
        <v>0.18447129288451095</v>
      </c>
      <c r="AM252" s="86">
        <f t="shared" si="2269"/>
        <v>0.20041003867740717</v>
      </c>
      <c r="AN252" s="86">
        <f t="shared" si="2269"/>
        <v>0.21568627450980393</v>
      </c>
      <c r="AO252" s="86">
        <f t="shared" si="2269"/>
        <v>0.22044681599624721</v>
      </c>
      <c r="AP252" s="86">
        <f t="shared" si="2269"/>
        <v>0.19046855410094177</v>
      </c>
      <c r="AQ252" s="86">
        <f t="shared" si="2269"/>
        <v>0.21829304474364589</v>
      </c>
      <c r="AR252" s="86">
        <f t="shared" si="2269"/>
        <v>0.21212553902390271</v>
      </c>
      <c r="AS252" s="86">
        <f t="shared" si="2269"/>
        <v>0.23380632582322355</v>
      </c>
      <c r="AT252" s="86">
        <f t="shared" si="2269"/>
        <v>0.23461208514288778</v>
      </c>
      <c r="AU252" s="86">
        <f t="shared" si="2269"/>
        <v>0.19687504162615055</v>
      </c>
      <c r="AV252" s="86">
        <f t="shared" si="2269"/>
        <v>0.22862423657987785</v>
      </c>
      <c r="AW252" s="86">
        <f t="shared" si="2269"/>
        <v>0.23769342750849196</v>
      </c>
      <c r="AX252" s="86">
        <f t="shared" si="2269"/>
        <v>0.22152175099612467</v>
      </c>
      <c r="AY252" s="86">
        <f t="shared" si="2269"/>
        <v>0.24370331060946238</v>
      </c>
      <c r="AZ252" s="86">
        <f t="shared" si="2269"/>
        <v>0.54477350205524622</v>
      </c>
      <c r="BA252" s="86">
        <f t="shared" si="2269"/>
        <v>0.53291531290802541</v>
      </c>
      <c r="BB252" s="86">
        <f t="shared" si="2269"/>
        <v>0.60994417715789662</v>
      </c>
      <c r="BC252" s="86">
        <f t="shared" si="2269"/>
        <v>0.70182068017863275</v>
      </c>
      <c r="BD252" s="86">
        <f t="shared" si="2269"/>
        <v>0.76286579212916239</v>
      </c>
      <c r="BE252" s="86">
        <f t="shared" si="2269"/>
        <v>0.91452746307184862</v>
      </c>
      <c r="BF252" s="86">
        <f t="shared" si="2269"/>
        <v>1.0611442942470921</v>
      </c>
      <c r="BG252" s="86">
        <f t="shared" si="2269"/>
        <v>1.1022275377485424</v>
      </c>
      <c r="BH252" s="86">
        <f t="shared" si="2269"/>
        <v>1.196712652249565</v>
      </c>
      <c r="BI252" s="86">
        <f t="shared" si="2269"/>
        <v>1.3033428281439281</v>
      </c>
      <c r="BJ252" s="86">
        <f t="shared" si="2269"/>
        <v>1.2738366932927603</v>
      </c>
      <c r="BK252" s="86">
        <f t="shared" si="2269"/>
        <v>1.4703697393082298</v>
      </c>
      <c r="BL252" s="86">
        <f t="shared" si="2269"/>
        <v>1.414684668022933</v>
      </c>
      <c r="BM252" s="86">
        <f t="shared" si="2269"/>
        <v>1.4095899004155883</v>
      </c>
      <c r="BN252" s="86">
        <f t="shared" si="2269"/>
        <v>1.4363797898640298</v>
      </c>
      <c r="BO252" s="86">
        <f t="shared" si="2269"/>
        <v>1.5770653514180024</v>
      </c>
      <c r="BP252" s="86">
        <f t="shared" si="2269"/>
        <v>1.605314423751266</v>
      </c>
      <c r="BQ252" s="86">
        <f t="shared" si="2269"/>
        <v>1.3917603534355805</v>
      </c>
      <c r="BR252" s="86">
        <f t="shared" si="2269"/>
        <v>1.4246296505710729</v>
      </c>
      <c r="BS252" s="86">
        <f t="shared" si="2269"/>
        <v>1.4860649927246952</v>
      </c>
      <c r="BT252" s="86">
        <f t="shared" si="2269"/>
        <v>1.4461435428061169</v>
      </c>
      <c r="BU252" s="86">
        <f t="shared" si="2269"/>
        <v>1.3531419323059599</v>
      </c>
      <c r="BV252" s="86">
        <f t="shared" si="2269"/>
        <v>1.3481926827480022</v>
      </c>
      <c r="BW252" s="86">
        <f t="shared" si="2269"/>
        <v>1.4105373761633142</v>
      </c>
      <c r="BX252" s="86">
        <f t="shared" si="2269"/>
        <v>1.3441259093855793</v>
      </c>
      <c r="BY252" s="86">
        <f t="shared" si="2269"/>
        <v>1.3255764455480668</v>
      </c>
      <c r="BZ252" s="86">
        <f t="shared" si="2269"/>
        <v>1.3521579266768999</v>
      </c>
      <c r="CA252" s="86">
        <f t="shared" si="2269"/>
        <v>1.3784105635529404</v>
      </c>
      <c r="CB252" s="86">
        <f t="shared" si="2269"/>
        <v>1.4058294400669411</v>
      </c>
      <c r="CC252" s="86">
        <f t="shared" si="2269"/>
        <v>1.3874607303313855</v>
      </c>
      <c r="CD252" s="86">
        <f t="shared" si="2269"/>
        <v>1.2808314516378483</v>
      </c>
      <c r="CE252" s="86">
        <f t="shared" si="2269"/>
        <v>1.3072642967542503</v>
      </c>
      <c r="CF252" s="86">
        <f t="shared" si="2269"/>
        <v>1.2476564774381369</v>
      </c>
      <c r="CG252" s="86">
        <f t="shared" si="2269"/>
        <v>1.2718995101721911</v>
      </c>
      <c r="CH252" s="86">
        <f t="shared" si="2269"/>
        <v>1.3602361566159535</v>
      </c>
      <c r="CI252" s="86">
        <f t="shared" si="2269"/>
        <v>1.5229199648197009</v>
      </c>
      <c r="CJ252" s="86">
        <f t="shared" si="2269"/>
        <v>1.4853038828504526</v>
      </c>
      <c r="CK252" s="87">
        <f t="shared" si="2269"/>
        <v>0.9779484217321871</v>
      </c>
      <c r="CL252" s="86">
        <f t="shared" ref="CL252" si="2270">CL36/CL8</f>
        <v>0.72842931582865256</v>
      </c>
      <c r="CM252" s="87">
        <f t="shared" si="2269"/>
        <v>0.84157346960107693</v>
      </c>
      <c r="CN252" s="87">
        <f t="shared" si="2269"/>
        <v>0.83737054110954712</v>
      </c>
      <c r="CO252" s="87">
        <f t="shared" si="2269"/>
        <v>0.80394742188008261</v>
      </c>
      <c r="CP252" s="87">
        <f t="shared" si="2269"/>
        <v>0.7983653432858121</v>
      </c>
      <c r="CQ252" s="87">
        <f t="shared" si="2269"/>
        <v>0.9495092342074245</v>
      </c>
      <c r="CR252" s="87">
        <f t="shared" si="2269"/>
        <v>0.9426067919328579</v>
      </c>
      <c r="CS252" s="87">
        <f t="shared" si="2269"/>
        <v>0.90293783000665262</v>
      </c>
      <c r="CT252" s="87">
        <f t="shared" si="2269"/>
        <v>0.89776484848559834</v>
      </c>
      <c r="CU252" s="87">
        <f t="shared" si="2269"/>
        <v>1.0706053248287981</v>
      </c>
      <c r="CV252" s="87">
        <f t="shared" si="2269"/>
        <v>1.0624959929977285</v>
      </c>
      <c r="CW252" s="87">
        <f t="shared" si="2269"/>
        <v>1.0180684942368354</v>
      </c>
      <c r="CX252" s="87">
        <f t="shared" ref="CX252:DB252" si="2271">CX36/CX8</f>
        <v>1.0132277652471653</v>
      </c>
      <c r="CY252" s="87">
        <f t="shared" si="2271"/>
        <v>1.2094244900569453</v>
      </c>
      <c r="CZ252" s="87">
        <f t="shared" si="2271"/>
        <v>1.2006644436417022</v>
      </c>
      <c r="DA252" s="87">
        <f t="shared" si="2271"/>
        <v>1.1511276362390219</v>
      </c>
      <c r="DB252" s="87">
        <f t="shared" si="2271"/>
        <v>1.1464704589931802</v>
      </c>
      <c r="DE252" s="141"/>
      <c r="DF252" s="86">
        <v>1.1730260379407531</v>
      </c>
    </row>
    <row r="253" spans="1:110" s="86" customFormat="1" x14ac:dyDescent="0.2">
      <c r="A253" s="86" t="s">
        <v>433</v>
      </c>
      <c r="B253" s="86">
        <f>B32/B8</f>
        <v>0.52226919546471195</v>
      </c>
      <c r="C253" s="86">
        <f>C32/C8</f>
        <v>0.45033663366336629</v>
      </c>
      <c r="D253" s="86">
        <f>D32/D8</f>
        <v>0.60429934091604331</v>
      </c>
      <c r="F253" s="86">
        <f t="shared" ref="F253:AE253" si="2272">F32/F8</f>
        <v>0.39259662897692793</v>
      </c>
      <c r="G253" s="86">
        <f t="shared" si="2272"/>
        <v>0.43090774611233362</v>
      </c>
      <c r="H253" s="86">
        <f t="shared" si="2272"/>
        <v>0.31715447270039376</v>
      </c>
      <c r="I253" s="86">
        <f t="shared" si="2272"/>
        <v>0.25735272582430779</v>
      </c>
      <c r="J253" s="86">
        <f t="shared" si="2272"/>
        <v>0.23748673165378717</v>
      </c>
      <c r="K253" s="86">
        <f t="shared" si="2272"/>
        <v>0.26878333102984842</v>
      </c>
      <c r="L253" s="86">
        <f t="shared" si="2272"/>
        <v>0.33441178677518879</v>
      </c>
      <c r="M253" s="86">
        <f t="shared" si="2272"/>
        <v>0.21836974168555398</v>
      </c>
      <c r="N253" s="86">
        <f t="shared" si="2272"/>
        <v>0.22586485686305768</v>
      </c>
      <c r="O253" s="86">
        <f t="shared" si="2272"/>
        <v>0.22310137010376471</v>
      </c>
      <c r="P253" s="86">
        <f t="shared" si="2272"/>
        <v>0.21119496116125597</v>
      </c>
      <c r="Q253" s="86">
        <f t="shared" si="2272"/>
        <v>0.15465884276721095</v>
      </c>
      <c r="R253" s="86">
        <f t="shared" si="2272"/>
        <v>0.29443081715632413</v>
      </c>
      <c r="S253" s="86">
        <f t="shared" si="2272"/>
        <v>0.28520585921402614</v>
      </c>
      <c r="T253" s="86">
        <f t="shared" si="2272"/>
        <v>0.13903852176636392</v>
      </c>
      <c r="U253" s="86">
        <f t="shared" si="2272"/>
        <v>0.18091561972275316</v>
      </c>
      <c r="V253" s="86">
        <f t="shared" si="2272"/>
        <v>0.16167142556004827</v>
      </c>
      <c r="W253" s="86">
        <f t="shared" si="2272"/>
        <v>0.1464710184677272</v>
      </c>
      <c r="X253" s="86">
        <f t="shared" si="2272"/>
        <v>0.1330356093548008</v>
      </c>
      <c r="Y253" s="86">
        <f t="shared" si="2272"/>
        <v>0.12624512230940291</v>
      </c>
      <c r="Z253" s="86">
        <f t="shared" si="2272"/>
        <v>0.12838292406960033</v>
      </c>
      <c r="AA253" s="86">
        <f t="shared" ref="AA253" si="2273">AA32/AA8</f>
        <v>0.12224300354240109</v>
      </c>
      <c r="AB253" s="87">
        <f t="shared" si="2272"/>
        <v>0.12049273731010229</v>
      </c>
      <c r="AC253" s="87">
        <f t="shared" si="2272"/>
        <v>0.1095557059871025</v>
      </c>
      <c r="AD253" s="87">
        <f t="shared" si="2272"/>
        <v>9.953692314723328E-2</v>
      </c>
      <c r="AE253" s="87">
        <f t="shared" si="2272"/>
        <v>9.0421942176297065E-2</v>
      </c>
      <c r="AL253" s="86">
        <f t="shared" ref="AL253:CW253" si="2274">AL32/AL8</f>
        <v>0.22241958924822738</v>
      </c>
      <c r="AM253" s="86">
        <f t="shared" si="2274"/>
        <v>0.22003954982987758</v>
      </c>
      <c r="AN253" s="86">
        <f t="shared" si="2274"/>
        <v>0.22921553873618675</v>
      </c>
      <c r="AO253" s="86">
        <f t="shared" si="2274"/>
        <v>0.22585610413979126</v>
      </c>
      <c r="AP253" s="86">
        <f t="shared" si="2274"/>
        <v>0.21660786657725165</v>
      </c>
      <c r="AQ253" s="86">
        <f t="shared" si="2274"/>
        <v>0.20954775999208827</v>
      </c>
      <c r="AR253" s="86">
        <f t="shared" si="2274"/>
        <v>0.21563811862809495</v>
      </c>
      <c r="AS253" s="86">
        <f t="shared" si="2274"/>
        <v>0.20672660311958405</v>
      </c>
      <c r="AT253" s="86">
        <f t="shared" si="2274"/>
        <v>0.21300466462924242</v>
      </c>
      <c r="AU253" s="86">
        <f t="shared" si="2274"/>
        <v>0.20754465653430659</v>
      </c>
      <c r="AV253" s="86">
        <f t="shared" si="2274"/>
        <v>0.21442730097503482</v>
      </c>
      <c r="AW253" s="86">
        <f t="shared" si="2274"/>
        <v>0.216072680217825</v>
      </c>
      <c r="AX253" s="86">
        <f t="shared" si="2274"/>
        <v>-2.2597019813328963E-2</v>
      </c>
      <c r="AY253" s="86">
        <f t="shared" si="2274"/>
        <v>0.2105700017689241</v>
      </c>
      <c r="AZ253" s="86">
        <f t="shared" si="2274"/>
        <v>0.37813723152032103</v>
      </c>
      <c r="BA253" s="86">
        <f t="shared" si="2274"/>
        <v>0.35494792457413538</v>
      </c>
      <c r="BB253" s="86">
        <f t="shared" si="2274"/>
        <v>0.23091881380651436</v>
      </c>
      <c r="BC253" s="86">
        <f t="shared" si="2274"/>
        <v>0.39333562349708007</v>
      </c>
      <c r="BD253" s="86">
        <f t="shared" si="2274"/>
        <v>0.4179150818908639</v>
      </c>
      <c r="BE253" s="86">
        <f t="shared" si="2274"/>
        <v>0.13937090683111047</v>
      </c>
      <c r="BF253" s="86">
        <f t="shared" si="2274"/>
        <v>0.10921617939851198</v>
      </c>
      <c r="BG253" s="86">
        <f t="shared" si="2274"/>
        <v>0.11559276423979667</v>
      </c>
      <c r="BH253" s="86">
        <f t="shared" si="2274"/>
        <v>0.13338926174496646</v>
      </c>
      <c r="BI253" s="86">
        <f t="shared" si="2274"/>
        <v>0.13328749631666831</v>
      </c>
      <c r="BJ253" s="86">
        <f t="shared" si="2274"/>
        <v>0.17522505388614174</v>
      </c>
      <c r="BK253" s="86">
        <f t="shared" si="2274"/>
        <v>0.16237859942068494</v>
      </c>
      <c r="BL253" s="86">
        <f t="shared" si="2274"/>
        <v>0.20196042167560568</v>
      </c>
      <c r="BM253" s="86">
        <f t="shared" si="2274"/>
        <v>0.20485375989963145</v>
      </c>
      <c r="BN253" s="86">
        <f t="shared" si="2274"/>
        <v>0.15636588380716934</v>
      </c>
      <c r="BO253" s="86">
        <f t="shared" si="2274"/>
        <v>0.17451705713111385</v>
      </c>
      <c r="BP253" s="86">
        <f t="shared" si="2274"/>
        <v>0.16862775656510556</v>
      </c>
      <c r="BQ253" s="86">
        <f t="shared" si="2274"/>
        <v>0.15153909701519339</v>
      </c>
      <c r="BR253" s="86">
        <f t="shared" si="2274"/>
        <v>0.15379396132534207</v>
      </c>
      <c r="BS253" s="86">
        <f t="shared" si="2274"/>
        <v>0.14804312950042908</v>
      </c>
      <c r="BT253" s="86">
        <f t="shared" si="2274"/>
        <v>0.15637906016296463</v>
      </c>
      <c r="BU253" s="86">
        <f t="shared" si="2274"/>
        <v>0.13866019280838784</v>
      </c>
      <c r="BV253" s="86">
        <f t="shared" si="2274"/>
        <v>0.14330229488965468</v>
      </c>
      <c r="BW253" s="86">
        <f t="shared" si="2274"/>
        <v>0.14954217952566795</v>
      </c>
      <c r="BX253" s="86">
        <f t="shared" si="2274"/>
        <v>0.13588561550097239</v>
      </c>
      <c r="BY253" s="86">
        <f t="shared" si="2274"/>
        <v>0.13377084072366088</v>
      </c>
      <c r="BZ253" s="86">
        <f t="shared" si="2274"/>
        <v>0.11376860743226359</v>
      </c>
      <c r="CA253" s="86">
        <f t="shared" si="2274"/>
        <v>0.12773633147700605</v>
      </c>
      <c r="CB253" s="86">
        <f t="shared" si="2274"/>
        <v>0.1265950770518095</v>
      </c>
      <c r="CC253" s="86">
        <f t="shared" si="2274"/>
        <v>0.12931121845758878</v>
      </c>
      <c r="CD253" s="86">
        <f t="shared" si="2274"/>
        <v>0.1218101395032324</v>
      </c>
      <c r="CE253" s="86">
        <f t="shared" si="2274"/>
        <v>0.12636785162287481</v>
      </c>
      <c r="CF253" s="86">
        <f t="shared" si="2274"/>
        <v>0.12171761280931587</v>
      </c>
      <c r="CG253" s="86">
        <f t="shared" si="2274"/>
        <v>0.12975929320551732</v>
      </c>
      <c r="CH253" s="86">
        <f t="shared" si="2274"/>
        <v>0.13643883608524995</v>
      </c>
      <c r="CI253" s="86">
        <f t="shared" si="2274"/>
        <v>0.12999120492524188</v>
      </c>
      <c r="CJ253" s="86">
        <f t="shared" si="2274"/>
        <v>0.1310243595568448</v>
      </c>
      <c r="CK253" s="87">
        <f t="shared" si="2274"/>
        <v>0.12119873602663858</v>
      </c>
      <c r="CL253" s="86">
        <f t="shared" ref="CL253" si="2275">CL32/CL8</f>
        <v>0.10732895716315895</v>
      </c>
      <c r="CM253" s="87">
        <f t="shared" si="2274"/>
        <v>0.13380360672333808</v>
      </c>
      <c r="CN253" s="87">
        <f t="shared" si="2274"/>
        <v>0.1261555588548503</v>
      </c>
      <c r="CO253" s="87">
        <f t="shared" si="2274"/>
        <v>0.11485608034074155</v>
      </c>
      <c r="CP253" s="87">
        <f t="shared" si="2274"/>
        <v>0.10822253330621964</v>
      </c>
      <c r="CQ253" s="87">
        <f t="shared" si="2274"/>
        <v>0.12210020526348603</v>
      </c>
      <c r="CR253" s="87">
        <f t="shared" si="2274"/>
        <v>0.11478632144956766</v>
      </c>
      <c r="CS253" s="87">
        <f t="shared" si="2274"/>
        <v>0.10419877854994807</v>
      </c>
      <c r="CT253" s="87">
        <f t="shared" si="2274"/>
        <v>9.8215941040926319E-2</v>
      </c>
      <c r="CU253" s="87">
        <f t="shared" si="2274"/>
        <v>0.11102390745342458</v>
      </c>
      <c r="CV253" s="87">
        <f t="shared" si="2274"/>
        <v>0.10428071459413757</v>
      </c>
      <c r="CW253" s="87">
        <f t="shared" si="2274"/>
        <v>9.4625715870586713E-2</v>
      </c>
      <c r="CX253" s="87">
        <f t="shared" ref="CX253:DB253" si="2276">CX32/CX8</f>
        <v>8.9215041010989649E-2</v>
      </c>
      <c r="CY253" s="87">
        <f t="shared" si="2276"/>
        <v>0.10087199576245519</v>
      </c>
      <c r="CZ253" s="87">
        <f t="shared" si="2276"/>
        <v>9.4726533520958792E-2</v>
      </c>
      <c r="DA253" s="87">
        <f t="shared" si="2276"/>
        <v>8.5953837610823897E-2</v>
      </c>
      <c r="DB253" s="87">
        <f t="shared" si="2276"/>
        <v>8.1044129737506285E-2</v>
      </c>
      <c r="DE253" s="141"/>
      <c r="DF253" s="86">
        <v>0.12224300354240106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132371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Teleservices (Maharashtra)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659.36</v>
      </c>
      <c r="D6">
        <f>_xll.EQNXTDZ($A$1,$B6,D$1,$B$1)</f>
        <v>639.79999999999995</v>
      </c>
      <c r="E6">
        <f>_xll.EQNXTDZ($A$1,$B6,E$1,$B$1)</f>
        <v>639.82000000000005</v>
      </c>
      <c r="F6">
        <f>_xll.EQNXTDZ($A$1,$B6,F$1,$B$1)</f>
        <v>669.18</v>
      </c>
      <c r="G6">
        <f>_xll.EQNXTDZ($A$1,$B6,G$1,$B$1)</f>
        <v>666</v>
      </c>
      <c r="H6">
        <f>_xll.EQNXTDZ($A$1,$B6,H$1,$B$1)</f>
        <v>655.16999999999996</v>
      </c>
      <c r="I6">
        <f>_xll.EQNXTDZ($A$1,$B6,I$1,$B$1)</f>
        <v>662.26</v>
      </c>
      <c r="J6">
        <f>_xll.EQNXTDZ($A$1,$B6,J$1,$B$1)</f>
        <v>666</v>
      </c>
      <c r="K6">
        <f>_xll.EQNXTDZ($A$1,$B6,K$1,$B$1)</f>
        <v>687.51</v>
      </c>
      <c r="L6">
        <f>_xll.EQNXTDZ($A$1,$B6,L$1,$B$1)</f>
        <v>682.42</v>
      </c>
      <c r="M6">
        <f>_xll.EQNXTDZ($A$1,$B6,M$1,$B$1)</f>
        <v>720.85</v>
      </c>
      <c r="N6">
        <f>_xll.EQNXTDZ($A$1,$B6,N$1,$B$1)</f>
        <v>745.91</v>
      </c>
      <c r="O6">
        <f>_xll.EQNXTDZ($A$1,$B6,O$1,$B$1)</f>
        <v>735.09</v>
      </c>
      <c r="P6">
        <f>_xll.EQNXTDZ($A$1,$B6,P$1,$B$1)</f>
        <v>733.18</v>
      </c>
      <c r="Q6">
        <f>_xll.EQNXTDZ($A$1,$B6,Q$1,$B$1)</f>
        <v>724.51</v>
      </c>
      <c r="R6">
        <f>_xll.EQNXTDZ($A$1,$B6,R$1,$B$1)</f>
        <v>732.84</v>
      </c>
      <c r="S6">
        <f>_xll.EQNXTDZ($A$1,$B6,S$1,$B$1)</f>
        <v>734.91</v>
      </c>
      <c r="T6">
        <f>_xll.EQNXTDZ($A$1,$B6,T$1,$B$1)</f>
        <v>712.81</v>
      </c>
      <c r="U6">
        <f>_xll.EQNXTDZ($A$1,$B6,U$1,$B$1)</f>
        <v>658.66</v>
      </c>
      <c r="V6">
        <f>_xll.EQNXTDZ($A$1,$B6,V$1,$B$1)</f>
        <v>596.53</v>
      </c>
      <c r="W6">
        <f>_xll.EQNXTDZ($A$1,$B6,W$1,$B$1)</f>
        <v>553.09</v>
      </c>
      <c r="X6">
        <f>_xll.EQNXTDZ($A$1,$B6,X$1,$B$1)</f>
        <v>515.32000000000005</v>
      </c>
      <c r="Y6">
        <f>_xll.EQNXTDZ($A$1,$B6,Y$1,$B$1)</f>
        <v>418.38</v>
      </c>
      <c r="Z6">
        <f>_xll.EQNXTDZ($A$1,$B6,Z$1,$B$1)</f>
        <v>381.72</v>
      </c>
      <c r="AA6">
        <f>_xll.EQNXTDZ($A$1,$B6,AA$1,$B$1)</f>
        <v>334.45</v>
      </c>
      <c r="AB6">
        <f>_xll.EQNXTDZ($A$1,$B6,AB$1,$B$1)</f>
        <v>321.83999999999997</v>
      </c>
      <c r="AC6">
        <f>_xll.EQNXTDZ($A$1,$B6,AC$1,$B$1)</f>
        <v>305.43</v>
      </c>
      <c r="AD6">
        <f>_xll.EQNXTDZ($A$1,$B6,AD$1,$B$1)</f>
        <v>315.48</v>
      </c>
      <c r="AE6">
        <f>_xll.EQNXTDZ($A$1,$B6,AE$1,$B$1)</f>
        <v>293.45</v>
      </c>
      <c r="AF6">
        <f>_xll.EQNXTDZ($A$1,$B6,AF$1,$B$1)</f>
        <v>270.35000000000002</v>
      </c>
      <c r="AG6">
        <f>_xll.EQNXTDZ($A$1,$B6,AG$1,$B$1)</f>
        <v>255.06</v>
      </c>
      <c r="AH6">
        <f>_xll.EQNXTDZ($A$1,$B6,AH$1,$B$1)</f>
        <v>258.88</v>
      </c>
      <c r="AI6">
        <f>_xll.EQNXTDZ($A$1,$B6,AI$1,$B$1)</f>
        <v>243.3</v>
      </c>
      <c r="AJ6">
        <f>_xll.EQNXTDZ($A$1,$B6,AJ$1,$B$1)</f>
        <v>256.66000000000003</v>
      </c>
      <c r="AK6">
        <f>_xll.EQNXTDZ($A$1,$B6,AK$1,$B$1)</f>
        <v>278.41000000000003</v>
      </c>
      <c r="AL6">
        <f>_xll.EQNXTDZ($A$1,$B6,AL$1,$B$1)</f>
        <v>265.29000000000002</v>
      </c>
      <c r="AM6">
        <f>_xll.EQNXTDZ($A$1,$B6,AM$1,$B$1)</f>
        <v>268.02999999999997</v>
      </c>
      <c r="AN6">
        <f>_xll.EQNXTDZ($A$1,$B6,AN$1,$B$1)</f>
        <v>268.77</v>
      </c>
      <c r="AO6">
        <f>_xll.EQNXTDZ($A$1,$B6,AO$1,$B$1)</f>
        <v>284.22000000000003</v>
      </c>
      <c r="AP6">
        <f>_xll.EQNXTDZ($A$1,$B6,AP$1,$B$1)</f>
        <v>272.77999999999997</v>
      </c>
      <c r="AQ6">
        <f>_xll.EQNXTDZ($A$1,$B6,AQ$1,$B$1)</f>
        <v>266.48</v>
      </c>
      <c r="AR6">
        <f>_xll.EQNXTDZ($A$1,$B6,AR$1,$B$1)</f>
        <v>277.66000000000003</v>
      </c>
      <c r="AS6">
        <f>_xll.EQNXTDZ($A$1,$B6,AS$1,$B$1)</f>
        <v>281.89999999999998</v>
      </c>
      <c r="AT6">
        <f>_xll.EQNXTDZ($A$1,$B6,AT$1,$B$1)</f>
        <v>280.13</v>
      </c>
      <c r="AU6">
        <f>_xll.EQNXTDZ($A$1,$B6,AU$1,$B$1)</f>
        <v>285.51</v>
      </c>
      <c r="AV6">
        <f>_xll.EQNXTDZ($A$1,$B6,AV$1,$B$1)</f>
        <v>286.82</v>
      </c>
      <c r="AW6">
        <f>_xll.EQNXTDZ($A$1,$B6,AW$1,$B$1)</f>
        <v>296.02999999999997</v>
      </c>
      <c r="AX6">
        <f>_xll.EQNXTDZ($A$1,$B6,AX$1,$B$1)</f>
        <v>323.29000000000002</v>
      </c>
      <c r="AY6">
        <f>_xll.EQNXTDZ($A$1,$B6,AY$1,$B$1)</f>
        <v>323.5</v>
      </c>
      <c r="AZ6">
        <f>_xll.EQNXTDZ($A$1,$B6,AZ$1,$B$1)</f>
        <v>343.5</v>
      </c>
      <c r="BA6">
        <f>_xll.EQNXTDZ($A$1,$B6,BA$1,$B$1)</f>
        <v>332.77</v>
      </c>
      <c r="BB6">
        <f>_xll.EQNXTDZ($A$1,$B6,BB$1,$B$1)</f>
        <v>308.27</v>
      </c>
      <c r="BC6">
        <f>_xll.EQNXTDZ($A$1,$B6,BC$1,$B$1)</f>
        <v>284.25</v>
      </c>
      <c r="BD6">
        <f>_xll.EQNXTDZ($A$1,$B6,BD$1,$B$1)</f>
        <v>286.13</v>
      </c>
      <c r="BE6">
        <f>_xll.EQNXTDZ($A$1,$B6,BE$1,$B$1)</f>
        <v>294.31</v>
      </c>
      <c r="BF6">
        <f>_xll.EQNXTDZ($A$1,$B6,BF$1,$B$1)</f>
        <v>295.54000000000002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0.37</v>
      </c>
      <c r="D8">
        <f>_xll.EQNXTDZ($A$1,$B8,D$1,$B$1)</f>
        <v>3.17</v>
      </c>
      <c r="E8">
        <f>_xll.EQNXTDZ($A$1,$B8,E$1,$B$1)</f>
        <v>11.08</v>
      </c>
      <c r="F8">
        <f>_xll.EQNXTDZ($A$1,$B8,F$1,$B$1)</f>
        <v>12.01</v>
      </c>
      <c r="G8">
        <f>_xll.EQNXTDZ($A$1,$B8,G$1,$B$1)</f>
        <v>21.74</v>
      </c>
      <c r="H8">
        <f>_xll.EQNXTDZ($A$1,$B8,H$1,$B$1)</f>
        <v>22.62</v>
      </c>
      <c r="I8">
        <f>_xll.EQNXTDZ($A$1,$B8,I$1,$B$1)</f>
        <v>19.899999999999999</v>
      </c>
      <c r="J8">
        <f>_xll.EQNXTDZ($A$1,$B8,J$1,$B$1)</f>
        <v>19.940000000000001</v>
      </c>
      <c r="K8">
        <f>_xll.EQNXTDZ($A$1,$B8,K$1,$B$1)</f>
        <v>20.3</v>
      </c>
      <c r="L8">
        <f>_xll.EQNXTDZ($A$1,$B8,L$1,$B$1)</f>
        <v>17.920000000000002</v>
      </c>
      <c r="M8">
        <f>_xll.EQNXTDZ($A$1,$B8,M$1,$B$1)</f>
        <v>17.71</v>
      </c>
      <c r="N8">
        <f>_xll.EQNXTDZ($A$1,$B8,N$1,$B$1)</f>
        <v>0.13</v>
      </c>
      <c r="O8">
        <f>_xll.EQNXTDZ($A$1,$B8,O$1,$B$1)</f>
        <v>15.64</v>
      </c>
      <c r="P8">
        <f>_xll.EQNXTDZ($A$1,$B8,P$1,$B$1)</f>
        <v>13.46</v>
      </c>
      <c r="Q8">
        <f>_xll.EQNXTDZ($A$1,$B8,Q$1,$B$1)</f>
        <v>17.37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659.73</v>
      </c>
      <c r="D9">
        <f>_xll.EQNXTDZ($A$1,$B9,D$1,$B$1)</f>
        <v>642.97</v>
      </c>
      <c r="E9">
        <f>_xll.EQNXTDZ($A$1,$B9,E$1,$B$1)</f>
        <v>650.9</v>
      </c>
      <c r="F9">
        <f>_xll.EQNXTDZ($A$1,$B9,F$1,$B$1)</f>
        <v>681.19</v>
      </c>
      <c r="G9">
        <f>_xll.EQNXTDZ($A$1,$B9,G$1,$B$1)</f>
        <v>687.74</v>
      </c>
      <c r="H9">
        <f>_xll.EQNXTDZ($A$1,$B9,H$1,$B$1)</f>
        <v>677.79</v>
      </c>
      <c r="I9">
        <f>_xll.EQNXTDZ($A$1,$B9,I$1,$B$1)</f>
        <v>682.16</v>
      </c>
      <c r="J9">
        <f>_xll.EQNXTDZ($A$1,$B9,J$1,$B$1)</f>
        <v>685.94</v>
      </c>
      <c r="K9">
        <f>_xll.EQNXTDZ($A$1,$B9,K$1,$B$1)</f>
        <v>707.81</v>
      </c>
      <c r="L9">
        <f>_xll.EQNXTDZ($A$1,$B9,L$1,$B$1)</f>
        <v>700.34</v>
      </c>
      <c r="M9">
        <f>_xll.EQNXTDZ($A$1,$B9,M$1,$B$1)</f>
        <v>738.56</v>
      </c>
      <c r="N9">
        <f>_xll.EQNXTDZ($A$1,$B9,N$1,$B$1)</f>
        <v>746.04</v>
      </c>
      <c r="O9">
        <f>_xll.EQNXTDZ($A$1,$B9,O$1,$B$1)</f>
        <v>750.73</v>
      </c>
      <c r="P9">
        <f>_xll.EQNXTDZ($A$1,$B9,P$1,$B$1)</f>
        <v>746.64</v>
      </c>
      <c r="Q9">
        <f>_xll.EQNXTDZ($A$1,$B9,Q$1,$B$1)</f>
        <v>741.88</v>
      </c>
      <c r="R9">
        <f>_xll.EQNXTDZ($A$1,$B9,R$1,$B$1)</f>
        <v>732.84</v>
      </c>
      <c r="S9">
        <f>_xll.EQNXTDZ($A$1,$B9,S$1,$B$1)</f>
        <v>734.91</v>
      </c>
      <c r="T9">
        <f>_xll.EQNXTDZ($A$1,$B9,T$1,$B$1)</f>
        <v>712.81</v>
      </c>
      <c r="U9">
        <f>_xll.EQNXTDZ($A$1,$B9,U$1,$B$1)</f>
        <v>658.66</v>
      </c>
      <c r="V9">
        <f>_xll.EQNXTDZ($A$1,$B9,V$1,$B$1)</f>
        <v>596.53</v>
      </c>
      <c r="W9">
        <f>_xll.EQNXTDZ($A$1,$B9,W$1,$B$1)</f>
        <v>553.09</v>
      </c>
      <c r="X9">
        <f>_xll.EQNXTDZ($A$1,$B9,X$1,$B$1)</f>
        <v>515.32000000000005</v>
      </c>
      <c r="Y9">
        <f>_xll.EQNXTDZ($A$1,$B9,Y$1,$B$1)</f>
        <v>418.38</v>
      </c>
      <c r="Z9">
        <f>_xll.EQNXTDZ($A$1,$B9,Z$1,$B$1)</f>
        <v>381.72</v>
      </c>
      <c r="AA9">
        <f>_xll.EQNXTDZ($A$1,$B9,AA$1,$B$1)</f>
        <v>334.45</v>
      </c>
      <c r="AB9">
        <f>_xll.EQNXTDZ($A$1,$B9,AB$1,$B$1)</f>
        <v>321.83999999999997</v>
      </c>
      <c r="AC9">
        <f>_xll.EQNXTDZ($A$1,$B9,AC$1,$B$1)</f>
        <v>305.43</v>
      </c>
      <c r="AD9">
        <f>_xll.EQNXTDZ($A$1,$B9,AD$1,$B$1)</f>
        <v>315.48</v>
      </c>
      <c r="AE9">
        <f>_xll.EQNXTDZ($A$1,$B9,AE$1,$B$1)</f>
        <v>293.45</v>
      </c>
      <c r="AF9">
        <f>_xll.EQNXTDZ($A$1,$B9,AF$1,$B$1)</f>
        <v>270.35000000000002</v>
      </c>
      <c r="AG9">
        <f>_xll.EQNXTDZ($A$1,$B9,AG$1,$B$1)</f>
        <v>255.06</v>
      </c>
      <c r="AH9">
        <f>_xll.EQNXTDZ($A$1,$B9,AH$1,$B$1)</f>
        <v>258.88</v>
      </c>
      <c r="AI9">
        <f>_xll.EQNXTDZ($A$1,$B9,AI$1,$B$1)</f>
        <v>243.3</v>
      </c>
      <c r="AJ9">
        <f>_xll.EQNXTDZ($A$1,$B9,AJ$1,$B$1)</f>
        <v>256.66000000000003</v>
      </c>
      <c r="AK9">
        <f>_xll.EQNXTDZ($A$1,$B9,AK$1,$B$1)</f>
        <v>278.41000000000003</v>
      </c>
      <c r="AL9">
        <f>_xll.EQNXTDZ($A$1,$B9,AL$1,$B$1)</f>
        <v>265.29000000000002</v>
      </c>
      <c r="AM9">
        <f>_xll.EQNXTDZ($A$1,$B9,AM$1,$B$1)</f>
        <v>268.02999999999997</v>
      </c>
      <c r="AN9">
        <f>_xll.EQNXTDZ($A$1,$B9,AN$1,$B$1)</f>
        <v>268.77</v>
      </c>
      <c r="AO9">
        <f>_xll.EQNXTDZ($A$1,$B9,AO$1,$B$1)</f>
        <v>284.22000000000003</v>
      </c>
      <c r="AP9">
        <f>_xll.EQNXTDZ($A$1,$B9,AP$1,$B$1)</f>
        <v>272.77999999999997</v>
      </c>
      <c r="AQ9">
        <f>_xll.EQNXTDZ($A$1,$B9,AQ$1,$B$1)</f>
        <v>266.48</v>
      </c>
      <c r="AR9">
        <f>_xll.EQNXTDZ($A$1,$B9,AR$1,$B$1)</f>
        <v>277.66000000000003</v>
      </c>
      <c r="AS9">
        <f>_xll.EQNXTDZ($A$1,$B9,AS$1,$B$1)</f>
        <v>281.89999999999998</v>
      </c>
      <c r="AT9">
        <f>_xll.EQNXTDZ($A$1,$B9,AT$1,$B$1)</f>
        <v>280.13</v>
      </c>
      <c r="AU9">
        <f>_xll.EQNXTDZ($A$1,$B9,AU$1,$B$1)</f>
        <v>285.51</v>
      </c>
      <c r="AV9">
        <f>_xll.EQNXTDZ($A$1,$B9,AV$1,$B$1)</f>
        <v>286.82</v>
      </c>
      <c r="AW9">
        <f>_xll.EQNXTDZ($A$1,$B9,AW$1,$B$1)</f>
        <v>296.02999999999997</v>
      </c>
      <c r="AX9">
        <f>_xll.EQNXTDZ($A$1,$B9,AX$1,$B$1)</f>
        <v>323.29000000000002</v>
      </c>
      <c r="AY9">
        <f>_xll.EQNXTDZ($A$1,$B9,AY$1,$B$1)</f>
        <v>323.5</v>
      </c>
      <c r="AZ9">
        <f>_xll.EQNXTDZ($A$1,$B9,AZ$1,$B$1)</f>
        <v>343.5</v>
      </c>
      <c r="BA9">
        <f>_xll.EQNXTDZ($A$1,$B9,BA$1,$B$1)</f>
        <v>332.77</v>
      </c>
      <c r="BB9">
        <f>_xll.EQNXTDZ($A$1,$B9,BB$1,$B$1)</f>
        <v>308.27</v>
      </c>
      <c r="BC9">
        <f>_xll.EQNXTDZ($A$1,$B9,BC$1,$B$1)</f>
        <v>284.25</v>
      </c>
      <c r="BD9">
        <f>_xll.EQNXTDZ($A$1,$B9,BD$1,$B$1)</f>
        <v>286.13</v>
      </c>
      <c r="BE9">
        <f>_xll.EQNXTDZ($A$1,$B9,BE$1,$B$1)</f>
        <v>294.31</v>
      </c>
      <c r="BF9">
        <f>_xll.EQNXTDZ($A$1,$B9,BF$1,$B$1)</f>
        <v>295.54000000000002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7.89</v>
      </c>
      <c r="L11">
        <f>_xll.EQNXTDZ($A$1,$B11,L$1,$B$1)</f>
        <v>10.73</v>
      </c>
      <c r="M11">
        <f>_xll.EQNXTDZ($A$1,$B11,M$1,$B$1)</f>
        <v>9.16</v>
      </c>
      <c r="N11">
        <f>_xll.EQNXTDZ($A$1,$B11,N$1,$B$1)</f>
        <v>4.92</v>
      </c>
      <c r="O11">
        <f>_xll.EQNXTDZ($A$1,$B11,O$1,$B$1)</f>
        <v>5.15</v>
      </c>
      <c r="P11">
        <f>_xll.EQNXTDZ($A$1,$B11,P$1,$B$1)</f>
        <v>5.43</v>
      </c>
      <c r="Q11">
        <f>_xll.EQNXTDZ($A$1,$B11,Q$1,$B$1)</f>
        <v>3.45</v>
      </c>
      <c r="R11">
        <f>_xll.EQNXTDZ($A$1,$B11,R$1,$B$1)</f>
        <v>3.64</v>
      </c>
      <c r="S11">
        <f>_xll.EQNXTDZ($A$1,$B11,S$1,$B$1)</f>
        <v>3.47</v>
      </c>
      <c r="T11">
        <f>_xll.EQNXTDZ($A$1,$B11,T$1,$B$1)</f>
        <v>2.62</v>
      </c>
      <c r="U11">
        <f>_xll.EQNXTDZ($A$1,$B11,U$1,$B$1)</f>
        <v>1.18</v>
      </c>
      <c r="V11">
        <f>_xll.EQNXTDZ($A$1,$B11,V$1,$B$1)</f>
        <v>1</v>
      </c>
      <c r="W11">
        <f>_xll.EQNXTDZ($A$1,$B11,W$1,$B$1)</f>
        <v>0.52</v>
      </c>
      <c r="X11">
        <f>_xll.EQNXTDZ($A$1,$B11,X$1,$B$1)</f>
        <v>1.28</v>
      </c>
      <c r="Y11">
        <f>_xll.EQNXTDZ($A$1,$B11,Y$1,$B$1)</f>
        <v>0.09</v>
      </c>
      <c r="Z11">
        <f>_xll.EQNXTDZ($A$1,$B11,Z$1,$B$1)</f>
        <v>0.42</v>
      </c>
      <c r="AA11">
        <f>_xll.EQNXTDZ($A$1,$B11,AA$1,$B$1)</f>
        <v>0.37</v>
      </c>
      <c r="AB11">
        <f>_xll.EQNXTDZ($A$1,$B11,AB$1,$B$1)</f>
        <v>0.02</v>
      </c>
      <c r="AC11">
        <f>_xll.EQNXTDZ($A$1,$B11,AC$1,$B$1)</f>
        <v>0.16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355.29</v>
      </c>
      <c r="D14">
        <f>_xll.EQNXTDZ($A$1,$B14,D$1,$B$1)</f>
        <v>366.82</v>
      </c>
      <c r="E14">
        <f>_xll.EQNXTDZ($A$1,$B14,E$1,$B$1)</f>
        <v>361.75</v>
      </c>
      <c r="F14">
        <f>_xll.EQNXTDZ($A$1,$B14,F$1,$B$1)</f>
        <v>374.36</v>
      </c>
      <c r="G14">
        <f>_xll.EQNXTDZ($A$1,$B14,G$1,$B$1)</f>
        <v>361.1</v>
      </c>
      <c r="H14">
        <f>_xll.EQNXTDZ($A$1,$B14,H$1,$B$1)</f>
        <v>365.62</v>
      </c>
      <c r="I14">
        <f>_xll.EQNXTDZ($A$1,$B14,I$1,$B$1)</f>
        <v>378.18</v>
      </c>
      <c r="J14">
        <f>_xll.EQNXTDZ($A$1,$B14,J$1,$B$1)</f>
        <v>376.22</v>
      </c>
      <c r="K14">
        <f>_xll.EQNXTDZ($A$1,$B14,K$1,$B$1)</f>
        <v>388.38</v>
      </c>
      <c r="L14">
        <f>_xll.EQNXTDZ($A$1,$B14,L$1,$B$1)</f>
        <v>390.36</v>
      </c>
      <c r="M14">
        <f>_xll.EQNXTDZ($A$1,$B14,M$1,$B$1)</f>
        <v>402.57</v>
      </c>
      <c r="N14">
        <f>_xll.EQNXTDZ($A$1,$B14,N$1,$B$1)</f>
        <v>429.56</v>
      </c>
      <c r="O14">
        <f>_xll.EQNXTDZ($A$1,$B14,O$1,$B$1)</f>
        <v>325.97000000000003</v>
      </c>
      <c r="P14">
        <f>_xll.EQNXTDZ($A$1,$B14,P$1,$B$1)</f>
        <v>395.5</v>
      </c>
      <c r="Q14">
        <f>_xll.EQNXTDZ($A$1,$B14,Q$1,$B$1)</f>
        <v>380.76</v>
      </c>
      <c r="R14">
        <f>_xll.EQNXTDZ($A$1,$B14,R$1,$B$1)</f>
        <v>508.64</v>
      </c>
      <c r="S14">
        <f>_xll.EQNXTDZ($A$1,$B14,S$1,$B$1)</f>
        <v>489.03</v>
      </c>
      <c r="T14">
        <f>_xll.EQNXTDZ($A$1,$B14,T$1,$B$1)</f>
        <v>495.42</v>
      </c>
      <c r="U14">
        <f>_xll.EQNXTDZ($A$1,$B14,U$1,$B$1)</f>
        <v>447.29</v>
      </c>
      <c r="V14">
        <f>_xll.EQNXTDZ($A$1,$B14,V$1,$B$1)</f>
        <v>450.02</v>
      </c>
      <c r="W14">
        <f>_xll.EQNXTDZ($A$1,$B14,W$1,$B$1)</f>
        <v>403.63</v>
      </c>
      <c r="X14">
        <f>_xll.EQNXTDZ($A$1,$B14,X$1,$B$1)</f>
        <v>365.09</v>
      </c>
      <c r="Y14">
        <f>_xll.EQNXTDZ($A$1,$B14,Y$1,$B$1)</f>
        <v>355.97</v>
      </c>
      <c r="Z14">
        <f>_xll.EQNXTDZ($A$1,$B14,Z$1,$B$1)</f>
        <v>347.75</v>
      </c>
      <c r="AA14">
        <f>_xll.EQNXTDZ($A$1,$B14,AA$1,$B$1)</f>
        <v>279.95</v>
      </c>
      <c r="AB14">
        <f>_xll.EQNXTDZ($A$1,$B14,AB$1,$B$1)</f>
        <v>261.44</v>
      </c>
      <c r="AC14">
        <f>_xll.EQNXTDZ($A$1,$B14,AC$1,$B$1)</f>
        <v>213.44</v>
      </c>
      <c r="AD14">
        <f>_xll.EQNXTDZ($A$1,$B14,AD$1,$B$1)</f>
        <v>208.42</v>
      </c>
      <c r="AE14">
        <f>_xll.EQNXTDZ($A$1,$B14,AE$1,$B$1)</f>
        <v>223.31</v>
      </c>
      <c r="AF14">
        <f>_xll.EQNXTDZ($A$1,$B14,AF$1,$B$1)</f>
        <v>132.18</v>
      </c>
      <c r="AG14">
        <f>_xll.EQNXTDZ($A$1,$B14,AG$1,$B$1)</f>
        <v>109.58</v>
      </c>
      <c r="AH14">
        <f>_xll.EQNXTDZ($A$1,$B14,AH$1,$B$1)</f>
        <v>128.97</v>
      </c>
      <c r="AI14">
        <f>_xll.EQNXTDZ($A$1,$B14,AI$1,$B$1)</f>
        <v>111.96</v>
      </c>
      <c r="AJ14">
        <f>_xll.EQNXTDZ($A$1,$B14,AJ$1,$B$1)</f>
        <v>127.2</v>
      </c>
      <c r="AK14">
        <f>_xll.EQNXTDZ($A$1,$B14,AK$1,$B$1)</f>
        <v>136.83000000000001</v>
      </c>
      <c r="AL14">
        <f>_xll.EQNXTDZ($A$1,$B14,AL$1,$B$1)</f>
        <v>129.41</v>
      </c>
      <c r="AM14">
        <f>_xll.EQNXTDZ($A$1,$B14,AM$1,$B$1)</f>
        <v>138.65</v>
      </c>
      <c r="AN14">
        <f>_xll.EQNXTDZ($A$1,$B14,AN$1,$B$1)</f>
        <v>140.81</v>
      </c>
      <c r="AO14">
        <f>_xll.EQNXTDZ($A$1,$B14,AO$1,$B$1)</f>
        <v>153.4</v>
      </c>
      <c r="AP14">
        <f>_xll.EQNXTDZ($A$1,$B14,AP$1,$B$1)</f>
        <v>138.27000000000001</v>
      </c>
      <c r="AQ14">
        <f>_xll.EQNXTDZ($A$1,$B14,AQ$1,$B$1)</f>
        <v>135.49</v>
      </c>
      <c r="AR14">
        <f>_xll.EQNXTDZ($A$1,$B14,AR$1,$B$1)</f>
        <v>143.43</v>
      </c>
      <c r="AS14">
        <f>_xll.EQNXTDZ($A$1,$B14,AS$1,$B$1)</f>
        <v>140.22999999999999</v>
      </c>
      <c r="AT14">
        <f>_xll.EQNXTDZ($A$1,$B14,AT$1,$B$1)</f>
        <v>132.62</v>
      </c>
      <c r="AU14">
        <f>_xll.EQNXTDZ($A$1,$B14,AU$1,$B$1)</f>
        <v>144.77000000000001</v>
      </c>
      <c r="AV14">
        <f>_xll.EQNXTDZ($A$1,$B14,AV$1,$B$1)</f>
        <v>143.26</v>
      </c>
      <c r="AW14">
        <f>_xll.EQNXTDZ($A$1,$B14,AW$1,$B$1)</f>
        <v>141.08000000000001</v>
      </c>
      <c r="AX14">
        <f>_xll.EQNXTDZ($A$1,$B14,AX$1,$B$1)</f>
        <v>164.52</v>
      </c>
      <c r="AY14">
        <f>_xll.EQNXTDZ($A$1,$B14,AY$1,$B$1)</f>
        <v>169.61</v>
      </c>
      <c r="AZ14">
        <f>_xll.EQNXTDZ($A$1,$B14,AZ$1,$B$1)</f>
        <v>184.43</v>
      </c>
      <c r="BA14">
        <f>_xll.EQNXTDZ($A$1,$B14,BA$1,$B$1)</f>
        <v>162.87</v>
      </c>
      <c r="BB14">
        <f>_xll.EQNXTDZ($A$1,$B14,BB$1,$B$1)</f>
        <v>137.26</v>
      </c>
      <c r="BC14">
        <f>_xll.EQNXTDZ($A$1,$B14,BC$1,$B$1)</f>
        <v>118.14</v>
      </c>
      <c r="BD14">
        <f>_xll.EQNXTDZ($A$1,$B14,BD$1,$B$1)</f>
        <v>126.27</v>
      </c>
      <c r="BE14">
        <f>_xll.EQNXTDZ($A$1,$B14,BE$1,$B$1)</f>
        <v>98.16</v>
      </c>
      <c r="BF14">
        <f>_xll.EQNXTDZ($A$1,$B14,BF$1,$B$1)</f>
        <v>113.77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40.69</v>
      </c>
      <c r="D16">
        <f>_xll.EQNXTDZ($A$1,$B16,D$1,$B$1)</f>
        <v>32.89</v>
      </c>
      <c r="E16">
        <f>_xll.EQNXTDZ($A$1,$B16,E$1,$B$1)</f>
        <v>45.18</v>
      </c>
      <c r="F16">
        <f>_xll.EQNXTDZ($A$1,$B16,F$1,$B$1)</f>
        <v>41.05</v>
      </c>
      <c r="G16">
        <f>_xll.EQNXTDZ($A$1,$B16,G$1,$B$1)</f>
        <v>42.17</v>
      </c>
      <c r="H16">
        <f>_xll.EQNXTDZ($A$1,$B16,H$1,$B$1)</f>
        <v>45.93</v>
      </c>
      <c r="I16">
        <f>_xll.EQNXTDZ($A$1,$B16,I$1,$B$1)</f>
        <v>39.22</v>
      </c>
      <c r="J16">
        <f>_xll.EQNXTDZ($A$1,$B16,J$1,$B$1)</f>
        <v>45.35</v>
      </c>
      <c r="K16">
        <f>_xll.EQNXTDZ($A$1,$B16,K$1,$B$1)</f>
        <v>32.270000000000003</v>
      </c>
      <c r="L16">
        <f>_xll.EQNXTDZ($A$1,$B16,L$1,$B$1)</f>
        <v>41.84</v>
      </c>
      <c r="M16">
        <f>_xll.EQNXTDZ($A$1,$B16,M$1,$B$1)</f>
        <v>40.99</v>
      </c>
      <c r="N16">
        <f>_xll.EQNXTDZ($A$1,$B16,N$1,$B$1)</f>
        <v>43.43</v>
      </c>
      <c r="O16">
        <f>_xll.EQNXTDZ($A$1,$B16,O$1,$B$1)</f>
        <v>25.37</v>
      </c>
      <c r="P16">
        <f>_xll.EQNXTDZ($A$1,$B16,P$1,$B$1)</f>
        <v>33.31</v>
      </c>
      <c r="Q16">
        <f>_xll.EQNXTDZ($A$1,$B16,Q$1,$B$1)</f>
        <v>32.479999999999997</v>
      </c>
      <c r="R16">
        <f>_xll.EQNXTDZ($A$1,$B16,R$1,$B$1)</f>
        <v>28.74</v>
      </c>
      <c r="S16">
        <f>_xll.EQNXTDZ($A$1,$B16,S$1,$B$1)</f>
        <v>30.53</v>
      </c>
      <c r="T16">
        <f>_xll.EQNXTDZ($A$1,$B16,T$1,$B$1)</f>
        <v>31.71</v>
      </c>
      <c r="U16">
        <f>_xll.EQNXTDZ($A$1,$B16,U$1,$B$1)</f>
        <v>31.37</v>
      </c>
      <c r="V16">
        <f>_xll.EQNXTDZ($A$1,$B16,V$1,$B$1)</f>
        <v>32.29</v>
      </c>
      <c r="W16">
        <f>_xll.EQNXTDZ($A$1,$B16,W$1,$B$1)</f>
        <v>28.16</v>
      </c>
      <c r="X16">
        <f>_xll.EQNXTDZ($A$1,$B16,X$1,$B$1)</f>
        <v>23.98</v>
      </c>
      <c r="Y16">
        <f>_xll.EQNXTDZ($A$1,$B16,Y$1,$B$1)</f>
        <v>26.63</v>
      </c>
      <c r="Z16">
        <f>_xll.EQNXTDZ($A$1,$B16,Z$1,$B$1)</f>
        <v>24.23</v>
      </c>
      <c r="AA16">
        <f>_xll.EQNXTDZ($A$1,$B16,AA$1,$B$1)</f>
        <v>15.71</v>
      </c>
      <c r="AB16">
        <f>_xll.EQNXTDZ($A$1,$B16,AB$1,$B$1)</f>
        <v>18.59</v>
      </c>
      <c r="AC16">
        <f>_xll.EQNXTDZ($A$1,$B16,AC$1,$B$1)</f>
        <v>18.2</v>
      </c>
      <c r="AD16">
        <f>_xll.EQNXTDZ($A$1,$B16,AD$1,$B$1)</f>
        <v>12.29</v>
      </c>
      <c r="AE16">
        <f>_xll.EQNXTDZ($A$1,$B16,AE$1,$B$1)</f>
        <v>17.100000000000001</v>
      </c>
      <c r="AF16">
        <f>_xll.EQNXTDZ($A$1,$B16,AF$1,$B$1)</f>
        <v>15.29</v>
      </c>
      <c r="AG16">
        <f>_xll.EQNXTDZ($A$1,$B16,AG$1,$B$1)</f>
        <v>14.52</v>
      </c>
      <c r="AH16">
        <f>_xll.EQNXTDZ($A$1,$B16,AH$1,$B$1)</f>
        <v>12.21</v>
      </c>
      <c r="AI16">
        <f>_xll.EQNXTDZ($A$1,$B16,AI$1,$B$1)</f>
        <v>13.68</v>
      </c>
      <c r="AJ16">
        <f>_xll.EQNXTDZ($A$1,$B16,AJ$1,$B$1)</f>
        <v>11.31</v>
      </c>
      <c r="AK16">
        <f>_xll.EQNXTDZ($A$1,$B16,AK$1,$B$1)</f>
        <v>12.85</v>
      </c>
      <c r="AL16">
        <f>_xll.EQNXTDZ($A$1,$B16,AL$1,$B$1)</f>
        <v>11.53</v>
      </c>
      <c r="AM16">
        <f>_xll.EQNXTDZ($A$1,$B16,AM$1,$B$1)</f>
        <v>12.46</v>
      </c>
      <c r="AN16">
        <f>_xll.EQNXTDZ($A$1,$B16,AN$1,$B$1)</f>
        <v>14.21</v>
      </c>
      <c r="AO16">
        <f>_xll.EQNXTDZ($A$1,$B16,AO$1,$B$1)</f>
        <v>14.21</v>
      </c>
      <c r="AP16">
        <f>_xll.EQNXTDZ($A$1,$B16,AP$1,$B$1)</f>
        <v>14.16</v>
      </c>
      <c r="AQ16">
        <f>_xll.EQNXTDZ($A$1,$B16,AQ$1,$B$1)</f>
        <v>13.98</v>
      </c>
      <c r="AR16">
        <f>_xll.EQNXTDZ($A$1,$B16,AR$1,$B$1)</f>
        <v>15.35</v>
      </c>
      <c r="AS16">
        <f>_xll.EQNXTDZ($A$1,$B16,AS$1,$B$1)</f>
        <v>15.68</v>
      </c>
      <c r="AT16">
        <f>_xll.EQNXTDZ($A$1,$B16,AT$1,$B$1)</f>
        <v>16.89</v>
      </c>
      <c r="AU16">
        <f>_xll.EQNXTDZ($A$1,$B16,AU$1,$B$1)</f>
        <v>15.98</v>
      </c>
      <c r="AV16">
        <f>_xll.EQNXTDZ($A$1,$B16,AV$1,$B$1)</f>
        <v>18.04</v>
      </c>
      <c r="AW16">
        <f>_xll.EQNXTDZ($A$1,$B16,AW$1,$B$1)</f>
        <v>18.649999999999999</v>
      </c>
      <c r="AX16">
        <f>_xll.EQNXTDZ($A$1,$B16,AX$1,$B$1)</f>
        <v>17.93</v>
      </c>
      <c r="AY16">
        <f>_xll.EQNXTDZ($A$1,$B16,AY$1,$B$1)</f>
        <v>19.03</v>
      </c>
      <c r="AZ16">
        <f>_xll.EQNXTDZ($A$1,$B16,AZ$1,$B$1)</f>
        <v>21.86</v>
      </c>
      <c r="BA16">
        <f>_xll.EQNXTDZ($A$1,$B16,BA$1,$B$1)</f>
        <v>21.07</v>
      </c>
      <c r="BB16">
        <f>_xll.EQNXTDZ($A$1,$B16,BB$1,$B$1)</f>
        <v>21.13</v>
      </c>
      <c r="BC16">
        <f>_xll.EQNXTDZ($A$1,$B16,BC$1,$B$1)</f>
        <v>21.41</v>
      </c>
      <c r="BD16">
        <f>_xll.EQNXTDZ($A$1,$B16,BD$1,$B$1)</f>
        <v>21.95</v>
      </c>
      <c r="BE16">
        <f>_xll.EQNXTDZ($A$1,$B16,BE$1,$B$1)</f>
        <v>22.35</v>
      </c>
      <c r="BF16">
        <f>_xll.EQNXTDZ($A$1,$B16,BF$1,$B$1)</f>
        <v>20.77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75.03</v>
      </c>
      <c r="D17">
        <f>_xll.EQNXTDZ($A$1,$B17,D$1,$B$1)</f>
        <v>93.45</v>
      </c>
      <c r="E17">
        <f>_xll.EQNXTDZ($A$1,$B17,E$1,$B$1)</f>
        <v>62.2</v>
      </c>
      <c r="F17">
        <f>_xll.EQNXTDZ($A$1,$B17,F$1,$B$1)</f>
        <v>65.53</v>
      </c>
      <c r="G17">
        <f>_xll.EQNXTDZ($A$1,$B17,G$1,$B$1)</f>
        <v>79.95</v>
      </c>
      <c r="H17">
        <f>_xll.EQNXTDZ($A$1,$B17,H$1,$B$1)</f>
        <v>83.19</v>
      </c>
      <c r="I17">
        <f>_xll.EQNXTDZ($A$1,$B17,I$1,$B$1)</f>
        <v>87.95</v>
      </c>
      <c r="J17">
        <f>_xll.EQNXTDZ($A$1,$B17,J$1,$B$1)</f>
        <v>64.069999999999993</v>
      </c>
      <c r="K17">
        <f>_xll.EQNXTDZ($A$1,$B17,K$1,$B$1)</f>
        <v>74.48</v>
      </c>
      <c r="L17">
        <f>_xll.EQNXTDZ($A$1,$B17,L$1,$B$1)</f>
        <v>83.39</v>
      </c>
      <c r="M17">
        <f>_xll.EQNXTDZ($A$1,$B17,M$1,$B$1)</f>
        <v>87.82</v>
      </c>
      <c r="N17">
        <f>_xll.EQNXTDZ($A$1,$B17,N$1,$B$1)</f>
        <v>65.569999999999993</v>
      </c>
      <c r="O17">
        <f>_xll.EQNXTDZ($A$1,$B17,O$1,$B$1)</f>
        <v>145.66999999999999</v>
      </c>
      <c r="P17">
        <f>_xll.EQNXTDZ($A$1,$B17,P$1,$B$1)</f>
        <v>78.23</v>
      </c>
      <c r="Q17">
        <f>_xll.EQNXTDZ($A$1,$B17,Q$1,$B$1)</f>
        <v>71.84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56.57</v>
      </c>
      <c r="D18">
        <f>_xll.EQNXTDZ($A$1,$B18,D$1,$B$1)</f>
        <v>49.99</v>
      </c>
      <c r="E18">
        <f>_xll.EQNXTDZ($A$1,$B18,E$1,$B$1)</f>
        <v>33.42</v>
      </c>
      <c r="F18">
        <f>_xll.EQNXTDZ($A$1,$B18,F$1,$B$1)</f>
        <v>35.4</v>
      </c>
      <c r="G18">
        <f>_xll.EQNXTDZ($A$1,$B18,G$1,$B$1)</f>
        <v>40.200000000000003</v>
      </c>
      <c r="H18">
        <f>_xll.EQNXTDZ($A$1,$B18,H$1,$B$1)</f>
        <v>32.340000000000003</v>
      </c>
      <c r="I18">
        <f>_xll.EQNXTDZ($A$1,$B18,I$1,$B$1)</f>
        <v>31.19</v>
      </c>
      <c r="J18">
        <f>_xll.EQNXTDZ($A$1,$B18,J$1,$B$1)</f>
        <v>34.74</v>
      </c>
      <c r="K18">
        <f>_xll.EQNXTDZ($A$1,$B18,K$1,$B$1)</f>
        <v>33.299999999999997</v>
      </c>
      <c r="L18">
        <f>_xll.EQNXTDZ($A$1,$B18,L$1,$B$1)</f>
        <v>35.08</v>
      </c>
      <c r="M18">
        <f>_xll.EQNXTDZ($A$1,$B18,M$1,$B$1)</f>
        <v>40.36</v>
      </c>
      <c r="N18">
        <f>_xll.EQNXTDZ($A$1,$B18,N$1,$B$1)</f>
        <v>34.049999999999997</v>
      </c>
      <c r="O18">
        <f>_xll.EQNXTDZ($A$1,$B18,O$1,$B$1)</f>
        <v>29.89</v>
      </c>
      <c r="P18">
        <f>_xll.EQNXTDZ($A$1,$B18,P$1,$B$1)</f>
        <v>36.450000000000003</v>
      </c>
      <c r="Q18">
        <f>_xll.EQNXTDZ($A$1,$B18,Q$1,$B$1)</f>
        <v>34.5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13.32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14.84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72.27</v>
      </c>
      <c r="F21">
        <f>_xll.EQNXTDZ($A$1,$B21,F$1,$B$1)</f>
        <v>23.27</v>
      </c>
      <c r="G21">
        <f>_xll.EQNXTDZ($A$1,$B21,G$1,$B$1)</f>
        <v>10</v>
      </c>
      <c r="H21">
        <f>_xll.EQNXTDZ($A$1,$B21,H$1,$B$1)</f>
        <v>29.2</v>
      </c>
      <c r="I21">
        <f>_xll.EQNXTDZ($A$1,$B21,I$1,$B$1)</f>
        <v>26</v>
      </c>
      <c r="J21">
        <f>_xll.EQNXTDZ($A$1,$B21,J$1,$B$1)</f>
        <v>34.200000000000003</v>
      </c>
      <c r="K21">
        <f>_xll.EQNXTDZ($A$1,$B21,K$1,$B$1)</f>
        <v>8.8000000000000007</v>
      </c>
      <c r="L21">
        <f>_xll.EQNXTDZ($A$1,$B21,L$1,$B$1)</f>
        <v>10.4</v>
      </c>
      <c r="M21">
        <f>_xll.EQNXTDZ($A$1,$B21,M$1,$B$1)</f>
        <v>8.3000000000000007</v>
      </c>
      <c r="N21">
        <f>_xll.EQNXTDZ($A$1,$B21,N$1,$B$1)</f>
        <v>8.9</v>
      </c>
      <c r="O21">
        <f>_xll.EQNXTDZ($A$1,$B21,O$1,$B$1)</f>
        <v>8.6999999999999993</v>
      </c>
      <c r="P21">
        <f>_xll.EQNXTDZ($A$1,$B21,P$1,$B$1)</f>
        <v>10.7</v>
      </c>
      <c r="Q21">
        <f>_xll.EQNXTDZ($A$1,$B21,Q$1,$B$1)</f>
        <v>10</v>
      </c>
      <c r="R21">
        <f>_xll.EQNXTDZ($A$1,$B21,R$1,$B$1)</f>
        <v>76.12</v>
      </c>
      <c r="S21">
        <f>_xll.EQNXTDZ($A$1,$B21,S$1,$B$1)</f>
        <v>-2.68</v>
      </c>
      <c r="T21">
        <f>_xll.EQNXTDZ($A$1,$B21,T$1,$B$1)</f>
        <v>15.38</v>
      </c>
      <c r="U21">
        <f>_xll.EQNXTDZ($A$1,$B21,U$1,$B$1)</f>
        <v>9.44</v>
      </c>
      <c r="V21">
        <f>_xll.EQNXTDZ($A$1,$B21,V$1,$B$1)</f>
        <v>4.46</v>
      </c>
      <c r="W21">
        <f>_xll.EQNXTDZ($A$1,$B21,W$1,$B$1)</f>
        <v>2.0499999999999998</v>
      </c>
      <c r="X21">
        <f>_xll.EQNXTDZ($A$1,$B21,X$1,$B$1)</f>
        <v>1.87</v>
      </c>
      <c r="Y21">
        <f>_xll.EQNXTDZ($A$1,$B21,Y$1,$B$1)</f>
        <v>1.67</v>
      </c>
      <c r="Z21">
        <f>_xll.EQNXTDZ($A$1,$B21,Z$1,$B$1)</f>
        <v>150.22999999999999</v>
      </c>
      <c r="AA21">
        <f>_xll.EQNXTDZ($A$1,$B21,AA$1,$B$1)</f>
        <v>2.27</v>
      </c>
      <c r="AB21">
        <f>_xll.EQNXTDZ($A$1,$B21,AB$1,$B$1)</f>
        <v>2.4</v>
      </c>
      <c r="AC21">
        <f>_xll.EQNXTDZ($A$1,$B21,AC$1,$B$1)</f>
        <v>2.72</v>
      </c>
      <c r="AD21">
        <f>_xll.EQNXTDZ($A$1,$B21,AD$1,$B$1)</f>
        <v>-413.01</v>
      </c>
      <c r="AE21">
        <f>_xll.EQNXTDZ($A$1,$B21,AE$1,$B$1)</f>
        <v>2.4300000000000002</v>
      </c>
      <c r="AF21">
        <f>_xll.EQNXTDZ($A$1,$B21,AF$1,$B$1)</f>
        <v>0.54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118.83</v>
      </c>
      <c r="D22">
        <f>_xll.EQNXTDZ($A$1,$B22,D$1,$B$1)</f>
        <v>99.82</v>
      </c>
      <c r="E22">
        <f>_xll.EQNXTDZ($A$1,$B22,E$1,$B$1)</f>
        <v>76.08</v>
      </c>
      <c r="F22">
        <f>_xll.EQNXTDZ($A$1,$B22,F$1,$B$1)</f>
        <v>141.58000000000001</v>
      </c>
      <c r="G22">
        <f>_xll.EQNXTDZ($A$1,$B22,G$1,$B$1)</f>
        <v>154.32</v>
      </c>
      <c r="H22">
        <f>_xll.EQNXTDZ($A$1,$B22,H$1,$B$1)</f>
        <v>121.51</v>
      </c>
      <c r="I22">
        <f>_xll.EQNXTDZ($A$1,$B22,I$1,$B$1)</f>
        <v>119.62</v>
      </c>
      <c r="J22">
        <f>_xll.EQNXTDZ($A$1,$B22,J$1,$B$1)</f>
        <v>131.36000000000001</v>
      </c>
      <c r="K22">
        <f>_xll.EQNXTDZ($A$1,$B22,K$1,$B$1)</f>
        <v>162.69</v>
      </c>
      <c r="L22">
        <f>_xll.EQNXTDZ($A$1,$B22,L$1,$B$1)</f>
        <v>128.54</v>
      </c>
      <c r="M22">
        <f>_xll.EQNXTDZ($A$1,$B22,M$1,$B$1)</f>
        <v>149.35</v>
      </c>
      <c r="N22">
        <f>_xll.EQNXTDZ($A$1,$B22,N$1,$B$1)</f>
        <v>159.61000000000001</v>
      </c>
      <c r="O22">
        <f>_xll.EQNXTDZ($A$1,$B22,O$1,$B$1)</f>
        <v>209.98</v>
      </c>
      <c r="P22">
        <f>_xll.EQNXTDZ($A$1,$B22,P$1,$B$1)</f>
        <v>187.02</v>
      </c>
      <c r="Q22">
        <f>_xll.EQNXTDZ($A$1,$B22,Q$1,$B$1)</f>
        <v>208.85</v>
      </c>
      <c r="R22">
        <f>_xll.EQNXTDZ($A$1,$B22,R$1,$B$1)</f>
        <v>115.7</v>
      </c>
      <c r="S22">
        <f>_xll.EQNXTDZ($A$1,$B22,S$1,$B$1)</f>
        <v>214.56</v>
      </c>
      <c r="T22">
        <f>_xll.EQNXTDZ($A$1,$B22,T$1,$B$1)</f>
        <v>167.67</v>
      </c>
      <c r="U22">
        <f>_xll.EQNXTDZ($A$1,$B22,U$1,$B$1)</f>
        <v>154.54</v>
      </c>
      <c r="V22">
        <f>_xll.EQNXTDZ($A$1,$B22,V$1,$B$1)</f>
        <v>108.76</v>
      </c>
      <c r="W22">
        <f>_xll.EQNXTDZ($A$1,$B22,W$1,$B$1)</f>
        <v>118.73</v>
      </c>
      <c r="X22">
        <f>_xll.EQNXTDZ($A$1,$B22,X$1,$B$1)</f>
        <v>123.1</v>
      </c>
      <c r="Y22">
        <f>_xll.EQNXTDZ($A$1,$B22,Y$1,$B$1)</f>
        <v>34.020000000000003</v>
      </c>
      <c r="Z22">
        <f>_xll.EQNXTDZ($A$1,$B22,Z$1,$B$1)</f>
        <v>-140.91</v>
      </c>
      <c r="AA22">
        <f>_xll.EQNXTDZ($A$1,$B22,AA$1,$B$1)</f>
        <v>36.15</v>
      </c>
      <c r="AB22">
        <f>_xll.EQNXTDZ($A$1,$B22,AB$1,$B$1)</f>
        <v>39.39</v>
      </c>
      <c r="AC22">
        <f>_xll.EQNXTDZ($A$1,$B22,AC$1,$B$1)</f>
        <v>70.91</v>
      </c>
      <c r="AD22">
        <f>_xll.EQNXTDZ($A$1,$B22,AD$1,$B$1)</f>
        <v>507.78</v>
      </c>
      <c r="AE22">
        <f>_xll.EQNXTDZ($A$1,$B22,AE$1,$B$1)</f>
        <v>50.61</v>
      </c>
      <c r="AF22">
        <f>_xll.EQNXTDZ($A$1,$B22,AF$1,$B$1)</f>
        <v>122.34</v>
      </c>
      <c r="AG22">
        <f>_xll.EQNXTDZ($A$1,$B22,AG$1,$B$1)</f>
        <v>130.96</v>
      </c>
      <c r="AH22">
        <f>_xll.EQNXTDZ($A$1,$B22,AH$1,$B$1)</f>
        <v>117.7</v>
      </c>
      <c r="AI22">
        <f>_xll.EQNXTDZ($A$1,$B22,AI$1,$B$1)</f>
        <v>117.66</v>
      </c>
      <c r="AJ22">
        <f>_xll.EQNXTDZ($A$1,$B22,AJ$1,$B$1)</f>
        <v>118.15</v>
      </c>
      <c r="AK22">
        <f>_xll.EQNXTDZ($A$1,$B22,AK$1,$B$1)</f>
        <v>128.72999999999999</v>
      </c>
      <c r="AL22">
        <f>_xll.EQNXTDZ($A$1,$B22,AL$1,$B$1)</f>
        <v>124.35</v>
      </c>
      <c r="AM22">
        <f>_xll.EQNXTDZ($A$1,$B22,AM$1,$B$1)</f>
        <v>116.92</v>
      </c>
      <c r="AN22">
        <f>_xll.EQNXTDZ($A$1,$B22,AN$1,$B$1)</f>
        <v>113.75</v>
      </c>
      <c r="AO22">
        <f>_xll.EQNXTDZ($A$1,$B22,AO$1,$B$1)</f>
        <v>116.61</v>
      </c>
      <c r="AP22">
        <f>_xll.EQNXTDZ($A$1,$B22,AP$1,$B$1)</f>
        <v>120.35</v>
      </c>
      <c r="AQ22">
        <f>_xll.EQNXTDZ($A$1,$B22,AQ$1,$B$1)</f>
        <v>117.01</v>
      </c>
      <c r="AR22">
        <f>_xll.EQNXTDZ($A$1,$B22,AR$1,$B$1)</f>
        <v>118.88</v>
      </c>
      <c r="AS22">
        <f>_xll.EQNXTDZ($A$1,$B22,AS$1,$B$1)</f>
        <v>125.99</v>
      </c>
      <c r="AT22">
        <f>_xll.EQNXTDZ($A$1,$B22,AT$1,$B$1)</f>
        <v>130.62</v>
      </c>
      <c r="AU22">
        <f>_xll.EQNXTDZ($A$1,$B22,AU$1,$B$1)</f>
        <v>124.76</v>
      </c>
      <c r="AV22">
        <f>_xll.EQNXTDZ($A$1,$B22,AV$1,$B$1)</f>
        <v>125.52</v>
      </c>
      <c r="AW22">
        <f>_xll.EQNXTDZ($A$1,$B22,AW$1,$B$1)</f>
        <v>136.30000000000001</v>
      </c>
      <c r="AX22">
        <f>_xll.EQNXTDZ($A$1,$B22,AX$1,$B$1)</f>
        <v>140.84</v>
      </c>
      <c r="AY22">
        <f>_xll.EQNXTDZ($A$1,$B22,AY$1,$B$1)</f>
        <v>134.86000000000001</v>
      </c>
      <c r="AZ22">
        <f>_xll.EQNXTDZ($A$1,$B22,AZ$1,$B$1)</f>
        <v>137.21</v>
      </c>
      <c r="BA22">
        <f>_xll.EQNXTDZ($A$1,$B22,BA$1,$B$1)</f>
        <v>148.83000000000001</v>
      </c>
      <c r="BB22">
        <f>_xll.EQNXTDZ($A$1,$B22,BB$1,$B$1)</f>
        <v>149.88</v>
      </c>
      <c r="BC22">
        <f>_xll.EQNXTDZ($A$1,$B22,BC$1,$B$1)</f>
        <v>144.69999999999999</v>
      </c>
      <c r="BD22">
        <f>_xll.EQNXTDZ($A$1,$B22,BD$1,$B$1)</f>
        <v>137.91</v>
      </c>
      <c r="BE22">
        <f>_xll.EQNXTDZ($A$1,$B22,BE$1,$B$1)</f>
        <v>173.8</v>
      </c>
      <c r="BF22">
        <f>_xll.EQNXTDZ($A$1,$B22,BF$1,$B$1)</f>
        <v>161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3.65</v>
      </c>
      <c r="D23">
        <f>_xll.EQNXTDZ($A$1,$B23,D$1,$B$1)</f>
        <v>11.07</v>
      </c>
      <c r="E23">
        <f>_xll.EQNXTDZ($A$1,$B23,E$1,$B$1)</f>
        <v>15.93</v>
      </c>
      <c r="F23">
        <f>_xll.EQNXTDZ($A$1,$B23,F$1,$B$1)</f>
        <v>20.36</v>
      </c>
      <c r="G23">
        <f>_xll.EQNXTDZ($A$1,$B23,G$1,$B$1)</f>
        <v>7.95</v>
      </c>
      <c r="H23">
        <f>_xll.EQNXTDZ($A$1,$B23,H$1,$B$1)</f>
        <v>14.81</v>
      </c>
      <c r="I23">
        <f>_xll.EQNXTDZ($A$1,$B23,I$1,$B$1)</f>
        <v>28.47</v>
      </c>
      <c r="J23">
        <f>_xll.EQNXTDZ($A$1,$B23,J$1,$B$1)</f>
        <v>36.26</v>
      </c>
      <c r="K23">
        <f>_xll.EQNXTDZ($A$1,$B23,K$1,$B$1)</f>
        <v>17.23</v>
      </c>
      <c r="L23">
        <f>_xll.EQNXTDZ($A$1,$B23,L$1,$B$1)</f>
        <v>11.66</v>
      </c>
      <c r="M23">
        <f>_xll.EQNXTDZ($A$1,$B23,M$1,$B$1)</f>
        <v>6.93</v>
      </c>
      <c r="N23">
        <f>_xll.EQNXTDZ($A$1,$B23,N$1,$B$1)</f>
        <v>10.45</v>
      </c>
      <c r="O23">
        <f>_xll.EQNXTDZ($A$1,$B23,O$1,$B$1)</f>
        <v>10.1</v>
      </c>
      <c r="P23">
        <f>_xll.EQNXTDZ($A$1,$B23,P$1,$B$1)</f>
        <v>-31.92</v>
      </c>
      <c r="Q23">
        <f>_xll.EQNXTDZ($A$1,$B23,Q$1,$B$1)</f>
        <v>50.65</v>
      </c>
      <c r="R23">
        <f>_xll.EQNXTDZ($A$1,$B23,R$1,$B$1)</f>
        <v>8.1</v>
      </c>
      <c r="S23">
        <f>_xll.EQNXTDZ($A$1,$B23,S$1,$B$1)</f>
        <v>11.22</v>
      </c>
      <c r="T23">
        <f>_xll.EQNXTDZ($A$1,$B23,T$1,$B$1)</f>
        <v>22.05</v>
      </c>
      <c r="U23">
        <f>_xll.EQNXTDZ($A$1,$B23,U$1,$B$1)</f>
        <v>15.52</v>
      </c>
      <c r="V23">
        <f>_xll.EQNXTDZ($A$1,$B23,V$1,$B$1)</f>
        <v>-13.91</v>
      </c>
      <c r="W23">
        <f>_xll.EQNXTDZ($A$1,$B23,W$1,$B$1)</f>
        <v>5.56</v>
      </c>
      <c r="X23">
        <f>_xll.EQNXTDZ($A$1,$B23,X$1,$B$1)</f>
        <v>-4.3</v>
      </c>
      <c r="Y23">
        <f>_xll.EQNXTDZ($A$1,$B23,Y$1,$B$1)</f>
        <v>21.82</v>
      </c>
      <c r="Z23">
        <f>_xll.EQNXTDZ($A$1,$B23,Z$1,$B$1)</f>
        <v>43.54</v>
      </c>
      <c r="AA23">
        <f>_xll.EQNXTDZ($A$1,$B23,AA$1,$B$1)</f>
        <v>7.02</v>
      </c>
      <c r="AB23">
        <f>_xll.EQNXTDZ($A$1,$B23,AB$1,$B$1)</f>
        <v>28.76</v>
      </c>
      <c r="AC23">
        <f>_xll.EQNXTDZ($A$1,$B23,AC$1,$B$1)</f>
        <v>24</v>
      </c>
      <c r="AD23">
        <f>_xll.EQNXTDZ($A$1,$B23,AD$1,$B$1)</f>
        <v>18.600000000000001</v>
      </c>
      <c r="AE23">
        <f>_xll.EQNXTDZ($A$1,$B23,AE$1,$B$1)</f>
        <v>17.46</v>
      </c>
      <c r="AF23">
        <f>_xll.EQNXTDZ($A$1,$B23,AF$1,$B$1)</f>
        <v>4.49</v>
      </c>
      <c r="AG23">
        <f>_xll.EQNXTDZ($A$1,$B23,AG$1,$B$1)</f>
        <v>9.83</v>
      </c>
      <c r="AH23">
        <f>_xll.EQNXTDZ($A$1,$B23,AH$1,$B$1)</f>
        <v>3.08</v>
      </c>
      <c r="AI23">
        <f>_xll.EQNXTDZ($A$1,$B23,AI$1,$B$1)</f>
        <v>6.01</v>
      </c>
      <c r="AJ23">
        <f>_xll.EQNXTDZ($A$1,$B23,AJ$1,$B$1)</f>
        <v>9</v>
      </c>
      <c r="AK23">
        <f>_xll.EQNXTDZ($A$1,$B23,AK$1,$B$1)</f>
        <v>2.99</v>
      </c>
      <c r="AL23">
        <f>_xll.EQNXTDZ($A$1,$B23,AL$1,$B$1)</f>
        <v>6.1</v>
      </c>
      <c r="AM23">
        <f>_xll.EQNXTDZ($A$1,$B23,AM$1,$B$1)</f>
        <v>2.62</v>
      </c>
      <c r="AN23">
        <f>_xll.EQNXTDZ($A$1,$B23,AN$1,$B$1)</f>
        <v>3.33</v>
      </c>
      <c r="AO23">
        <f>_xll.EQNXTDZ($A$1,$B23,AO$1,$B$1)</f>
        <v>5.09</v>
      </c>
      <c r="AP23">
        <f>_xll.EQNXTDZ($A$1,$B23,AP$1,$B$1)</f>
        <v>5.88</v>
      </c>
      <c r="AQ23">
        <f>_xll.EQNXTDZ($A$1,$B23,AQ$1,$B$1)</f>
        <v>3.62</v>
      </c>
      <c r="AR23">
        <f>_xll.EQNXTDZ($A$1,$B23,AR$1,$B$1)</f>
        <v>4.57</v>
      </c>
      <c r="AS23">
        <f>_xll.EQNXTDZ($A$1,$B23,AS$1,$B$1)</f>
        <v>5.61</v>
      </c>
      <c r="AT23">
        <f>_xll.EQNXTDZ($A$1,$B23,AT$1,$B$1)</f>
        <v>2.96</v>
      </c>
      <c r="AU23">
        <f>_xll.EQNXTDZ($A$1,$B23,AU$1,$B$1)</f>
        <v>4.08</v>
      </c>
      <c r="AV23">
        <f>_xll.EQNXTDZ($A$1,$B23,AV$1,$B$1)</f>
        <v>3.78</v>
      </c>
      <c r="AW23">
        <f>_xll.EQNXTDZ($A$1,$B23,AW$1,$B$1)</f>
        <v>5.0199999999999996</v>
      </c>
      <c r="AX23">
        <f>_xll.EQNXTDZ($A$1,$B23,AX$1,$B$1)</f>
        <v>3.28</v>
      </c>
      <c r="AY23">
        <f>_xll.EQNXTDZ($A$1,$B23,AY$1,$B$1)</f>
        <v>5.52</v>
      </c>
      <c r="AZ23">
        <f>_xll.EQNXTDZ($A$1,$B23,AZ$1,$B$1)</f>
        <v>2.78</v>
      </c>
      <c r="BA23">
        <f>_xll.EQNXTDZ($A$1,$B23,BA$1,$B$1)</f>
        <v>2.4900000000000002</v>
      </c>
      <c r="BB23">
        <f>_xll.EQNXTDZ($A$1,$B23,BB$1,$B$1)</f>
        <v>5.08</v>
      </c>
      <c r="BC23">
        <f>_xll.EQNXTDZ($A$1,$B23,BC$1,$B$1)</f>
        <v>3.96</v>
      </c>
      <c r="BD23">
        <f>_xll.EQNXTDZ($A$1,$B23,BD$1,$B$1)</f>
        <v>3.75</v>
      </c>
      <c r="BE23">
        <f>_xll.EQNXTDZ($A$1,$B23,BE$1,$B$1)</f>
        <v>3.31</v>
      </c>
      <c r="BF23">
        <f>_xll.EQNXTDZ($A$1,$B23,BF$1,$B$1)</f>
        <v>4.13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122.48</v>
      </c>
      <c r="D24">
        <f>_xll.EQNXTDZ($A$1,$B24,D$1,$B$1)</f>
        <v>110.89</v>
      </c>
      <c r="E24">
        <f>_xll.EQNXTDZ($A$1,$B24,E$1,$B$1)</f>
        <v>92.01</v>
      </c>
      <c r="F24">
        <f>_xll.EQNXTDZ($A$1,$B24,F$1,$B$1)</f>
        <v>161.94</v>
      </c>
      <c r="G24">
        <f>_xll.EQNXTDZ($A$1,$B24,G$1,$B$1)</f>
        <v>162.27000000000001</v>
      </c>
      <c r="H24">
        <f>_xll.EQNXTDZ($A$1,$B24,H$1,$B$1)</f>
        <v>136.32</v>
      </c>
      <c r="I24">
        <f>_xll.EQNXTDZ($A$1,$B24,I$1,$B$1)</f>
        <v>148.09</v>
      </c>
      <c r="J24">
        <f>_xll.EQNXTDZ($A$1,$B24,J$1,$B$1)</f>
        <v>167.62</v>
      </c>
      <c r="K24">
        <f>_xll.EQNXTDZ($A$1,$B24,K$1,$B$1)</f>
        <v>179.92</v>
      </c>
      <c r="L24">
        <f>_xll.EQNXTDZ($A$1,$B24,L$1,$B$1)</f>
        <v>140.19999999999999</v>
      </c>
      <c r="M24">
        <f>_xll.EQNXTDZ($A$1,$B24,M$1,$B$1)</f>
        <v>156.28</v>
      </c>
      <c r="N24">
        <f>_xll.EQNXTDZ($A$1,$B24,N$1,$B$1)</f>
        <v>170.06</v>
      </c>
      <c r="O24">
        <f>_xll.EQNXTDZ($A$1,$B24,O$1,$B$1)</f>
        <v>220.08</v>
      </c>
      <c r="P24">
        <f>_xll.EQNXTDZ($A$1,$B24,P$1,$B$1)</f>
        <v>155.1</v>
      </c>
      <c r="Q24">
        <f>_xll.EQNXTDZ($A$1,$B24,Q$1,$B$1)</f>
        <v>259.5</v>
      </c>
      <c r="R24">
        <f>_xll.EQNXTDZ($A$1,$B24,R$1,$B$1)</f>
        <v>123.8</v>
      </c>
      <c r="S24">
        <f>_xll.EQNXTDZ($A$1,$B24,S$1,$B$1)</f>
        <v>225.78</v>
      </c>
      <c r="T24">
        <f>_xll.EQNXTDZ($A$1,$B24,T$1,$B$1)</f>
        <v>189.72</v>
      </c>
      <c r="U24">
        <f>_xll.EQNXTDZ($A$1,$B24,U$1,$B$1)</f>
        <v>170.06</v>
      </c>
      <c r="V24">
        <f>_xll.EQNXTDZ($A$1,$B24,V$1,$B$1)</f>
        <v>94.85</v>
      </c>
      <c r="W24">
        <f>_xll.EQNXTDZ($A$1,$B24,W$1,$B$1)</f>
        <v>124.29</v>
      </c>
      <c r="X24">
        <f>_xll.EQNXTDZ($A$1,$B24,X$1,$B$1)</f>
        <v>118.8</v>
      </c>
      <c r="Y24">
        <f>_xll.EQNXTDZ($A$1,$B24,Y$1,$B$1)</f>
        <v>55.84</v>
      </c>
      <c r="Z24">
        <f>_xll.EQNXTDZ($A$1,$B24,Z$1,$B$1)</f>
        <v>-97.37</v>
      </c>
      <c r="AA24">
        <f>_xll.EQNXTDZ($A$1,$B24,AA$1,$B$1)</f>
        <v>43.17</v>
      </c>
      <c r="AB24">
        <f>_xll.EQNXTDZ($A$1,$B24,AB$1,$B$1)</f>
        <v>68.150000000000006</v>
      </c>
      <c r="AC24">
        <f>_xll.EQNXTDZ($A$1,$B24,AC$1,$B$1)</f>
        <v>94.91</v>
      </c>
      <c r="AD24">
        <f>_xll.EQNXTDZ($A$1,$B24,AD$1,$B$1)</f>
        <v>526.38</v>
      </c>
      <c r="AE24">
        <f>_xll.EQNXTDZ($A$1,$B24,AE$1,$B$1)</f>
        <v>68.069999999999993</v>
      </c>
      <c r="AF24">
        <f>_xll.EQNXTDZ($A$1,$B24,AF$1,$B$1)</f>
        <v>126.83</v>
      </c>
      <c r="AG24">
        <f>_xll.EQNXTDZ($A$1,$B24,AG$1,$B$1)</f>
        <v>140.79</v>
      </c>
      <c r="AH24">
        <f>_xll.EQNXTDZ($A$1,$B24,AH$1,$B$1)</f>
        <v>120.78</v>
      </c>
      <c r="AI24">
        <f>_xll.EQNXTDZ($A$1,$B24,AI$1,$B$1)</f>
        <v>123.67</v>
      </c>
      <c r="AJ24">
        <f>_xll.EQNXTDZ($A$1,$B24,AJ$1,$B$1)</f>
        <v>127.15</v>
      </c>
      <c r="AK24">
        <f>_xll.EQNXTDZ($A$1,$B24,AK$1,$B$1)</f>
        <v>131.72</v>
      </c>
      <c r="AL24">
        <f>_xll.EQNXTDZ($A$1,$B24,AL$1,$B$1)</f>
        <v>130.44999999999999</v>
      </c>
      <c r="AM24">
        <f>_xll.EQNXTDZ($A$1,$B24,AM$1,$B$1)</f>
        <v>119.54</v>
      </c>
      <c r="AN24">
        <f>_xll.EQNXTDZ($A$1,$B24,AN$1,$B$1)</f>
        <v>117.08</v>
      </c>
      <c r="AO24">
        <f>_xll.EQNXTDZ($A$1,$B24,AO$1,$B$1)</f>
        <v>121.7</v>
      </c>
      <c r="AP24">
        <f>_xll.EQNXTDZ($A$1,$B24,AP$1,$B$1)</f>
        <v>126.23</v>
      </c>
      <c r="AQ24">
        <f>_xll.EQNXTDZ($A$1,$B24,AQ$1,$B$1)</f>
        <v>120.63</v>
      </c>
      <c r="AR24">
        <f>_xll.EQNXTDZ($A$1,$B24,AR$1,$B$1)</f>
        <v>123.45</v>
      </c>
      <c r="AS24">
        <f>_xll.EQNXTDZ($A$1,$B24,AS$1,$B$1)</f>
        <v>131.6</v>
      </c>
      <c r="AT24">
        <f>_xll.EQNXTDZ($A$1,$B24,AT$1,$B$1)</f>
        <v>133.58000000000001</v>
      </c>
      <c r="AU24">
        <f>_xll.EQNXTDZ($A$1,$B24,AU$1,$B$1)</f>
        <v>128.84</v>
      </c>
      <c r="AV24">
        <f>_xll.EQNXTDZ($A$1,$B24,AV$1,$B$1)</f>
        <v>129.30000000000001</v>
      </c>
      <c r="AW24">
        <f>_xll.EQNXTDZ($A$1,$B24,AW$1,$B$1)</f>
        <v>141.32</v>
      </c>
      <c r="AX24">
        <f>_xll.EQNXTDZ($A$1,$B24,AX$1,$B$1)</f>
        <v>144.12</v>
      </c>
      <c r="AY24">
        <f>_xll.EQNXTDZ($A$1,$B24,AY$1,$B$1)</f>
        <v>140.38</v>
      </c>
      <c r="AZ24">
        <f>_xll.EQNXTDZ($A$1,$B24,AZ$1,$B$1)</f>
        <v>139.99</v>
      </c>
      <c r="BA24">
        <f>_xll.EQNXTDZ($A$1,$B24,BA$1,$B$1)</f>
        <v>151.32</v>
      </c>
      <c r="BB24">
        <f>_xll.EQNXTDZ($A$1,$B24,BB$1,$B$1)</f>
        <v>154.96</v>
      </c>
      <c r="BC24">
        <f>_xll.EQNXTDZ($A$1,$B24,BC$1,$B$1)</f>
        <v>148.66</v>
      </c>
      <c r="BD24">
        <f>_xll.EQNXTDZ($A$1,$B24,BD$1,$B$1)</f>
        <v>141.66</v>
      </c>
      <c r="BE24">
        <f>_xll.EQNXTDZ($A$1,$B24,BE$1,$B$1)</f>
        <v>177.11</v>
      </c>
      <c r="BF24">
        <f>_xll.EQNXTDZ($A$1,$B24,BF$1,$B$1)</f>
        <v>165.13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138.83000000000001</v>
      </c>
      <c r="D25">
        <f>_xll.EQNXTDZ($A$1,$B25,D$1,$B$1)</f>
        <v>146.57</v>
      </c>
      <c r="E25">
        <f>_xll.EQNXTDZ($A$1,$B25,E$1,$B$1)</f>
        <v>139.97</v>
      </c>
      <c r="F25">
        <f>_xll.EQNXTDZ($A$1,$B25,F$1,$B$1)</f>
        <v>125.66</v>
      </c>
      <c r="G25">
        <f>_xll.EQNXTDZ($A$1,$B25,G$1,$B$1)</f>
        <v>137.83000000000001</v>
      </c>
      <c r="H25">
        <f>_xll.EQNXTDZ($A$1,$B25,H$1,$B$1)</f>
        <v>146.19</v>
      </c>
      <c r="I25">
        <f>_xll.EQNXTDZ($A$1,$B25,I$1,$B$1)</f>
        <v>150.38</v>
      </c>
      <c r="J25">
        <f>_xll.EQNXTDZ($A$1,$B25,J$1,$B$1)</f>
        <v>130.65</v>
      </c>
      <c r="K25">
        <f>_xll.EQNXTDZ($A$1,$B25,K$1,$B$1)</f>
        <v>154.51</v>
      </c>
      <c r="L25">
        <f>_xll.EQNXTDZ($A$1,$B25,L$1,$B$1)</f>
        <v>148.56</v>
      </c>
      <c r="M25">
        <f>_xll.EQNXTDZ($A$1,$B25,M$1,$B$1)</f>
        <v>172.68</v>
      </c>
      <c r="N25">
        <f>_xll.EQNXTDZ($A$1,$B25,N$1,$B$1)</f>
        <v>175.03</v>
      </c>
      <c r="O25">
        <f>_xll.EQNXTDZ($A$1,$B25,O$1,$B$1)</f>
        <v>147.80000000000001</v>
      </c>
      <c r="P25">
        <f>_xll.EQNXTDZ($A$1,$B25,P$1,$B$1)</f>
        <v>170.7</v>
      </c>
      <c r="Q25">
        <f>_xll.EQNXTDZ($A$1,$B25,Q$1,$B$1)</f>
        <v>176.34</v>
      </c>
      <c r="R25">
        <f>_xll.EQNXTDZ($A$1,$B25,R$1,$B$1)</f>
        <v>162.34</v>
      </c>
      <c r="S25">
        <f>_xll.EQNXTDZ($A$1,$B25,S$1,$B$1)</f>
        <v>179.1</v>
      </c>
      <c r="T25">
        <f>_xll.EQNXTDZ($A$1,$B25,T$1,$B$1)</f>
        <v>388.32</v>
      </c>
      <c r="U25">
        <f>_xll.EQNXTDZ($A$1,$B25,U$1,$B$1)</f>
        <v>351.01</v>
      </c>
      <c r="V25">
        <f>_xll.EQNXTDZ($A$1,$B25,V$1,$B$1)</f>
        <v>363.85</v>
      </c>
      <c r="W25">
        <f>_xll.EQNXTDZ($A$1,$B25,W$1,$B$1)</f>
        <v>388.17</v>
      </c>
      <c r="X25">
        <f>_xll.EQNXTDZ($A$1,$B25,X$1,$B$1)</f>
        <v>393.12</v>
      </c>
      <c r="Y25">
        <f>_xll.EQNXTDZ($A$1,$B25,Y$1,$B$1)</f>
        <v>382.62</v>
      </c>
      <c r="Z25">
        <f>_xll.EQNXTDZ($A$1,$B25,Z$1,$B$1)</f>
        <v>405.06</v>
      </c>
      <c r="AA25">
        <f>_xll.EQNXTDZ($A$1,$B25,AA$1,$B$1)</f>
        <v>368.64</v>
      </c>
      <c r="AB25">
        <f>_xll.EQNXTDZ($A$1,$B25,AB$1,$B$1)</f>
        <v>385.15</v>
      </c>
      <c r="AC25">
        <f>_xll.EQNXTDZ($A$1,$B25,AC$1,$B$1)</f>
        <v>398.08</v>
      </c>
      <c r="AD25">
        <f>_xll.EQNXTDZ($A$1,$B25,AD$1,$B$1)</f>
        <v>401.87</v>
      </c>
      <c r="AE25">
        <f>_xll.EQNXTDZ($A$1,$B25,AE$1,$B$1)</f>
        <v>431.48</v>
      </c>
      <c r="AF25">
        <f>_xll.EQNXTDZ($A$1,$B25,AF$1,$B$1)</f>
        <v>382.46</v>
      </c>
      <c r="AG25">
        <f>_xll.EQNXTDZ($A$1,$B25,AG$1,$B$1)</f>
        <v>359.53</v>
      </c>
      <c r="AH25">
        <f>_xll.EQNXTDZ($A$1,$B25,AH$1,$B$1)</f>
        <v>371.85</v>
      </c>
      <c r="AI25">
        <f>_xll.EQNXTDZ($A$1,$B25,AI$1,$B$1)</f>
        <v>383.7</v>
      </c>
      <c r="AJ25">
        <f>_xll.EQNXTDZ($A$1,$B25,AJ$1,$B$1)</f>
        <v>412.02</v>
      </c>
      <c r="AK25">
        <f>_xll.EQNXTDZ($A$1,$B25,AK$1,$B$1)</f>
        <v>387.48</v>
      </c>
      <c r="AL25">
        <f>_xll.EQNXTDZ($A$1,$B25,AL$1,$B$1)</f>
        <v>377.94</v>
      </c>
      <c r="AM25">
        <f>_xll.EQNXTDZ($A$1,$B25,AM$1,$B$1)</f>
        <v>398.31</v>
      </c>
      <c r="AN25">
        <f>_xll.EQNXTDZ($A$1,$B25,AN$1,$B$1)</f>
        <v>388.68</v>
      </c>
      <c r="AO25">
        <f>_xll.EQNXTDZ($A$1,$B25,AO$1,$B$1)</f>
        <v>384.59</v>
      </c>
      <c r="AP25">
        <f>_xll.EQNXTDZ($A$1,$B25,AP$1,$B$1)</f>
        <v>367.76</v>
      </c>
      <c r="AQ25">
        <f>_xll.EQNXTDZ($A$1,$B25,AQ$1,$B$1)</f>
        <v>375.88</v>
      </c>
      <c r="AR25">
        <f>_xll.EQNXTDZ($A$1,$B25,AR$1,$B$1)</f>
        <v>373.21</v>
      </c>
      <c r="AS25">
        <f>_xll.EQNXTDZ($A$1,$B25,AS$1,$B$1)</f>
        <v>373.68</v>
      </c>
      <c r="AT25">
        <f>_xll.EQNXTDZ($A$1,$B25,AT$1,$B$1)</f>
        <v>378.78</v>
      </c>
      <c r="AU25">
        <f>_xll.EQNXTDZ($A$1,$B25,AU$1,$B$1)</f>
        <v>393.55</v>
      </c>
      <c r="AV25">
        <f>_xll.EQNXTDZ($A$1,$B25,AV$1,$B$1)</f>
        <v>403.22</v>
      </c>
      <c r="AW25">
        <f>_xll.EQNXTDZ($A$1,$B25,AW$1,$B$1)</f>
        <v>410.73</v>
      </c>
      <c r="AX25">
        <f>_xll.EQNXTDZ($A$1,$B25,AX$1,$B$1)</f>
        <v>414.08</v>
      </c>
      <c r="AY25">
        <f>_xll.EQNXTDZ($A$1,$B25,AY$1,$B$1)</f>
        <v>422.9</v>
      </c>
      <c r="AZ25">
        <f>_xll.EQNXTDZ($A$1,$B25,AZ$1,$B$1)</f>
        <v>428.57</v>
      </c>
      <c r="BA25">
        <f>_xll.EQNXTDZ($A$1,$B25,BA$1,$B$1)</f>
        <v>423.25</v>
      </c>
      <c r="BB25">
        <f>_xll.EQNXTDZ($A$1,$B25,BB$1,$B$1)</f>
        <v>419.32</v>
      </c>
      <c r="BC25">
        <f>_xll.EQNXTDZ($A$1,$B25,BC$1,$B$1)</f>
        <v>432.89</v>
      </c>
      <c r="BD25">
        <f>_xll.EQNXTDZ($A$1,$B25,BD$1,$B$1)</f>
        <v>424.99</v>
      </c>
      <c r="BE25">
        <f>_xll.EQNXTDZ($A$1,$B25,BE$1,$B$1)</f>
        <v>287.82</v>
      </c>
      <c r="BF25">
        <f>_xll.EQNXTDZ($A$1,$B25,BF$1,$B$1)</f>
        <v>215.28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-958.82</v>
      </c>
      <c r="W26">
        <f>_xll.EQNXTDZ($A$1,$B26,W$1,$B$1)</f>
        <v>0</v>
      </c>
      <c r="X26">
        <f>_xll.EQNXTDZ($A$1,$B26,X$1,$B$1)</f>
        <v>-7708.63</v>
      </c>
      <c r="Y26">
        <f>_xll.EQNXTDZ($A$1,$B26,Y$1,$B$1)</f>
        <v>-95.66</v>
      </c>
      <c r="Z26">
        <f>_xll.EQNXTDZ($A$1,$B26,Z$1,$B$1)</f>
        <v>-137.38</v>
      </c>
      <c r="AA26">
        <f>_xll.EQNXTDZ($A$1,$B26,AA$1,$B$1)</f>
        <v>-91.3</v>
      </c>
      <c r="AB26">
        <f>_xll.EQNXTDZ($A$1,$B26,AB$1,$B$1)</f>
        <v>-22.37</v>
      </c>
      <c r="AC26">
        <f>_xll.EQNXTDZ($A$1,$B26,AC$1,$B$1)</f>
        <v>-65.540000000000006</v>
      </c>
      <c r="AD26">
        <f>_xll.EQNXTDZ($A$1,$B26,AD$1,$B$1)</f>
        <v>510.32</v>
      </c>
      <c r="AE26">
        <f>_xll.EQNXTDZ($A$1,$B26,AE$1,$B$1)</f>
        <v>182.21</v>
      </c>
      <c r="AF26">
        <f>_xll.EQNXTDZ($A$1,$B26,AF$1,$B$1)</f>
        <v>-2024.22</v>
      </c>
      <c r="AG26">
        <f>_xll.EQNXTDZ($A$1,$B26,AG$1,$B$1)</f>
        <v>-5.86</v>
      </c>
      <c r="AH26">
        <f>_xll.EQNXTDZ($A$1,$B26,AH$1,$B$1)</f>
        <v>-582.41</v>
      </c>
      <c r="AI26">
        <f>_xll.EQNXTDZ($A$1,$B26,AI$1,$B$1)</f>
        <v>-766.77</v>
      </c>
      <c r="AJ26">
        <f>_xll.EQNXTDZ($A$1,$B26,AJ$1,$B$1)</f>
        <v>-13.04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-5.27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-3.8</v>
      </c>
      <c r="BD26">
        <f>_xll.EQNXTDZ($A$1,$B26,BD$1,$B$1)</f>
        <v>0</v>
      </c>
      <c r="BE26">
        <f>_xll.EQNXTDZ($A$1,$B26,BE$1,$B$1)</f>
        <v>-4.05</v>
      </c>
      <c r="BF26">
        <f>_xll.EQNXTDZ($A$1,$B26,BF$1,$B$1)</f>
        <v>662.8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-16.350000000000001</v>
      </c>
      <c r="D27">
        <f>_xll.EQNXTDZ($A$1,$B27,D$1,$B$1)</f>
        <v>-35.68</v>
      </c>
      <c r="E27">
        <f>_xll.EQNXTDZ($A$1,$B27,E$1,$B$1)</f>
        <v>-47.96</v>
      </c>
      <c r="F27">
        <f>_xll.EQNXTDZ($A$1,$B27,F$1,$B$1)</f>
        <v>36.28</v>
      </c>
      <c r="G27">
        <f>_xll.EQNXTDZ($A$1,$B27,G$1,$B$1)</f>
        <v>24.44</v>
      </c>
      <c r="H27">
        <f>_xll.EQNXTDZ($A$1,$B27,H$1,$B$1)</f>
        <v>-9.8699999999999992</v>
      </c>
      <c r="I27">
        <f>_xll.EQNXTDZ($A$1,$B27,I$1,$B$1)</f>
        <v>-2.29</v>
      </c>
      <c r="J27">
        <f>_xll.EQNXTDZ($A$1,$B27,J$1,$B$1)</f>
        <v>36.97</v>
      </c>
      <c r="K27">
        <f>_xll.EQNXTDZ($A$1,$B27,K$1,$B$1)</f>
        <v>25.41</v>
      </c>
      <c r="L27">
        <f>_xll.EQNXTDZ($A$1,$B27,L$1,$B$1)</f>
        <v>-8.36</v>
      </c>
      <c r="M27">
        <f>_xll.EQNXTDZ($A$1,$B27,M$1,$B$1)</f>
        <v>-16.399999999999999</v>
      </c>
      <c r="N27">
        <f>_xll.EQNXTDZ($A$1,$B27,N$1,$B$1)</f>
        <v>-4.97</v>
      </c>
      <c r="O27">
        <f>_xll.EQNXTDZ($A$1,$B27,O$1,$B$1)</f>
        <v>72.28</v>
      </c>
      <c r="P27">
        <f>_xll.EQNXTDZ($A$1,$B27,P$1,$B$1)</f>
        <v>-15.6</v>
      </c>
      <c r="Q27">
        <f>_xll.EQNXTDZ($A$1,$B27,Q$1,$B$1)</f>
        <v>83.16</v>
      </c>
      <c r="R27">
        <f>_xll.EQNXTDZ($A$1,$B27,R$1,$B$1)</f>
        <v>-38.54</v>
      </c>
      <c r="S27">
        <f>_xll.EQNXTDZ($A$1,$B27,S$1,$B$1)</f>
        <v>46.68</v>
      </c>
      <c r="T27">
        <f>_xll.EQNXTDZ($A$1,$B27,T$1,$B$1)</f>
        <v>-198.6</v>
      </c>
      <c r="U27">
        <f>_xll.EQNXTDZ($A$1,$B27,U$1,$B$1)</f>
        <v>-180.95</v>
      </c>
      <c r="V27">
        <f>_xll.EQNXTDZ($A$1,$B27,V$1,$B$1)</f>
        <v>-1227.82</v>
      </c>
      <c r="W27">
        <f>_xll.EQNXTDZ($A$1,$B27,W$1,$B$1)</f>
        <v>-263.88</v>
      </c>
      <c r="X27">
        <f>_xll.EQNXTDZ($A$1,$B27,X$1,$B$1)</f>
        <v>-7982.95</v>
      </c>
      <c r="Y27">
        <f>_xll.EQNXTDZ($A$1,$B27,Y$1,$B$1)</f>
        <v>-422.44</v>
      </c>
      <c r="Z27">
        <f>_xll.EQNXTDZ($A$1,$B27,Z$1,$B$1)</f>
        <v>-639.80999999999995</v>
      </c>
      <c r="AA27">
        <f>_xll.EQNXTDZ($A$1,$B27,AA$1,$B$1)</f>
        <v>-416.77</v>
      </c>
      <c r="AB27">
        <f>_xll.EQNXTDZ($A$1,$B27,AB$1,$B$1)</f>
        <v>-339.37</v>
      </c>
      <c r="AC27">
        <f>_xll.EQNXTDZ($A$1,$B27,AC$1,$B$1)</f>
        <v>-368.71</v>
      </c>
      <c r="AD27">
        <f>_xll.EQNXTDZ($A$1,$B27,AD$1,$B$1)</f>
        <v>634.83000000000004</v>
      </c>
      <c r="AE27">
        <f>_xll.EQNXTDZ($A$1,$B27,AE$1,$B$1)</f>
        <v>-181.2</v>
      </c>
      <c r="AF27">
        <f>_xll.EQNXTDZ($A$1,$B27,AF$1,$B$1)</f>
        <v>-2279.85</v>
      </c>
      <c r="AG27">
        <f>_xll.EQNXTDZ($A$1,$B27,AG$1,$B$1)</f>
        <v>-224.6</v>
      </c>
      <c r="AH27">
        <f>_xll.EQNXTDZ($A$1,$B27,AH$1,$B$1)</f>
        <v>-833.48</v>
      </c>
      <c r="AI27">
        <f>_xll.EQNXTDZ($A$1,$B27,AI$1,$B$1)</f>
        <v>-1026.8</v>
      </c>
      <c r="AJ27">
        <f>_xll.EQNXTDZ($A$1,$B27,AJ$1,$B$1)</f>
        <v>-297.91000000000003</v>
      </c>
      <c r="AK27">
        <f>_xll.EQNXTDZ($A$1,$B27,AK$1,$B$1)</f>
        <v>-255.76</v>
      </c>
      <c r="AL27">
        <f>_xll.EQNXTDZ($A$1,$B27,AL$1,$B$1)</f>
        <v>-247.49</v>
      </c>
      <c r="AM27">
        <f>_xll.EQNXTDZ($A$1,$B27,AM$1,$B$1)</f>
        <v>-278.77</v>
      </c>
      <c r="AN27">
        <f>_xll.EQNXTDZ($A$1,$B27,AN$1,$B$1)</f>
        <v>-271.60000000000002</v>
      </c>
      <c r="AO27">
        <f>_xll.EQNXTDZ($A$1,$B27,AO$1,$B$1)</f>
        <v>-262.89</v>
      </c>
      <c r="AP27">
        <f>_xll.EQNXTDZ($A$1,$B27,AP$1,$B$1)</f>
        <v>-241.53</v>
      </c>
      <c r="AQ27">
        <f>_xll.EQNXTDZ($A$1,$B27,AQ$1,$B$1)</f>
        <v>-255.25</v>
      </c>
      <c r="AR27">
        <f>_xll.EQNXTDZ($A$1,$B27,AR$1,$B$1)</f>
        <v>-255.03</v>
      </c>
      <c r="AS27">
        <f>_xll.EQNXTDZ($A$1,$B27,AS$1,$B$1)</f>
        <v>-242.08</v>
      </c>
      <c r="AT27">
        <f>_xll.EQNXTDZ($A$1,$B27,AT$1,$B$1)</f>
        <v>-245.2</v>
      </c>
      <c r="AU27">
        <f>_xll.EQNXTDZ($A$1,$B27,AU$1,$B$1)</f>
        <v>-264.70999999999998</v>
      </c>
      <c r="AV27">
        <f>_xll.EQNXTDZ($A$1,$B27,AV$1,$B$1)</f>
        <v>-273.92</v>
      </c>
      <c r="AW27">
        <f>_xll.EQNXTDZ($A$1,$B27,AW$1,$B$1)</f>
        <v>-269.41000000000003</v>
      </c>
      <c r="AX27">
        <f>_xll.EQNXTDZ($A$1,$B27,AX$1,$B$1)</f>
        <v>-269.95999999999998</v>
      </c>
      <c r="AY27">
        <f>_xll.EQNXTDZ($A$1,$B27,AY$1,$B$1)</f>
        <v>-282.52</v>
      </c>
      <c r="AZ27">
        <f>_xll.EQNXTDZ($A$1,$B27,AZ$1,$B$1)</f>
        <v>-288.58</v>
      </c>
      <c r="BA27">
        <f>_xll.EQNXTDZ($A$1,$B27,BA$1,$B$1)</f>
        <v>-271.93</v>
      </c>
      <c r="BB27">
        <f>_xll.EQNXTDZ($A$1,$B27,BB$1,$B$1)</f>
        <v>-264.36</v>
      </c>
      <c r="BC27">
        <f>_xll.EQNXTDZ($A$1,$B27,BC$1,$B$1)</f>
        <v>-288.02999999999997</v>
      </c>
      <c r="BD27">
        <f>_xll.EQNXTDZ($A$1,$B27,BD$1,$B$1)</f>
        <v>-283.33</v>
      </c>
      <c r="BE27">
        <f>_xll.EQNXTDZ($A$1,$B27,BE$1,$B$1)</f>
        <v>-114.76</v>
      </c>
      <c r="BF27">
        <f>_xll.EQNXTDZ($A$1,$B27,BF$1,$B$1)</f>
        <v>612.65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146.31</v>
      </c>
      <c r="D28">
        <f>_xll.EQNXTDZ($A$1,$B28,D$1,$B$1)</f>
        <v>148.03</v>
      </c>
      <c r="E28">
        <f>_xll.EQNXTDZ($A$1,$B28,E$1,$B$1)</f>
        <v>149.19999999999999</v>
      </c>
      <c r="F28">
        <f>_xll.EQNXTDZ($A$1,$B28,F$1,$B$1)</f>
        <v>151.51</v>
      </c>
      <c r="G28">
        <f>_xll.EQNXTDZ($A$1,$B28,G$1,$B$1)</f>
        <v>151.33000000000001</v>
      </c>
      <c r="H28">
        <f>_xll.EQNXTDZ($A$1,$B28,H$1,$B$1)</f>
        <v>155.36000000000001</v>
      </c>
      <c r="I28">
        <f>_xll.EQNXTDZ($A$1,$B28,I$1,$B$1)</f>
        <v>154.07</v>
      </c>
      <c r="J28">
        <f>_xll.EQNXTDZ($A$1,$B28,J$1,$B$1)</f>
        <v>148.58000000000001</v>
      </c>
      <c r="K28">
        <f>_xll.EQNXTDZ($A$1,$B28,K$1,$B$1)</f>
        <v>148.32</v>
      </c>
      <c r="L28">
        <f>_xll.EQNXTDZ($A$1,$B28,L$1,$B$1)</f>
        <v>151.02000000000001</v>
      </c>
      <c r="M28">
        <f>_xll.EQNXTDZ($A$1,$B28,M$1,$B$1)</f>
        <v>152.68</v>
      </c>
      <c r="N28">
        <f>_xll.EQNXTDZ($A$1,$B28,N$1,$B$1)</f>
        <v>158.91</v>
      </c>
      <c r="O28">
        <f>_xll.EQNXTDZ($A$1,$B28,O$1,$B$1)</f>
        <v>155.81</v>
      </c>
      <c r="P28">
        <f>_xll.EQNXTDZ($A$1,$B28,P$1,$B$1)</f>
        <v>160.1</v>
      </c>
      <c r="Q28">
        <f>_xll.EQNXTDZ($A$1,$B28,Q$1,$B$1)</f>
        <v>160.30000000000001</v>
      </c>
      <c r="R28">
        <f>_xll.EQNXTDZ($A$1,$B28,R$1,$B$1)</f>
        <v>-16.559999999999999</v>
      </c>
      <c r="S28">
        <f>_xll.EQNXTDZ($A$1,$B28,S$1,$B$1)</f>
        <v>154.75</v>
      </c>
      <c r="T28">
        <f>_xll.EQNXTDZ($A$1,$B28,T$1,$B$1)</f>
        <v>269.54000000000002</v>
      </c>
      <c r="U28">
        <f>_xll.EQNXTDZ($A$1,$B28,U$1,$B$1)</f>
        <v>233.79</v>
      </c>
      <c r="V28">
        <f>_xll.EQNXTDZ($A$1,$B28,V$1,$B$1)</f>
        <v>137.75</v>
      </c>
      <c r="W28">
        <f>_xll.EQNXTDZ($A$1,$B28,W$1,$B$1)</f>
        <v>217.55</v>
      </c>
      <c r="X28">
        <f>_xll.EQNXTDZ($A$1,$B28,X$1,$B$1)</f>
        <v>215.36</v>
      </c>
      <c r="Y28">
        <f>_xll.EQNXTDZ($A$1,$B28,Y$1,$B$1)</f>
        <v>58.31</v>
      </c>
      <c r="Z28">
        <f>_xll.EQNXTDZ($A$1,$B28,Z$1,$B$1)</f>
        <v>41.69</v>
      </c>
      <c r="AA28">
        <f>_xll.EQNXTDZ($A$1,$B28,AA$1,$B$1)</f>
        <v>38.659999999999997</v>
      </c>
      <c r="AB28">
        <f>_xll.EQNXTDZ($A$1,$B28,AB$1,$B$1)</f>
        <v>42.93</v>
      </c>
      <c r="AC28">
        <f>_xll.EQNXTDZ($A$1,$B28,AC$1,$B$1)</f>
        <v>40.71</v>
      </c>
      <c r="AD28">
        <f>_xll.EQNXTDZ($A$1,$B28,AD$1,$B$1)</f>
        <v>55.28</v>
      </c>
      <c r="AE28">
        <f>_xll.EQNXTDZ($A$1,$B28,AE$1,$B$1)</f>
        <v>47.65</v>
      </c>
      <c r="AF28">
        <f>_xll.EQNXTDZ($A$1,$B28,AF$1,$B$1)</f>
        <v>54.6</v>
      </c>
      <c r="AG28">
        <f>_xll.EQNXTDZ($A$1,$B28,AG$1,$B$1)</f>
        <v>52.25</v>
      </c>
      <c r="AH28">
        <f>_xll.EQNXTDZ($A$1,$B28,AH$1,$B$1)</f>
        <v>40.479999999999997</v>
      </c>
      <c r="AI28">
        <f>_xll.EQNXTDZ($A$1,$B28,AI$1,$B$1)</f>
        <v>42.46</v>
      </c>
      <c r="AJ28">
        <f>_xll.EQNXTDZ($A$1,$B28,AJ$1,$B$1)</f>
        <v>43.28</v>
      </c>
      <c r="AK28">
        <f>_xll.EQNXTDZ($A$1,$B28,AK$1,$B$1)</f>
        <v>42.19</v>
      </c>
      <c r="AL28">
        <f>_xll.EQNXTDZ($A$1,$B28,AL$1,$B$1)</f>
        <v>40.799999999999997</v>
      </c>
      <c r="AM28">
        <f>_xll.EQNXTDZ($A$1,$B28,AM$1,$B$1)</f>
        <v>39.68</v>
      </c>
      <c r="AN28">
        <f>_xll.EQNXTDZ($A$1,$B28,AN$1,$B$1)</f>
        <v>42.03</v>
      </c>
      <c r="AO28">
        <f>_xll.EQNXTDZ($A$1,$B28,AO$1,$B$1)</f>
        <v>39.409999999999997</v>
      </c>
      <c r="AP28">
        <f>_xll.EQNXTDZ($A$1,$B28,AP$1,$B$1)</f>
        <v>39.090000000000003</v>
      </c>
      <c r="AQ28">
        <f>_xll.EQNXTDZ($A$1,$B28,AQ$1,$B$1)</f>
        <v>39.85</v>
      </c>
      <c r="AR28">
        <f>_xll.EQNXTDZ($A$1,$B28,AR$1,$B$1)</f>
        <v>37.729999999999997</v>
      </c>
      <c r="AS28">
        <f>_xll.EQNXTDZ($A$1,$B28,AS$1,$B$1)</f>
        <v>37.71</v>
      </c>
      <c r="AT28">
        <f>_xll.EQNXTDZ($A$1,$B28,AT$1,$B$1)</f>
        <v>31.87</v>
      </c>
      <c r="AU28">
        <f>_xll.EQNXTDZ($A$1,$B28,AU$1,$B$1)</f>
        <v>36.47</v>
      </c>
      <c r="AV28">
        <f>_xll.EQNXTDZ($A$1,$B28,AV$1,$B$1)</f>
        <v>36.31</v>
      </c>
      <c r="AW28">
        <f>_xll.EQNXTDZ($A$1,$B28,AW$1,$B$1)</f>
        <v>38.28</v>
      </c>
      <c r="AX28">
        <f>_xll.EQNXTDZ($A$1,$B28,AX$1,$B$1)</f>
        <v>39.380000000000003</v>
      </c>
      <c r="AY28">
        <f>_xll.EQNXTDZ($A$1,$B28,AY$1,$B$1)</f>
        <v>40.880000000000003</v>
      </c>
      <c r="AZ28">
        <f>_xll.EQNXTDZ($A$1,$B28,AZ$1,$B$1)</f>
        <v>41.81</v>
      </c>
      <c r="BA28">
        <f>_xll.EQNXTDZ($A$1,$B28,BA$1,$B$1)</f>
        <v>43.18</v>
      </c>
      <c r="BB28">
        <f>_xll.EQNXTDZ($A$1,$B28,BB$1,$B$1)</f>
        <v>42.06</v>
      </c>
      <c r="BC28">
        <f>_xll.EQNXTDZ($A$1,$B28,BC$1,$B$1)</f>
        <v>36.950000000000003</v>
      </c>
      <c r="BD28">
        <f>_xll.EQNXTDZ($A$1,$B28,BD$1,$B$1)</f>
        <v>37.49</v>
      </c>
      <c r="BE28">
        <f>_xll.EQNXTDZ($A$1,$B28,BE$1,$B$1)</f>
        <v>35.67</v>
      </c>
      <c r="BF28">
        <f>_xll.EQNXTDZ($A$1,$B28,BF$1,$B$1)</f>
        <v>31.72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0</v>
      </c>
      <c r="BA29">
        <f>_xll.EQNXTDZ($A$1,$B29,BA$1,$B$1)</f>
        <v>0</v>
      </c>
      <c r="BB29">
        <f>_xll.EQNXTDZ($A$1,$B29,BB$1,$B$1)</f>
        <v>0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0</v>
      </c>
      <c r="BF29">
        <f>_xll.EQNXTDZ($A$1,$B29,BF$1,$B$1)</f>
        <v>0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-162.66</v>
      </c>
      <c r="D30">
        <f>_xll.EQNXTDZ($A$1,$B30,D$1,$B$1)</f>
        <v>-183.71</v>
      </c>
      <c r="E30">
        <f>_xll.EQNXTDZ($A$1,$B30,E$1,$B$1)</f>
        <v>-197.16</v>
      </c>
      <c r="F30">
        <f>_xll.EQNXTDZ($A$1,$B30,F$1,$B$1)</f>
        <v>-115.23</v>
      </c>
      <c r="G30">
        <f>_xll.EQNXTDZ($A$1,$B30,G$1,$B$1)</f>
        <v>-126.89</v>
      </c>
      <c r="H30">
        <f>_xll.EQNXTDZ($A$1,$B30,H$1,$B$1)</f>
        <v>-165.23</v>
      </c>
      <c r="I30">
        <f>_xll.EQNXTDZ($A$1,$B30,I$1,$B$1)</f>
        <v>-156.36000000000001</v>
      </c>
      <c r="J30">
        <f>_xll.EQNXTDZ($A$1,$B30,J$1,$B$1)</f>
        <v>-111.61</v>
      </c>
      <c r="K30">
        <f>_xll.EQNXTDZ($A$1,$B30,K$1,$B$1)</f>
        <v>-122.91</v>
      </c>
      <c r="L30">
        <f>_xll.EQNXTDZ($A$1,$B30,L$1,$B$1)</f>
        <v>-159.38</v>
      </c>
      <c r="M30">
        <f>_xll.EQNXTDZ($A$1,$B30,M$1,$B$1)</f>
        <v>-169.08</v>
      </c>
      <c r="N30">
        <f>_xll.EQNXTDZ($A$1,$B30,N$1,$B$1)</f>
        <v>-163.88</v>
      </c>
      <c r="O30">
        <f>_xll.EQNXTDZ($A$1,$B30,O$1,$B$1)</f>
        <v>-83.53</v>
      </c>
      <c r="P30">
        <f>_xll.EQNXTDZ($A$1,$B30,P$1,$B$1)</f>
        <v>-175.7</v>
      </c>
      <c r="Q30">
        <f>_xll.EQNXTDZ($A$1,$B30,Q$1,$B$1)</f>
        <v>-77.14</v>
      </c>
      <c r="R30">
        <f>_xll.EQNXTDZ($A$1,$B30,R$1,$B$1)</f>
        <v>-21.98</v>
      </c>
      <c r="S30">
        <f>_xll.EQNXTDZ($A$1,$B30,S$1,$B$1)</f>
        <v>-108.07</v>
      </c>
      <c r="T30">
        <f>_xll.EQNXTDZ($A$1,$B30,T$1,$B$1)</f>
        <v>-468.13</v>
      </c>
      <c r="U30">
        <f>_xll.EQNXTDZ($A$1,$B30,U$1,$B$1)</f>
        <v>-414.74</v>
      </c>
      <c r="V30">
        <f>_xll.EQNXTDZ($A$1,$B30,V$1,$B$1)</f>
        <v>-1365.57</v>
      </c>
      <c r="W30">
        <f>_xll.EQNXTDZ($A$1,$B30,W$1,$B$1)</f>
        <v>-481.43</v>
      </c>
      <c r="X30">
        <f>_xll.EQNXTDZ($A$1,$B30,X$1,$B$1)</f>
        <v>-8198.31</v>
      </c>
      <c r="Y30">
        <f>_xll.EQNXTDZ($A$1,$B30,Y$1,$B$1)</f>
        <v>-480.75</v>
      </c>
      <c r="Z30">
        <f>_xll.EQNXTDZ($A$1,$B30,Z$1,$B$1)</f>
        <v>-681.5</v>
      </c>
      <c r="AA30">
        <f>_xll.EQNXTDZ($A$1,$B30,AA$1,$B$1)</f>
        <v>-455.43</v>
      </c>
      <c r="AB30">
        <f>_xll.EQNXTDZ($A$1,$B30,AB$1,$B$1)</f>
        <v>-382.3</v>
      </c>
      <c r="AC30">
        <f>_xll.EQNXTDZ($A$1,$B30,AC$1,$B$1)</f>
        <v>-409.42</v>
      </c>
      <c r="AD30">
        <f>_xll.EQNXTDZ($A$1,$B30,AD$1,$B$1)</f>
        <v>579.54999999999995</v>
      </c>
      <c r="AE30">
        <f>_xll.EQNXTDZ($A$1,$B30,AE$1,$B$1)</f>
        <v>-228.85</v>
      </c>
      <c r="AF30">
        <f>_xll.EQNXTDZ($A$1,$B30,AF$1,$B$1)</f>
        <v>-2334.4499999999998</v>
      </c>
      <c r="AG30">
        <f>_xll.EQNXTDZ($A$1,$B30,AG$1,$B$1)</f>
        <v>-276.85000000000002</v>
      </c>
      <c r="AH30">
        <f>_xll.EQNXTDZ($A$1,$B30,AH$1,$B$1)</f>
        <v>-873.96</v>
      </c>
      <c r="AI30">
        <f>_xll.EQNXTDZ($A$1,$B30,AI$1,$B$1)</f>
        <v>-1069.26</v>
      </c>
      <c r="AJ30">
        <f>_xll.EQNXTDZ($A$1,$B30,AJ$1,$B$1)</f>
        <v>-341.19</v>
      </c>
      <c r="AK30">
        <f>_xll.EQNXTDZ($A$1,$B30,AK$1,$B$1)</f>
        <v>-297.95</v>
      </c>
      <c r="AL30">
        <f>_xll.EQNXTDZ($A$1,$B30,AL$1,$B$1)</f>
        <v>-288.29000000000002</v>
      </c>
      <c r="AM30">
        <f>_xll.EQNXTDZ($A$1,$B30,AM$1,$B$1)</f>
        <v>-318.45</v>
      </c>
      <c r="AN30">
        <f>_xll.EQNXTDZ($A$1,$B30,AN$1,$B$1)</f>
        <v>-313.63</v>
      </c>
      <c r="AO30">
        <f>_xll.EQNXTDZ($A$1,$B30,AO$1,$B$1)</f>
        <v>-302.3</v>
      </c>
      <c r="AP30">
        <f>_xll.EQNXTDZ($A$1,$B30,AP$1,$B$1)</f>
        <v>-280.62</v>
      </c>
      <c r="AQ30">
        <f>_xll.EQNXTDZ($A$1,$B30,AQ$1,$B$1)</f>
        <v>-295.10000000000002</v>
      </c>
      <c r="AR30">
        <f>_xll.EQNXTDZ($A$1,$B30,AR$1,$B$1)</f>
        <v>-292.76</v>
      </c>
      <c r="AS30">
        <f>_xll.EQNXTDZ($A$1,$B30,AS$1,$B$1)</f>
        <v>-279.79000000000002</v>
      </c>
      <c r="AT30">
        <f>_xll.EQNXTDZ($A$1,$B30,AT$1,$B$1)</f>
        <v>-277.07</v>
      </c>
      <c r="AU30">
        <f>_xll.EQNXTDZ($A$1,$B30,AU$1,$B$1)</f>
        <v>-301.18</v>
      </c>
      <c r="AV30">
        <f>_xll.EQNXTDZ($A$1,$B30,AV$1,$B$1)</f>
        <v>-310.23</v>
      </c>
      <c r="AW30">
        <f>_xll.EQNXTDZ($A$1,$B30,AW$1,$B$1)</f>
        <v>-307.69</v>
      </c>
      <c r="AX30">
        <f>_xll.EQNXTDZ($A$1,$B30,AX$1,$B$1)</f>
        <v>-309.33999999999997</v>
      </c>
      <c r="AY30">
        <f>_xll.EQNXTDZ($A$1,$B30,AY$1,$B$1)</f>
        <v>-323.39999999999998</v>
      </c>
      <c r="AZ30">
        <f>_xll.EQNXTDZ($A$1,$B30,AZ$1,$B$1)</f>
        <v>-330.39</v>
      </c>
      <c r="BA30">
        <f>_xll.EQNXTDZ($A$1,$B30,BA$1,$B$1)</f>
        <v>-315.11</v>
      </c>
      <c r="BB30">
        <f>_xll.EQNXTDZ($A$1,$B30,BB$1,$B$1)</f>
        <v>-306.42</v>
      </c>
      <c r="BC30">
        <f>_xll.EQNXTDZ($A$1,$B30,BC$1,$B$1)</f>
        <v>-324.98</v>
      </c>
      <c r="BD30">
        <f>_xll.EQNXTDZ($A$1,$B30,BD$1,$B$1)</f>
        <v>-320.82</v>
      </c>
      <c r="BE30">
        <f>_xll.EQNXTDZ($A$1,$B30,BE$1,$B$1)</f>
        <v>-150.43</v>
      </c>
      <c r="BF30">
        <f>_xll.EQNXTDZ($A$1,$B30,BF$1,$B$1)</f>
        <v>580.92999999999995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-162.66</v>
      </c>
      <c r="D38">
        <f>_xll.EQNXTDZ($A$1,$B38,D$1,$B$1)</f>
        <v>-183.71</v>
      </c>
      <c r="E38">
        <f>_xll.EQNXTDZ($A$1,$B38,E$1,$B$1)</f>
        <v>-197.16</v>
      </c>
      <c r="F38">
        <f>_xll.EQNXTDZ($A$1,$B38,F$1,$B$1)</f>
        <v>-115.23</v>
      </c>
      <c r="G38">
        <f>_xll.EQNXTDZ($A$1,$B38,G$1,$B$1)</f>
        <v>-126.89</v>
      </c>
      <c r="H38">
        <f>_xll.EQNXTDZ($A$1,$B38,H$1,$B$1)</f>
        <v>-165.23</v>
      </c>
      <c r="I38">
        <f>_xll.EQNXTDZ($A$1,$B38,I$1,$B$1)</f>
        <v>-156.36000000000001</v>
      </c>
      <c r="J38">
        <f>_xll.EQNXTDZ($A$1,$B38,J$1,$B$1)</f>
        <v>-111.61</v>
      </c>
      <c r="K38">
        <f>_xll.EQNXTDZ($A$1,$B38,K$1,$B$1)</f>
        <v>-122.91</v>
      </c>
      <c r="L38">
        <f>_xll.EQNXTDZ($A$1,$B38,L$1,$B$1)</f>
        <v>-159.38</v>
      </c>
      <c r="M38">
        <f>_xll.EQNXTDZ($A$1,$B38,M$1,$B$1)</f>
        <v>-169.08</v>
      </c>
      <c r="N38">
        <f>_xll.EQNXTDZ($A$1,$B38,N$1,$B$1)</f>
        <v>-163.88</v>
      </c>
      <c r="O38">
        <f>_xll.EQNXTDZ($A$1,$B38,O$1,$B$1)</f>
        <v>-83.53</v>
      </c>
      <c r="P38">
        <f>_xll.EQNXTDZ($A$1,$B38,P$1,$B$1)</f>
        <v>-175.7</v>
      </c>
      <c r="Q38">
        <f>_xll.EQNXTDZ($A$1,$B38,Q$1,$B$1)</f>
        <v>-77.14</v>
      </c>
      <c r="R38">
        <f>_xll.EQNXTDZ($A$1,$B38,R$1,$B$1)</f>
        <v>-21.98</v>
      </c>
      <c r="S38">
        <f>_xll.EQNXTDZ($A$1,$B38,S$1,$B$1)</f>
        <v>-108.07</v>
      </c>
      <c r="T38">
        <f>_xll.EQNXTDZ($A$1,$B38,T$1,$B$1)</f>
        <v>-468.13</v>
      </c>
      <c r="U38">
        <f>_xll.EQNXTDZ($A$1,$B38,U$1,$B$1)</f>
        <v>-414.74</v>
      </c>
      <c r="V38">
        <f>_xll.EQNXTDZ($A$1,$B38,V$1,$B$1)</f>
        <v>-1365.57</v>
      </c>
      <c r="W38">
        <f>_xll.EQNXTDZ($A$1,$B38,W$1,$B$1)</f>
        <v>-481.43</v>
      </c>
      <c r="X38">
        <f>_xll.EQNXTDZ($A$1,$B38,X$1,$B$1)</f>
        <v>-8198.31</v>
      </c>
      <c r="Y38">
        <f>_xll.EQNXTDZ($A$1,$B38,Y$1,$B$1)</f>
        <v>-480.75</v>
      </c>
      <c r="Z38">
        <f>_xll.EQNXTDZ($A$1,$B38,Z$1,$B$1)</f>
        <v>-681.5</v>
      </c>
      <c r="AA38">
        <f>_xll.EQNXTDZ($A$1,$B38,AA$1,$B$1)</f>
        <v>-455.43</v>
      </c>
      <c r="AB38">
        <f>_xll.EQNXTDZ($A$1,$B38,AB$1,$B$1)</f>
        <v>-382.3</v>
      </c>
      <c r="AC38">
        <f>_xll.EQNXTDZ($A$1,$B38,AC$1,$B$1)</f>
        <v>-409.42</v>
      </c>
      <c r="AD38">
        <f>_xll.EQNXTDZ($A$1,$B38,AD$1,$B$1)</f>
        <v>579.54999999999995</v>
      </c>
      <c r="AE38">
        <f>_xll.EQNXTDZ($A$1,$B38,AE$1,$B$1)</f>
        <v>-228.85</v>
      </c>
      <c r="AF38">
        <f>_xll.EQNXTDZ($A$1,$B38,AF$1,$B$1)</f>
        <v>-2334.4499999999998</v>
      </c>
      <c r="AG38">
        <f>_xll.EQNXTDZ($A$1,$B38,AG$1,$B$1)</f>
        <v>-276.85000000000002</v>
      </c>
      <c r="AH38">
        <f>_xll.EQNXTDZ($A$1,$B38,AH$1,$B$1)</f>
        <v>-873.96</v>
      </c>
      <c r="AI38">
        <f>_xll.EQNXTDZ($A$1,$B38,AI$1,$B$1)</f>
        <v>-1069.26</v>
      </c>
      <c r="AJ38">
        <f>_xll.EQNXTDZ($A$1,$B38,AJ$1,$B$1)</f>
        <v>-341.19</v>
      </c>
      <c r="AK38">
        <f>_xll.EQNXTDZ($A$1,$B38,AK$1,$B$1)</f>
        <v>-297.95</v>
      </c>
      <c r="AL38">
        <f>_xll.EQNXTDZ($A$1,$B38,AL$1,$B$1)</f>
        <v>-288.29000000000002</v>
      </c>
      <c r="AM38">
        <f>_xll.EQNXTDZ($A$1,$B38,AM$1,$B$1)</f>
        <v>-318.45</v>
      </c>
      <c r="AN38">
        <f>_xll.EQNXTDZ($A$1,$B38,AN$1,$B$1)</f>
        <v>-313.63</v>
      </c>
      <c r="AO38">
        <f>_xll.EQNXTDZ($A$1,$B38,AO$1,$B$1)</f>
        <v>-302.3</v>
      </c>
      <c r="AP38">
        <f>_xll.EQNXTDZ($A$1,$B38,AP$1,$B$1)</f>
        <v>-280.62</v>
      </c>
      <c r="AQ38">
        <f>_xll.EQNXTDZ($A$1,$B38,AQ$1,$B$1)</f>
        <v>-295.10000000000002</v>
      </c>
      <c r="AR38">
        <f>_xll.EQNXTDZ($A$1,$B38,AR$1,$B$1)</f>
        <v>-292.76</v>
      </c>
      <c r="AS38">
        <f>_xll.EQNXTDZ($A$1,$B38,AS$1,$B$1)</f>
        <v>-279.79000000000002</v>
      </c>
      <c r="AT38">
        <f>_xll.EQNXTDZ($A$1,$B38,AT$1,$B$1)</f>
        <v>-277.07</v>
      </c>
      <c r="AU38">
        <f>_xll.EQNXTDZ($A$1,$B38,AU$1,$B$1)</f>
        <v>-301.18</v>
      </c>
      <c r="AV38">
        <f>_xll.EQNXTDZ($A$1,$B38,AV$1,$B$1)</f>
        <v>-310.23</v>
      </c>
      <c r="AW38">
        <f>_xll.EQNXTDZ($A$1,$B38,AW$1,$B$1)</f>
        <v>-307.69</v>
      </c>
      <c r="AX38">
        <f>_xll.EQNXTDZ($A$1,$B38,AX$1,$B$1)</f>
        <v>-309.33999999999997</v>
      </c>
      <c r="AY38">
        <f>_xll.EQNXTDZ($A$1,$B38,AY$1,$B$1)</f>
        <v>-323.39999999999998</v>
      </c>
      <c r="AZ38">
        <f>_xll.EQNXTDZ($A$1,$B38,AZ$1,$B$1)</f>
        <v>-330.39</v>
      </c>
      <c r="BA38">
        <f>_xll.EQNXTDZ($A$1,$B38,BA$1,$B$1)</f>
        <v>-315.11</v>
      </c>
      <c r="BB38">
        <f>_xll.EQNXTDZ($A$1,$B38,BB$1,$B$1)</f>
        <v>-306.42</v>
      </c>
      <c r="BC38">
        <f>_xll.EQNXTDZ($A$1,$B38,BC$1,$B$1)</f>
        <v>-324.98</v>
      </c>
      <c r="BD38">
        <f>_xll.EQNXTDZ($A$1,$B38,BD$1,$B$1)</f>
        <v>-320.82</v>
      </c>
      <c r="BE38">
        <f>_xll.EQNXTDZ($A$1,$B38,BE$1,$B$1)</f>
        <v>-150.43</v>
      </c>
      <c r="BF38">
        <f>_xll.EQNXTDZ($A$1,$B38,BF$1,$B$1)</f>
        <v>580.92999999999995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1.1499999999999999</v>
      </c>
      <c r="P40">
        <f>_xll.EQNXTDZ($A$1,$B40,P$1,$B$1)</f>
        <v>-1.48</v>
      </c>
      <c r="Q40">
        <f>_xll.EQNXTDZ($A$1,$B40,Q$1,$B$1)</f>
        <v>0.2</v>
      </c>
      <c r="R40">
        <f>_xll.EQNXTDZ($A$1,$B40,R$1,$B$1)</f>
        <v>-0.48</v>
      </c>
      <c r="S40">
        <f>_xll.EQNXTDZ($A$1,$B40,S$1,$B$1)</f>
        <v>-19.38</v>
      </c>
      <c r="T40">
        <f>_xll.EQNXTDZ($A$1,$B40,T$1,$B$1)</f>
        <v>15.32</v>
      </c>
      <c r="U40">
        <f>_xll.EQNXTDZ($A$1,$B40,U$1,$B$1)</f>
        <v>71.349999999999994</v>
      </c>
      <c r="V40">
        <f>_xll.EQNXTDZ($A$1,$B40,V$1,$B$1)</f>
        <v>0.1</v>
      </c>
      <c r="W40">
        <f>_xll.EQNXTDZ($A$1,$B40,W$1,$B$1)</f>
        <v>-24.61</v>
      </c>
      <c r="X40">
        <f>_xll.EQNXTDZ($A$1,$B40,X$1,$B$1)</f>
        <v>3.64</v>
      </c>
      <c r="Y40">
        <f>_xll.EQNXTDZ($A$1,$B40,Y$1,$B$1)</f>
        <v>-45.94</v>
      </c>
      <c r="Z40">
        <f>_xll.EQNXTDZ($A$1,$B40,Z$1,$B$1)</f>
        <v>0.24</v>
      </c>
      <c r="AA40">
        <f>_xll.EQNXTDZ($A$1,$B40,AA$1,$B$1)</f>
        <v>0.97</v>
      </c>
      <c r="AB40">
        <f>_xll.EQNXTDZ($A$1,$B40,AB$1,$B$1)</f>
        <v>-0.76</v>
      </c>
      <c r="AC40">
        <f>_xll.EQNXTDZ($A$1,$B40,AC$1,$B$1)</f>
        <v>0.03</v>
      </c>
      <c r="AD40">
        <f>_xll.EQNXTDZ($A$1,$B40,AD$1,$B$1)</f>
        <v>-1.29</v>
      </c>
      <c r="AE40">
        <f>_xll.EQNXTDZ($A$1,$B40,AE$1,$B$1)</f>
        <v>0.24</v>
      </c>
      <c r="AF40">
        <f>_xll.EQNXTDZ($A$1,$B40,AF$1,$B$1)</f>
        <v>-0.7</v>
      </c>
      <c r="AG40">
        <f>_xll.EQNXTDZ($A$1,$B40,AG$1,$B$1)</f>
        <v>1.4</v>
      </c>
      <c r="AH40">
        <f>_xll.EQNXTDZ($A$1,$B40,AH$1,$B$1)</f>
        <v>-0.28999999999999998</v>
      </c>
      <c r="AI40">
        <f>_xll.EQNXTDZ($A$1,$B40,AI$1,$B$1)</f>
        <v>-1.08</v>
      </c>
      <c r="AJ40">
        <f>_xll.EQNXTDZ($A$1,$B40,AJ$1,$B$1)</f>
        <v>1.51</v>
      </c>
      <c r="AK40">
        <f>_xll.EQNXTDZ($A$1,$B40,AK$1,$B$1)</f>
        <v>0.86</v>
      </c>
      <c r="AL40">
        <f>_xll.EQNXTDZ($A$1,$B40,AL$1,$B$1)</f>
        <v>0.16</v>
      </c>
      <c r="AM40">
        <f>_xll.EQNXTDZ($A$1,$B40,AM$1,$B$1)</f>
        <v>-0.18</v>
      </c>
      <c r="AN40">
        <f>_xll.EQNXTDZ($A$1,$B40,AN$1,$B$1)</f>
        <v>-0.11</v>
      </c>
      <c r="AO40">
        <f>_xll.EQNXTDZ($A$1,$B40,AO$1,$B$1)</f>
        <v>7.0000000000000007E-2</v>
      </c>
      <c r="AP40">
        <f>_xll.EQNXTDZ($A$1,$B40,AP$1,$B$1)</f>
        <v>0.04</v>
      </c>
      <c r="AQ40">
        <f>_xll.EQNXTDZ($A$1,$B40,AQ$1,$B$1)</f>
        <v>-0.22</v>
      </c>
      <c r="AR40">
        <f>_xll.EQNXTDZ($A$1,$B40,AR$1,$B$1)</f>
        <v>-0.34</v>
      </c>
      <c r="AS40">
        <f>_xll.EQNXTDZ($A$1,$B40,AS$1,$B$1)</f>
        <v>-1.39</v>
      </c>
      <c r="AT40">
        <f>_xll.EQNXTDZ($A$1,$B40,AT$1,$B$1)</f>
        <v>0.04</v>
      </c>
      <c r="AU40">
        <f>_xll.EQNXTDZ($A$1,$B40,AU$1,$B$1)</f>
        <v>0.6</v>
      </c>
      <c r="AV40">
        <f>_xll.EQNXTDZ($A$1,$B40,AV$1,$B$1)</f>
        <v>0.42</v>
      </c>
      <c r="AW40">
        <f>_xll.EQNXTDZ($A$1,$B40,AW$1,$B$1)</f>
        <v>-0.03</v>
      </c>
      <c r="AX40">
        <f>_xll.EQNXTDZ($A$1,$B40,AX$1,$B$1)</f>
        <v>-0.08</v>
      </c>
      <c r="AY40">
        <f>_xll.EQNXTDZ($A$1,$B40,AY$1,$B$1)</f>
        <v>0.03</v>
      </c>
      <c r="AZ40">
        <f>_xll.EQNXTDZ($A$1,$B40,AZ$1,$B$1)</f>
        <v>-0.71</v>
      </c>
      <c r="BA40">
        <f>_xll.EQNXTDZ($A$1,$B40,BA$1,$B$1)</f>
        <v>1.7</v>
      </c>
      <c r="BB40">
        <f>_xll.EQNXTDZ($A$1,$B40,BB$1,$B$1)</f>
        <v>-2.48</v>
      </c>
      <c r="BC40">
        <f>_xll.EQNXTDZ($A$1,$B40,BC$1,$B$1)</f>
        <v>1.97</v>
      </c>
      <c r="BD40">
        <f>_xll.EQNXTDZ($A$1,$B40,BD$1,$B$1)</f>
        <v>0.97</v>
      </c>
      <c r="BE40">
        <f>_xll.EQNXTDZ($A$1,$B40,BE$1,$B$1)</f>
        <v>-0.43</v>
      </c>
      <c r="BF40">
        <f>_xll.EQNXTDZ($A$1,$B40,BF$1,$B$1)</f>
        <v>0.17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-82.38</v>
      </c>
      <c r="P41">
        <f>_xll.EQNXTDZ($A$1,$B41,P$1,$B$1)</f>
        <v>-177.18</v>
      </c>
      <c r="Q41">
        <f>_xll.EQNXTDZ($A$1,$B41,Q$1,$B$1)</f>
        <v>-76.94</v>
      </c>
      <c r="R41">
        <f>_xll.EQNXTDZ($A$1,$B41,R$1,$B$1)</f>
        <v>-22.46</v>
      </c>
      <c r="S41">
        <f>_xll.EQNXTDZ($A$1,$B41,S$1,$B$1)</f>
        <v>-127.45</v>
      </c>
      <c r="T41">
        <f>_xll.EQNXTDZ($A$1,$B41,T$1,$B$1)</f>
        <v>-452.81</v>
      </c>
      <c r="U41">
        <f>_xll.EQNXTDZ($A$1,$B41,U$1,$B$1)</f>
        <v>-343.39</v>
      </c>
      <c r="V41">
        <f>_xll.EQNXTDZ($A$1,$B41,V$1,$B$1)</f>
        <v>-1365.47</v>
      </c>
      <c r="W41">
        <f>_xll.EQNXTDZ($A$1,$B41,W$1,$B$1)</f>
        <v>-506.04</v>
      </c>
      <c r="X41">
        <f>_xll.EQNXTDZ($A$1,$B41,X$1,$B$1)</f>
        <v>-8194.67</v>
      </c>
      <c r="Y41">
        <f>_xll.EQNXTDZ($A$1,$B41,Y$1,$B$1)</f>
        <v>-526.69000000000005</v>
      </c>
      <c r="Z41">
        <f>_xll.EQNXTDZ($A$1,$B41,Z$1,$B$1)</f>
        <v>-681.26</v>
      </c>
      <c r="AA41">
        <f>_xll.EQNXTDZ($A$1,$B41,AA$1,$B$1)</f>
        <v>-454.46</v>
      </c>
      <c r="AB41">
        <f>_xll.EQNXTDZ($A$1,$B41,AB$1,$B$1)</f>
        <v>-383.06</v>
      </c>
      <c r="AC41">
        <f>_xll.EQNXTDZ($A$1,$B41,AC$1,$B$1)</f>
        <v>-409.39</v>
      </c>
      <c r="AD41">
        <f>_xll.EQNXTDZ($A$1,$B41,AD$1,$B$1)</f>
        <v>578.26</v>
      </c>
      <c r="AE41">
        <f>_xll.EQNXTDZ($A$1,$B41,AE$1,$B$1)</f>
        <v>-228.61</v>
      </c>
      <c r="AF41">
        <f>_xll.EQNXTDZ($A$1,$B41,AF$1,$B$1)</f>
        <v>-2335.15</v>
      </c>
      <c r="AG41">
        <f>_xll.EQNXTDZ($A$1,$B41,AG$1,$B$1)</f>
        <v>-275.45</v>
      </c>
      <c r="AH41">
        <f>_xll.EQNXTDZ($A$1,$B41,AH$1,$B$1)</f>
        <v>-874.25</v>
      </c>
      <c r="AI41">
        <f>_xll.EQNXTDZ($A$1,$B41,AI$1,$B$1)</f>
        <v>-1070.3399999999999</v>
      </c>
      <c r="AJ41">
        <f>_xll.EQNXTDZ($A$1,$B41,AJ$1,$B$1)</f>
        <v>-339.68</v>
      </c>
      <c r="AK41">
        <f>_xll.EQNXTDZ($A$1,$B41,AK$1,$B$1)</f>
        <v>-297.08999999999997</v>
      </c>
      <c r="AL41">
        <f>_xll.EQNXTDZ($A$1,$B41,AL$1,$B$1)</f>
        <v>-288.13</v>
      </c>
      <c r="AM41">
        <f>_xll.EQNXTDZ($A$1,$B41,AM$1,$B$1)</f>
        <v>-318.63</v>
      </c>
      <c r="AN41">
        <f>_xll.EQNXTDZ($A$1,$B41,AN$1,$B$1)</f>
        <v>-313.74</v>
      </c>
      <c r="AO41">
        <f>_xll.EQNXTDZ($A$1,$B41,AO$1,$B$1)</f>
        <v>-302.23</v>
      </c>
      <c r="AP41">
        <f>_xll.EQNXTDZ($A$1,$B41,AP$1,$B$1)</f>
        <v>-280.58</v>
      </c>
      <c r="AQ41">
        <f>_xll.EQNXTDZ($A$1,$B41,AQ$1,$B$1)</f>
        <v>-295.32</v>
      </c>
      <c r="AR41">
        <f>_xll.EQNXTDZ($A$1,$B41,AR$1,$B$1)</f>
        <v>-293.10000000000002</v>
      </c>
      <c r="AS41">
        <f>_xll.EQNXTDZ($A$1,$B41,AS$1,$B$1)</f>
        <v>-281.18</v>
      </c>
      <c r="AT41">
        <f>_xll.EQNXTDZ($A$1,$B41,AT$1,$B$1)</f>
        <v>-277.02999999999997</v>
      </c>
      <c r="AU41">
        <f>_xll.EQNXTDZ($A$1,$B41,AU$1,$B$1)</f>
        <v>-300.58</v>
      </c>
      <c r="AV41">
        <f>_xll.EQNXTDZ($A$1,$B41,AV$1,$B$1)</f>
        <v>-309.81</v>
      </c>
      <c r="AW41">
        <f>_xll.EQNXTDZ($A$1,$B41,AW$1,$B$1)</f>
        <v>-307.72000000000003</v>
      </c>
      <c r="AX41">
        <f>_xll.EQNXTDZ($A$1,$B41,AX$1,$B$1)</f>
        <v>-309.42</v>
      </c>
      <c r="AY41">
        <f>_xll.EQNXTDZ($A$1,$B41,AY$1,$B$1)</f>
        <v>-323.37</v>
      </c>
      <c r="AZ41">
        <f>_xll.EQNXTDZ($A$1,$B41,AZ$1,$B$1)</f>
        <v>-331.1</v>
      </c>
      <c r="BA41">
        <f>_xll.EQNXTDZ($A$1,$B41,BA$1,$B$1)</f>
        <v>-313.41000000000003</v>
      </c>
      <c r="BB41">
        <f>_xll.EQNXTDZ($A$1,$B41,BB$1,$B$1)</f>
        <v>-308.89999999999998</v>
      </c>
      <c r="BC41">
        <f>_xll.EQNXTDZ($A$1,$B41,BC$1,$B$1)</f>
        <v>-323.01</v>
      </c>
      <c r="BD41">
        <f>_xll.EQNXTDZ($A$1,$B41,BD$1,$B$1)</f>
        <v>-319.85000000000002</v>
      </c>
      <c r="BE41">
        <f>_xll.EQNXTDZ($A$1,$B41,BE$1,$B$1)</f>
        <v>-150.86000000000001</v>
      </c>
      <c r="BF41">
        <f>_xll.EQNXTDZ($A$1,$B41,BF$1,$B$1)</f>
        <v>581.1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-162.66</v>
      </c>
      <c r="D42">
        <f>_xll.EQNXTDZ($A$1,$B42,D$1,$B$1)</f>
        <v>-183.71</v>
      </c>
      <c r="E42">
        <f>_xll.EQNXTDZ($A$1,$B42,E$1,$B$1)</f>
        <v>-197.16</v>
      </c>
      <c r="F42">
        <f>_xll.EQNXTDZ($A$1,$B42,F$1,$B$1)</f>
        <v>-115.23</v>
      </c>
      <c r="G42">
        <f>_xll.EQNXTDZ($A$1,$B42,G$1,$B$1)</f>
        <v>-126.89</v>
      </c>
      <c r="H42">
        <f>_xll.EQNXTDZ($A$1,$B42,H$1,$B$1)</f>
        <v>-165.23</v>
      </c>
      <c r="I42">
        <f>_xll.EQNXTDZ($A$1,$B42,I$1,$B$1)</f>
        <v>-156.36000000000001</v>
      </c>
      <c r="J42">
        <f>_xll.EQNXTDZ($A$1,$B42,J$1,$B$1)</f>
        <v>-111.61</v>
      </c>
      <c r="K42">
        <f>_xll.EQNXTDZ($A$1,$B42,K$1,$B$1)</f>
        <v>-122.91</v>
      </c>
      <c r="L42">
        <f>_xll.EQNXTDZ($A$1,$B42,L$1,$B$1)</f>
        <v>-159.38</v>
      </c>
      <c r="M42">
        <f>_xll.EQNXTDZ($A$1,$B42,M$1,$B$1)</f>
        <v>-169.08</v>
      </c>
      <c r="N42">
        <f>_xll.EQNXTDZ($A$1,$B42,N$1,$B$1)</f>
        <v>-163.88</v>
      </c>
      <c r="O42">
        <f>_xll.EQNXTDZ($A$1,$B42,O$1,$B$1)</f>
        <v>-83.53</v>
      </c>
      <c r="P42">
        <f>_xll.EQNXTDZ($A$1,$B42,P$1,$B$1)</f>
        <v>-175.7</v>
      </c>
      <c r="Q42">
        <f>_xll.EQNXTDZ($A$1,$B42,Q$1,$B$1)</f>
        <v>-77.14</v>
      </c>
      <c r="R42">
        <f>_xll.EQNXTDZ($A$1,$B42,R$1,$B$1)</f>
        <v>-21.98</v>
      </c>
      <c r="S42">
        <f>_xll.EQNXTDZ($A$1,$B42,S$1,$B$1)</f>
        <v>-108.07</v>
      </c>
      <c r="T42">
        <f>_xll.EQNXTDZ($A$1,$B42,T$1,$B$1)</f>
        <v>-468.13</v>
      </c>
      <c r="U42">
        <f>_xll.EQNXTDZ($A$1,$B42,U$1,$B$1)</f>
        <v>-414.74</v>
      </c>
      <c r="V42">
        <f>_xll.EQNXTDZ($A$1,$B42,V$1,$B$1)</f>
        <v>-1365.57</v>
      </c>
      <c r="W42">
        <f>_xll.EQNXTDZ($A$1,$B42,W$1,$B$1)</f>
        <v>-481.43</v>
      </c>
      <c r="X42">
        <f>_xll.EQNXTDZ($A$1,$B42,X$1,$B$1)</f>
        <v>-8198.31</v>
      </c>
      <c r="Y42">
        <f>_xll.EQNXTDZ($A$1,$B42,Y$1,$B$1)</f>
        <v>-480.75</v>
      </c>
      <c r="Z42">
        <f>_xll.EQNXTDZ($A$1,$B42,Z$1,$B$1)</f>
        <v>-681.5</v>
      </c>
      <c r="AA42">
        <f>_xll.EQNXTDZ($A$1,$B42,AA$1,$B$1)</f>
        <v>-455.43</v>
      </c>
      <c r="AB42">
        <f>_xll.EQNXTDZ($A$1,$B42,AB$1,$B$1)</f>
        <v>-382.3</v>
      </c>
      <c r="AC42">
        <f>_xll.EQNXTDZ($A$1,$B42,AC$1,$B$1)</f>
        <v>-409.42</v>
      </c>
      <c r="AD42">
        <f>_xll.EQNXTDZ($A$1,$B42,AD$1,$B$1)</f>
        <v>579.54999999999995</v>
      </c>
      <c r="AE42">
        <f>_xll.EQNXTDZ($A$1,$B42,AE$1,$B$1)</f>
        <v>-228.85</v>
      </c>
      <c r="AF42">
        <f>_xll.EQNXTDZ($A$1,$B42,AF$1,$B$1)</f>
        <v>-2334.4499999999998</v>
      </c>
      <c r="AG42">
        <f>_xll.EQNXTDZ($A$1,$B42,AG$1,$B$1)</f>
        <v>-276.85000000000002</v>
      </c>
      <c r="AH42">
        <f>_xll.EQNXTDZ($A$1,$B42,AH$1,$B$1)</f>
        <v>-873.96</v>
      </c>
      <c r="AI42">
        <f>_xll.EQNXTDZ($A$1,$B42,AI$1,$B$1)</f>
        <v>-1069.26</v>
      </c>
      <c r="AJ42">
        <f>_xll.EQNXTDZ($A$1,$B42,AJ$1,$B$1)</f>
        <v>-341.19</v>
      </c>
      <c r="AK42">
        <f>_xll.EQNXTDZ($A$1,$B42,AK$1,$B$1)</f>
        <v>-297.95</v>
      </c>
      <c r="AL42">
        <f>_xll.EQNXTDZ($A$1,$B42,AL$1,$B$1)</f>
        <v>-288.29000000000002</v>
      </c>
      <c r="AM42">
        <f>_xll.EQNXTDZ($A$1,$B42,AM$1,$B$1)</f>
        <v>-318.45</v>
      </c>
      <c r="AN42">
        <f>_xll.EQNXTDZ($A$1,$B42,AN$1,$B$1)</f>
        <v>-313.63</v>
      </c>
      <c r="AO42">
        <f>_xll.EQNXTDZ($A$1,$B42,AO$1,$B$1)</f>
        <v>-302.3</v>
      </c>
      <c r="AP42">
        <f>_xll.EQNXTDZ($A$1,$B42,AP$1,$B$1)</f>
        <v>-280.62</v>
      </c>
      <c r="AQ42">
        <f>_xll.EQNXTDZ($A$1,$B42,AQ$1,$B$1)</f>
        <v>-295.10000000000002</v>
      </c>
      <c r="AR42">
        <f>_xll.EQNXTDZ($A$1,$B42,AR$1,$B$1)</f>
        <v>-292.76</v>
      </c>
      <c r="AS42">
        <f>_xll.EQNXTDZ($A$1,$B42,AS$1,$B$1)</f>
        <v>-279.79000000000002</v>
      </c>
      <c r="AT42">
        <f>_xll.EQNXTDZ($A$1,$B42,AT$1,$B$1)</f>
        <v>-277.07</v>
      </c>
      <c r="AU42">
        <f>_xll.EQNXTDZ($A$1,$B42,AU$1,$B$1)</f>
        <v>-301.18</v>
      </c>
      <c r="AV42">
        <f>_xll.EQNXTDZ($A$1,$B42,AV$1,$B$1)</f>
        <v>-310.23</v>
      </c>
      <c r="AW42">
        <f>_xll.EQNXTDZ($A$1,$B42,AW$1,$B$1)</f>
        <v>-307.69</v>
      </c>
      <c r="AX42">
        <f>_xll.EQNXTDZ($A$1,$B42,AX$1,$B$1)</f>
        <v>-309.33999999999997</v>
      </c>
      <c r="AY42">
        <f>_xll.EQNXTDZ($A$1,$B42,AY$1,$B$1)</f>
        <v>-323.39999999999998</v>
      </c>
      <c r="AZ42">
        <f>_xll.EQNXTDZ($A$1,$B42,AZ$1,$B$1)</f>
        <v>-330.39</v>
      </c>
      <c r="BA42">
        <f>_xll.EQNXTDZ($A$1,$B42,BA$1,$B$1)</f>
        <v>-315.11</v>
      </c>
      <c r="BB42">
        <f>_xll.EQNXTDZ($A$1,$B42,BB$1,$B$1)</f>
        <v>-306.42</v>
      </c>
      <c r="BC42">
        <f>_xll.EQNXTDZ($A$1,$B42,BC$1,$B$1)</f>
        <v>-324.98</v>
      </c>
      <c r="BD42">
        <f>_xll.EQNXTDZ($A$1,$B42,BD$1,$B$1)</f>
        <v>-320.82</v>
      </c>
      <c r="BE42">
        <f>_xll.EQNXTDZ($A$1,$B42,BE$1,$B$1)</f>
        <v>-150.43</v>
      </c>
      <c r="BF42">
        <f>_xll.EQNXTDZ($A$1,$B42,BF$1,$B$1)</f>
        <v>580.92999999999995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1897.2</v>
      </c>
      <c r="D45">
        <f>_xll.EQNXTDZ($A$1,$B45,D$1,$B$1)</f>
        <v>1897.2</v>
      </c>
      <c r="E45">
        <f>_xll.EQNXTDZ($A$1,$B45,E$1,$B$1)</f>
        <v>1897.2</v>
      </c>
      <c r="F45">
        <f>_xll.EQNXTDZ($A$1,$B45,F$1,$B$1)</f>
        <v>1897.2</v>
      </c>
      <c r="G45">
        <f>_xll.EQNXTDZ($A$1,$B45,G$1,$B$1)</f>
        <v>1897.2</v>
      </c>
      <c r="H45">
        <f>_xll.EQNXTDZ($A$1,$B45,H$1,$B$1)</f>
        <v>1954.93</v>
      </c>
      <c r="I45">
        <f>_xll.EQNXTDZ($A$1,$B45,I$1,$B$1)</f>
        <v>1954.93</v>
      </c>
      <c r="J45">
        <f>_xll.EQNXTDZ($A$1,$B45,J$1,$B$1)</f>
        <v>1954.93</v>
      </c>
      <c r="K45">
        <f>_xll.EQNXTDZ($A$1,$B45,K$1,$B$1)</f>
        <v>1954.93</v>
      </c>
      <c r="L45">
        <f>_xll.EQNXTDZ($A$1,$B45,L$1,$B$1)</f>
        <v>1954.93</v>
      </c>
      <c r="M45">
        <f>_xll.EQNXTDZ($A$1,$B45,M$1,$B$1)</f>
        <v>1954.93</v>
      </c>
      <c r="N45">
        <f>_xll.EQNXTDZ($A$1,$B45,N$1,$B$1)</f>
        <v>1954.93</v>
      </c>
      <c r="O45">
        <f>_xll.EQNXTDZ($A$1,$B45,O$1,$B$1)</f>
        <v>1954.93</v>
      </c>
      <c r="P45">
        <f>_xll.EQNXTDZ($A$1,$B45,P$1,$B$1)</f>
        <v>1954.93</v>
      </c>
      <c r="Q45">
        <f>_xll.EQNXTDZ($A$1,$B45,Q$1,$B$1)</f>
        <v>1954.93</v>
      </c>
      <c r="R45">
        <f>_xll.EQNXTDZ($A$1,$B45,R$1,$B$1)</f>
        <v>1954.93</v>
      </c>
      <c r="S45">
        <f>_xll.EQNXTDZ($A$1,$B45,S$1,$B$1)</f>
        <v>1954.93</v>
      </c>
      <c r="T45">
        <f>_xll.EQNXTDZ($A$1,$B45,T$1,$B$1)</f>
        <v>1954.93</v>
      </c>
      <c r="U45">
        <f>_xll.EQNXTDZ($A$1,$B45,U$1,$B$1)</f>
        <v>1954.93</v>
      </c>
      <c r="V45">
        <f>_xll.EQNXTDZ($A$1,$B45,V$1,$B$1)</f>
        <v>1954.93</v>
      </c>
      <c r="W45">
        <f>_xll.EQNXTDZ($A$1,$B45,W$1,$B$1)</f>
        <v>1954.93</v>
      </c>
      <c r="X45">
        <f>_xll.EQNXTDZ($A$1,$B45,X$1,$B$1)</f>
        <v>1954.93</v>
      </c>
      <c r="Y45">
        <f>_xll.EQNXTDZ($A$1,$B45,Y$1,$B$1)</f>
        <v>1954.93</v>
      </c>
      <c r="Z45">
        <f>_xll.EQNXTDZ($A$1,$B45,Z$1,$B$1)</f>
        <v>1954.93</v>
      </c>
      <c r="AA45">
        <f>_xll.EQNXTDZ($A$1,$B45,AA$1,$B$1)</f>
        <v>1954.93</v>
      </c>
      <c r="AB45">
        <f>_xll.EQNXTDZ($A$1,$B45,AB$1,$B$1)</f>
        <v>1954.93</v>
      </c>
      <c r="AC45">
        <f>_xll.EQNXTDZ($A$1,$B45,AC$1,$B$1)</f>
        <v>1954.93</v>
      </c>
      <c r="AD45">
        <f>_xll.EQNXTDZ($A$1,$B45,AD$1,$B$1)</f>
        <v>1954.93</v>
      </c>
      <c r="AE45">
        <f>_xll.EQNXTDZ($A$1,$B45,AE$1,$B$1)</f>
        <v>1954.93</v>
      </c>
      <c r="AF45">
        <f>_xll.EQNXTDZ($A$1,$B45,AF$1,$B$1)</f>
        <v>1954.93</v>
      </c>
      <c r="AG45">
        <f>_xll.EQNXTDZ($A$1,$B45,AG$1,$B$1)</f>
        <v>1954.93</v>
      </c>
      <c r="AH45">
        <f>_xll.EQNXTDZ($A$1,$B45,AH$1,$B$1)</f>
        <v>1954.93</v>
      </c>
      <c r="AI45">
        <f>_xll.EQNXTDZ($A$1,$B45,AI$1,$B$1)</f>
        <v>1954.93</v>
      </c>
      <c r="AJ45">
        <f>_xll.EQNXTDZ($A$1,$B45,AJ$1,$B$1)</f>
        <v>1954.93</v>
      </c>
      <c r="AK45">
        <f>_xll.EQNXTDZ($A$1,$B45,AK$1,$B$1)</f>
        <v>1954.93</v>
      </c>
      <c r="AL45">
        <f>_xll.EQNXTDZ($A$1,$B45,AL$1,$B$1)</f>
        <v>1954.93</v>
      </c>
      <c r="AM45">
        <f>_xll.EQNXTDZ($A$1,$B45,AM$1,$B$1)</f>
        <v>1954.93</v>
      </c>
      <c r="AN45">
        <f>_xll.EQNXTDZ($A$1,$B45,AN$1,$B$1)</f>
        <v>1954.93</v>
      </c>
      <c r="AO45">
        <f>_xll.EQNXTDZ($A$1,$B45,AO$1,$B$1)</f>
        <v>1954.93</v>
      </c>
      <c r="AP45">
        <f>_xll.EQNXTDZ($A$1,$B45,AP$1,$B$1)</f>
        <v>1954.93</v>
      </c>
      <c r="AQ45">
        <f>_xll.EQNXTDZ($A$1,$B45,AQ$1,$B$1)</f>
        <v>1954.93</v>
      </c>
      <c r="AR45">
        <f>_xll.EQNXTDZ($A$1,$B45,AR$1,$B$1)</f>
        <v>1954.93</v>
      </c>
      <c r="AS45">
        <f>_xll.EQNXTDZ($A$1,$B45,AS$1,$B$1)</f>
        <v>1954.93</v>
      </c>
      <c r="AT45">
        <f>_xll.EQNXTDZ($A$1,$B45,AT$1,$B$1)</f>
        <v>1954.93</v>
      </c>
      <c r="AU45">
        <f>_xll.EQNXTDZ($A$1,$B45,AU$1,$B$1)</f>
        <v>1954.93</v>
      </c>
      <c r="AV45">
        <f>_xll.EQNXTDZ($A$1,$B45,AV$1,$B$1)</f>
        <v>1954.93</v>
      </c>
      <c r="AW45">
        <f>_xll.EQNXTDZ($A$1,$B45,AW$1,$B$1)</f>
        <v>1954.93</v>
      </c>
      <c r="AX45">
        <f>_xll.EQNXTDZ($A$1,$B45,AX$1,$B$1)</f>
        <v>1954.93</v>
      </c>
      <c r="AY45">
        <f>_xll.EQNXTDZ($A$1,$B45,AY$1,$B$1)</f>
        <v>1954.93</v>
      </c>
      <c r="AZ45">
        <f>_xll.EQNXTDZ($A$1,$B45,AZ$1,$B$1)</f>
        <v>1954.93</v>
      </c>
      <c r="BA45">
        <f>_xll.EQNXTDZ($A$1,$B45,BA$1,$B$1)</f>
        <v>1954.93</v>
      </c>
      <c r="BB45">
        <f>_xll.EQNXTDZ($A$1,$B45,BB$1,$B$1)</f>
        <v>1954.93</v>
      </c>
      <c r="BC45">
        <f>_xll.EQNXTDZ($A$1,$B45,BC$1,$B$1)</f>
        <v>1954.93</v>
      </c>
      <c r="BD45">
        <f>_xll.EQNXTDZ($A$1,$B45,BD$1,$B$1)</f>
        <v>1954.93</v>
      </c>
      <c r="BE45">
        <f>_xll.EQNXTDZ($A$1,$B45,BE$1,$B$1)</f>
        <v>1954.93</v>
      </c>
      <c r="BF45">
        <f>_xll.EQNXTDZ($A$1,$B45,BF$1,$B$1)</f>
        <v>1954.93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13.699029126213601</v>
      </c>
      <c r="D48" s="55">
        <f>_xll.EQNXTDZ($A$1,$B48,D$5)</f>
        <v>11.4757281553398</v>
      </c>
      <c r="E48" s="55">
        <f>_xll.EQNXTDZ($A$1,$B48,E$5)</f>
        <v>11.631067961165</v>
      </c>
      <c r="F48" s="55">
        <f>_xll.EQNXTDZ($A$1,$B48,F$5)</f>
        <v>7.6699029126213603</v>
      </c>
      <c r="G48" s="55">
        <f>_xll.EQNXTDZ($A$1,$B48,G$5)</f>
        <v>6.13592233009709</v>
      </c>
      <c r="H48" s="55">
        <f>_xll.EQNXTDZ($A$1,$B48,H$5)</f>
        <v>6.84</v>
      </c>
      <c r="I48" s="55">
        <f>_xll.EQNXTDZ($A$1,$B48,I$5)</f>
        <v>7.41</v>
      </c>
      <c r="J48" s="55">
        <f>_xll.EQNXTDZ($A$1,$B48,J$5)</f>
        <v>7.41</v>
      </c>
      <c r="K48" s="55">
        <f>_xll.EQNXTDZ($A$1,$B48,K$5)</f>
        <v>11.89</v>
      </c>
      <c r="L48" s="55">
        <f>_xll.EQNXTDZ($A$1,$B48,L$5)</f>
        <v>10.050000000000001</v>
      </c>
      <c r="M48" s="55">
        <f>_xll.EQNXTDZ($A$1,$B48,M$5)</f>
        <v>7.6</v>
      </c>
      <c r="N48" s="55">
        <f>_xll.EQNXTDZ($A$1,$B48,N$5)</f>
        <v>7.9</v>
      </c>
      <c r="O48" s="55">
        <f>_xll.EQNXTDZ($A$1,$B48,O$5)</f>
        <v>6.63</v>
      </c>
      <c r="P48" s="55">
        <f>_xll.EQNXTDZ($A$1,$B48,P$5)</f>
        <v>6.19</v>
      </c>
      <c r="Q48" s="55">
        <f>_xll.EQNXTDZ($A$1,$B48,Q$5)</f>
        <v>8.1999999999999993</v>
      </c>
      <c r="R48" s="55">
        <f>_xll.EQNXTDZ($A$1,$B48,R$5)</f>
        <v>6.63</v>
      </c>
      <c r="S48" s="55">
        <f>_xll.EQNXTDZ($A$1,$B48,S$5)</f>
        <v>6.93</v>
      </c>
      <c r="T48" s="55">
        <f>_xll.EQNXTDZ($A$1,$B48,T$5)</f>
        <v>5.64</v>
      </c>
      <c r="U48" s="55">
        <f>_xll.EQNXTDZ($A$1,$B48,U$5)</f>
        <v>6.02</v>
      </c>
      <c r="V48" s="55">
        <f>_xll.EQNXTDZ($A$1,$B48,V$5)</f>
        <v>7.2</v>
      </c>
      <c r="W48" s="55">
        <f>_xll.EQNXTDZ($A$1,$B48,W$5)</f>
        <v>6.85</v>
      </c>
      <c r="X48" s="55">
        <f>_xll.EQNXTDZ($A$1,$B48,X$5)</f>
        <v>5.96</v>
      </c>
      <c r="Y48" s="55">
        <f>_xll.EQNXTDZ($A$1,$B48,Y$5)</f>
        <v>7.06</v>
      </c>
      <c r="Z48" s="55">
        <f>_xll.EQNXTDZ($A$1,$B48,Z$5)</f>
        <v>5.51</v>
      </c>
      <c r="AA48" s="55">
        <f>_xll.EQNXTDZ($A$1,$B48,AA$5)</f>
        <v>4.57</v>
      </c>
      <c r="AB48" s="55">
        <f>_xll.EQNXTDZ($A$1,$B48,AB$5)</f>
        <v>4.34</v>
      </c>
      <c r="AC48" s="55">
        <f>_xll.EQNXTDZ($A$1,$B48,AC$5)</f>
        <v>4</v>
      </c>
      <c r="AD48" s="55">
        <f>_xll.EQNXTDZ($A$1,$B48,AD$5)</f>
        <v>3.07</v>
      </c>
      <c r="AE48" s="55">
        <f>_xll.EQNXTDZ($A$1,$B48,AE$5)</f>
        <v>3.69</v>
      </c>
      <c r="AF48" s="55">
        <f>_xll.EQNXTDZ($A$1,$B48,AF$5)</f>
        <v>2.82</v>
      </c>
      <c r="AG48" s="55">
        <f>_xll.EQNXTDZ($A$1,$B48,AG$5)</f>
        <v>2.25</v>
      </c>
      <c r="AH48" s="55">
        <f>_xll.EQNXTDZ($A$1,$B48,AH$5)</f>
        <v>1.8</v>
      </c>
      <c r="AI48" s="55">
        <f>_xll.EQNXTDZ($A$1,$B48,AI$5)</f>
        <v>3.97</v>
      </c>
      <c r="AJ48" s="55">
        <f>_xll.EQNXTDZ($A$1,$B48,AJ$5)</f>
        <v>2.93</v>
      </c>
      <c r="AK48" s="55">
        <f>_xll.EQNXTDZ($A$1,$B48,AK$5)</f>
        <v>7.97</v>
      </c>
      <c r="AL48" s="55">
        <f>_xll.EQNXTDZ($A$1,$B48,AL$5)</f>
        <v>14.1</v>
      </c>
      <c r="AM48" s="55">
        <f>_xll.EQNXTDZ($A$1,$B48,AM$5)</f>
        <v>45.4</v>
      </c>
      <c r="AN48" s="55">
        <f>_xll.EQNXTDZ($A$1,$B48,AN$5)</f>
        <v>35.4</v>
      </c>
      <c r="AO48" s="55">
        <f>_xll.EQNXTDZ($A$1,$B48,AO$5)</f>
        <v>206.95</v>
      </c>
      <c r="AP48" s="55">
        <f>_xll.EQNXTDZ($A$1,$B48,AP$5)</f>
        <v>166.85</v>
      </c>
      <c r="AQ48" s="55">
        <f>_xll.EQNXTDZ($A$1,$B48,AQ$5)</f>
        <v>121.1</v>
      </c>
      <c r="AR48" s="55">
        <f>_xll.EQNXTDZ($A$1,$B48,AR$5)</f>
        <v>103.45</v>
      </c>
      <c r="AS48" s="55">
        <f>_xll.EQNXTDZ($A$1,$B48,AS$5)</f>
        <v>92.7</v>
      </c>
      <c r="AT48" s="55">
        <f>_xll.EQNXTDZ($A$1,$B48,AT$5)</f>
        <v>55.49</v>
      </c>
      <c r="AU48" s="55">
        <f>_xll.EQNXTDZ($A$1,$B48,AU$5)</f>
        <v>71.150000000000006</v>
      </c>
      <c r="AV48" s="55">
        <f>_xll.EQNXTDZ($A$1,$B48,AV$5)</f>
        <v>99.43</v>
      </c>
      <c r="AW48" s="55">
        <f>_xll.EQNXTDZ($A$1,$B48,AW$5)</f>
        <v>91.72</v>
      </c>
      <c r="AX48" s="55">
        <f>_xll.EQNXTDZ($A$1,$B48,AX$5)</f>
        <v>73.959999999999994</v>
      </c>
      <c r="AY48" s="55">
        <f>_xll.EQNXTDZ($A$1,$B48,AY$5)</f>
        <v>77.73</v>
      </c>
      <c r="AZ48" s="55">
        <f>_xll.EQNXTDZ($A$1,$B48,AZ$5)</f>
        <v>84.41</v>
      </c>
      <c r="BA48" s="55">
        <f>_xll.EQNXTDZ($A$1,$B48,BA$5)</f>
        <v>75.489999999999995</v>
      </c>
      <c r="BB48" s="55">
        <f>_xll.EQNXTDZ($A$1,$B48,BB$5)</f>
        <v>56.33</v>
      </c>
      <c r="BC48" s="55">
        <f>_xll.EQNXTDZ($A$1,$B48,BC$5)</f>
        <v>66.19</v>
      </c>
      <c r="BD48" s="55">
        <f>_xll.EQNXTDZ($A$1,$B48,BD$5)</f>
        <v>54.99</v>
      </c>
      <c r="BE48" s="55">
        <f>_xll.EQNXTDZ($A$1,$B48,BE$5)</f>
        <v>49.59</v>
      </c>
      <c r="BF48" s="55">
        <f>_xll.EQNXTDZ($A$1,$B48,BF$5)</f>
        <v>31.29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77.72</v>
      </c>
      <c r="D49" s="55">
        <f>_xll.EQNXTDZ($A$1,$B49,D$5)</f>
        <v>77.72</v>
      </c>
      <c r="E49" s="55">
        <f>_xll.EQNXTDZ($A$1,$B49,E$5)</f>
        <v>77.72</v>
      </c>
      <c r="F49" s="55">
        <f>_xll.EQNXTDZ($A$1,$B49,F$5)</f>
        <v>77.72</v>
      </c>
      <c r="G49" s="55">
        <f>_xll.EQNXTDZ($A$1,$B49,G$5)</f>
        <v>77.209999999999994</v>
      </c>
      <c r="H49" s="55">
        <f>_xll.EQNXTDZ($A$1,$B49,H$5)</f>
        <v>74.900000000000006</v>
      </c>
      <c r="I49" s="55">
        <f>_xll.EQNXTDZ($A$1,$B49,I$5)</f>
        <v>74.900000000000006</v>
      </c>
      <c r="J49" s="55">
        <f>_xll.EQNXTDZ($A$1,$B49,J$5)</f>
        <v>74.900000000000006</v>
      </c>
      <c r="K49" s="55">
        <f>_xll.EQNXTDZ($A$1,$B49,K$5)</f>
        <v>74.900000000000006</v>
      </c>
      <c r="L49" s="55">
        <f>_xll.EQNXTDZ($A$1,$B49,L$5)</f>
        <v>74.900000000000006</v>
      </c>
      <c r="M49" s="55">
        <f>_xll.EQNXTDZ($A$1,$B49,M$5)</f>
        <v>74.900000000000006</v>
      </c>
      <c r="N49" s="55">
        <f>_xll.EQNXTDZ($A$1,$B49,N$5)</f>
        <v>74.900000000000006</v>
      </c>
      <c r="O49" s="55">
        <f>_xll.EQNXTDZ($A$1,$B49,O$5)</f>
        <v>74.900000000000006</v>
      </c>
      <c r="P49" s="55">
        <f>_xll.EQNXTDZ($A$1,$B49,P$5)</f>
        <v>74.900000000000006</v>
      </c>
      <c r="Q49" s="55">
        <f>_xll.EQNXTDZ($A$1,$B49,Q$5)</f>
        <v>74.900000000000006</v>
      </c>
      <c r="R49" s="55">
        <f>_xll.EQNXTDZ($A$1,$B49,R$5)</f>
        <v>74.900000000000006</v>
      </c>
      <c r="S49" s="55">
        <f>_xll.EQNXTDZ($A$1,$B49,S$5)</f>
        <v>74.900000000000006</v>
      </c>
      <c r="T49" s="55">
        <f>_xll.EQNXTDZ($A$1,$B49,T$5)</f>
        <v>74.900000000000006</v>
      </c>
      <c r="U49" s="55">
        <f>_xll.EQNXTDZ($A$1,$B49,U$5)</f>
        <v>74.900000000000006</v>
      </c>
      <c r="V49" s="55">
        <f>_xll.EQNXTDZ($A$1,$B49,V$5)</f>
        <v>74.86</v>
      </c>
      <c r="W49" s="55">
        <f>_xll.EQNXTDZ($A$1,$B49,W$5)</f>
        <v>74.36</v>
      </c>
      <c r="X49" s="55">
        <f>_xll.EQNXTDZ($A$1,$B49,X$5)</f>
        <v>74.36</v>
      </c>
      <c r="Y49" s="55">
        <f>_xll.EQNXTDZ($A$1,$B49,Y$5)</f>
        <v>74.36</v>
      </c>
      <c r="Z49" s="55">
        <f>_xll.EQNXTDZ($A$1,$B49,Z$5)</f>
        <v>74.36</v>
      </c>
      <c r="AA49" s="55">
        <f>_xll.EQNXTDZ($A$1,$B49,AA$5)</f>
        <v>74.36</v>
      </c>
      <c r="AB49" s="55">
        <f>_xll.EQNXTDZ($A$1,$B49,AB$5)</f>
        <v>74.36</v>
      </c>
      <c r="AC49" s="55">
        <f>_xll.EQNXTDZ($A$1,$B49,AC$5)</f>
        <v>74.36</v>
      </c>
      <c r="AD49" s="55">
        <f>_xll.EQNXTDZ($A$1,$B49,AD$5)</f>
        <v>74.36</v>
      </c>
      <c r="AE49" s="55">
        <f>_xll.EQNXTDZ($A$1,$B49,AE$5)</f>
        <v>74.36</v>
      </c>
      <c r="AF49" s="55">
        <f>_xll.EQNXTDZ($A$1,$B49,AF$5)</f>
        <v>74.36</v>
      </c>
      <c r="AG49" s="55">
        <f>_xll.EQNXTDZ($A$1,$B49,AG$5)</f>
        <v>74.36</v>
      </c>
      <c r="AH49" s="55">
        <f>_xll.EQNXTDZ($A$1,$B49,AH$5)</f>
        <v>74.36</v>
      </c>
      <c r="AI49" s="55">
        <f>_xll.EQNXTDZ($A$1,$B49,AI$5)</f>
        <v>74.36</v>
      </c>
      <c r="AJ49" s="55">
        <f>_xll.EQNXTDZ($A$1,$B49,AJ$5)</f>
        <v>74.36</v>
      </c>
      <c r="AK49" s="55">
        <f>_xll.EQNXTDZ($A$1,$B49,AK$5)</f>
        <v>74.36</v>
      </c>
      <c r="AL49" s="55">
        <f>_xll.EQNXTDZ($A$1,$B49,AL$5)</f>
        <v>74.36</v>
      </c>
      <c r="AM49" s="55">
        <f>_xll.EQNXTDZ($A$1,$B49,AM$5)</f>
        <v>74.36</v>
      </c>
      <c r="AN49" s="55">
        <f>_xll.EQNXTDZ($A$1,$B49,AN$5)</f>
        <v>74.36</v>
      </c>
      <c r="AO49" s="55">
        <f>_xll.EQNXTDZ($A$1,$B49,AO$5)</f>
        <v>74.36</v>
      </c>
      <c r="AP49" s="55">
        <f>_xll.EQNXTDZ($A$1,$B49,AP$5)</f>
        <v>74.36</v>
      </c>
      <c r="AQ49" s="55">
        <f>_xll.EQNXTDZ($A$1,$B49,AQ$5)</f>
        <v>74.36</v>
      </c>
      <c r="AR49" s="55">
        <f>_xll.EQNXTDZ($A$1,$B49,AR$5)</f>
        <v>74.36</v>
      </c>
      <c r="AS49" s="55">
        <f>_xll.EQNXTDZ($A$1,$B49,AS$5)</f>
        <v>74.36</v>
      </c>
      <c r="AT49" s="55">
        <f>_xll.EQNXTDZ($A$1,$B49,AT$5)</f>
        <v>74.36</v>
      </c>
      <c r="AU49" s="55">
        <f>_xll.EQNXTDZ($A$1,$B49,AU$5)</f>
        <v>74.36</v>
      </c>
      <c r="AV49" s="55">
        <f>_xll.EQNXTDZ($A$1,$B49,AV$5)</f>
        <v>74.36</v>
      </c>
      <c r="AW49" s="55">
        <f>_xll.EQNXTDZ($A$1,$B49,AW$5)</f>
        <v>74.36</v>
      </c>
      <c r="AX49" s="55">
        <f>_xll.EQNXTDZ($A$1,$B49,AX$5)</f>
        <v>74.36</v>
      </c>
      <c r="AY49" s="55">
        <f>_xll.EQNXTDZ($A$1,$B49,AY$5)</f>
        <v>74.36</v>
      </c>
      <c r="AZ49" s="55">
        <f>_xll.EQNXTDZ($A$1,$B49,AZ$5)</f>
        <v>74.36</v>
      </c>
      <c r="BA49" s="55">
        <f>_xll.EQNXTDZ($A$1,$B49,BA$5)</f>
        <v>74.36</v>
      </c>
      <c r="BB49" s="55">
        <f>_xll.EQNXTDZ($A$1,$B49,BB$5)</f>
        <v>74.36</v>
      </c>
      <c r="BC49" s="55">
        <f>_xll.EQNXTDZ($A$1,$B49,BC$5)</f>
        <v>74.36</v>
      </c>
      <c r="BD49" s="55">
        <f>_xll.EQNXTDZ($A$1,$B49,BD$5)</f>
        <v>74.36</v>
      </c>
      <c r="BE49" s="55">
        <f>_xll.EQNXTDZ($A$1,$B49,BE$5)</f>
        <v>74.36</v>
      </c>
      <c r="BF49" s="55">
        <f>_xll.EQNXTDZ($A$1,$B49,BF$5)</f>
        <v>74.36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33.450000000000003</v>
      </c>
      <c r="D50" s="55">
        <f>_xll.EQNXTDZ($A$1,$B50,D$5)</f>
        <v>33.450000000000003</v>
      </c>
      <c r="E50" s="55">
        <f>_xll.EQNXTDZ($A$1,$B50,E$5)</f>
        <v>33.450000000000003</v>
      </c>
      <c r="F50" s="55">
        <f>_xll.EQNXTDZ($A$1,$B50,F$5)</f>
        <v>33.450000000000003</v>
      </c>
      <c r="G50" s="55">
        <f>_xll.EQNXTDZ($A$1,$B50,G$5)</f>
        <v>33.67</v>
      </c>
      <c r="H50" s="55">
        <f>_xll.EQNXTDZ($A$1,$B50,H$5)</f>
        <v>34.71</v>
      </c>
      <c r="I50" s="55">
        <f>_xll.EQNXTDZ($A$1,$B50,I$5)</f>
        <v>34.71</v>
      </c>
      <c r="J50" s="55">
        <f>_xll.EQNXTDZ($A$1,$B50,J$5)</f>
        <v>34.71</v>
      </c>
      <c r="K50" s="55">
        <f>_xll.EQNXTDZ($A$1,$B50,K$5)</f>
        <v>34.71</v>
      </c>
      <c r="L50" s="55">
        <f>_xll.EQNXTDZ($A$1,$B50,L$5)</f>
        <v>34.71</v>
      </c>
      <c r="M50" s="55">
        <f>_xll.EQNXTDZ($A$1,$B50,M$5)</f>
        <v>34.71</v>
      </c>
      <c r="N50" s="55">
        <f>_xll.EQNXTDZ($A$1,$B50,N$5)</f>
        <v>34.71</v>
      </c>
      <c r="O50" s="55">
        <f>_xll.EQNXTDZ($A$1,$B50,O$5)</f>
        <v>34.71</v>
      </c>
      <c r="P50" s="55">
        <f>_xll.EQNXTDZ($A$1,$B50,P$5)</f>
        <v>34.71</v>
      </c>
      <c r="Q50" s="55">
        <f>_xll.EQNXTDZ($A$1,$B50,Q$5)</f>
        <v>34.71</v>
      </c>
      <c r="R50" s="55">
        <f>_xll.EQNXTDZ($A$1,$B50,R$5)</f>
        <v>34.71</v>
      </c>
      <c r="S50" s="55">
        <f>_xll.EQNXTDZ($A$1,$B50,S$5)</f>
        <v>34.71</v>
      </c>
      <c r="T50" s="55">
        <f>_xll.EQNXTDZ($A$1,$B50,T$5)</f>
        <v>34.71</v>
      </c>
      <c r="U50" s="55">
        <f>_xll.EQNXTDZ($A$1,$B50,U$5)</f>
        <v>34.71</v>
      </c>
      <c r="V50" s="55">
        <f>_xll.EQNXTDZ($A$1,$B50,V$5)</f>
        <v>34.729999999999997</v>
      </c>
      <c r="W50" s="55">
        <f>_xll.EQNXTDZ($A$1,$B50,W$5)</f>
        <v>34.97</v>
      </c>
      <c r="X50" s="55">
        <f>_xll.EQNXTDZ($A$1,$B50,X$5)</f>
        <v>34.97</v>
      </c>
      <c r="Y50" s="55">
        <f>_xll.EQNXTDZ($A$1,$B50,Y$5)</f>
        <v>34.97</v>
      </c>
      <c r="Z50" s="55">
        <f>_xll.EQNXTDZ($A$1,$B50,Z$5)</f>
        <v>34.97</v>
      </c>
      <c r="AA50" s="55">
        <f>_xll.EQNXTDZ($A$1,$B50,AA$5)</f>
        <v>34.97</v>
      </c>
      <c r="AB50" s="55">
        <f>_xll.EQNXTDZ($A$1,$B50,AB$5)</f>
        <v>34.97</v>
      </c>
      <c r="AC50" s="55">
        <f>_xll.EQNXTDZ($A$1,$B50,AC$5)</f>
        <v>34.97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1897.2</v>
      </c>
      <c r="E56" s="55">
        <f>_xll.EQNXTDZ($A$1,$B56,E$5,$B$1)</f>
        <v>0</v>
      </c>
      <c r="F56" s="55">
        <f>_xll.EQNXTDZ($A$1,$B56,F$5,$B$1)</f>
        <v>1897.2</v>
      </c>
      <c r="G56" s="55">
        <f>_xll.EQNXTDZ($A$1,$B56,G$5,$B$1)</f>
        <v>0</v>
      </c>
      <c r="H56" s="55">
        <f>_xll.EQNXTDZ($A$1,$B56,H$5,$B$1)</f>
        <v>1954.93</v>
      </c>
      <c r="I56" s="55">
        <f>_xll.EQNXTDZ($A$1,$B56,I$5,$B$1)</f>
        <v>0</v>
      </c>
      <c r="J56" s="55">
        <f>_xll.EQNXTDZ($A$1,$B56,J$5,$B$1)</f>
        <v>1954.93</v>
      </c>
      <c r="K56" s="55">
        <f>_xll.EQNXTDZ($A$1,$B56,K$5,$B$1)</f>
        <v>0</v>
      </c>
      <c r="L56" s="55">
        <f>_xll.EQNXTDZ($A$1,$B56,L$5,$B$1)</f>
        <v>1954.93</v>
      </c>
      <c r="M56" s="55">
        <f>_xll.EQNXTDZ($A$1,$B56,M$5,$B$1)</f>
        <v>0</v>
      </c>
      <c r="N56" s="55">
        <f>_xll.EQNXTDZ($A$1,$B56,N$5,$B$1)</f>
        <v>1954.93</v>
      </c>
      <c r="O56" s="55">
        <f>_xll.EQNXTDZ($A$1,$B56,O$5,$B$1)</f>
        <v>0</v>
      </c>
      <c r="P56" s="55">
        <f>_xll.EQNXTDZ($A$1,$B56,P$5,$B$1)</f>
        <v>1954.93</v>
      </c>
      <c r="Q56" s="55">
        <f>_xll.EQNXTDZ($A$1,$B56,Q$5,$B$1)</f>
        <v>0</v>
      </c>
      <c r="R56" s="55">
        <f>_xll.EQNXTDZ($A$1,$B56,R$5,$B$1)</f>
        <v>1954.93</v>
      </c>
      <c r="S56" s="55">
        <f>_xll.EQNXTDZ($A$1,$B56,S$5,$B$1)</f>
        <v>0</v>
      </c>
      <c r="T56" s="55">
        <f>_xll.EQNXTDZ($A$1,$B56,T$5,$B$1)</f>
        <v>1954.93</v>
      </c>
      <c r="U56" s="55">
        <f>_xll.EQNXTDZ($A$1,$B56,U$5,$B$1)</f>
        <v>0</v>
      </c>
      <c r="V56" s="55">
        <f>_xll.EQNXTDZ($A$1,$B56,V$5,$B$1)</f>
        <v>1954.93</v>
      </c>
      <c r="W56" s="55">
        <f>_xll.EQNXTDZ($A$1,$B56,W$5,$B$1)</f>
        <v>0</v>
      </c>
      <c r="X56" s="55">
        <f>_xll.EQNXTDZ($A$1,$B56,X$5,$B$1)</f>
        <v>1954.93</v>
      </c>
      <c r="Y56" s="55">
        <f>_xll.EQNXTDZ($A$1,$B56,Y$5,$B$1)</f>
        <v>0</v>
      </c>
      <c r="Z56" s="55">
        <f>_xll.EQNXTDZ($A$1,$B56,Z$5,$B$1)</f>
        <v>1954.93</v>
      </c>
      <c r="AA56" s="55">
        <f>_xll.EQNXTDZ($A$1,$B56,AA$5,$B$1)</f>
        <v>0</v>
      </c>
      <c r="AB56" s="55">
        <f>_xll.EQNXTDZ($A$1,$B56,AB$5,$B$1)</f>
        <v>1954.93</v>
      </c>
      <c r="AC56" s="55">
        <f>_xll.EQNXTDZ($A$1,$B56,AC$5,$B$1)</f>
        <v>0</v>
      </c>
      <c r="AD56" s="55">
        <f>_xll.EQNXTDZ($A$1,$B56,AD$5,$B$1)</f>
        <v>1954.93</v>
      </c>
      <c r="AE56" s="55">
        <f>_xll.EQNXTDZ($A$1,$B56,AE$5,$B$1)</f>
        <v>0</v>
      </c>
      <c r="AF56" s="55">
        <f>_xll.EQNXTDZ($A$1,$B56,AF$5,$B$1)</f>
        <v>1954.93</v>
      </c>
      <c r="AG56" s="55">
        <f>_xll.EQNXTDZ($A$1,$B56,AG$5,$B$1)</f>
        <v>0</v>
      </c>
      <c r="AH56" s="55">
        <f>_xll.EQNXTDZ($A$1,$B56,AH$5,$B$1)</f>
        <v>1954.93</v>
      </c>
      <c r="AI56" s="55">
        <f>_xll.EQNXTDZ($A$1,$B56,AI$5,$B$1)</f>
        <v>0</v>
      </c>
      <c r="AJ56" s="55">
        <f>_xll.EQNXTDZ($A$1,$B56,AJ$5,$B$1)</f>
        <v>1954.93</v>
      </c>
      <c r="AK56" s="55">
        <f>_xll.EQNXTDZ($A$1,$B56,AK$5,$B$1)</f>
        <v>0</v>
      </c>
      <c r="AL56" s="55">
        <f>_xll.EQNXTDZ($A$1,$B56,AL$5,$B$1)</f>
        <v>1954.93</v>
      </c>
      <c r="AM56" s="55">
        <f>_xll.EQNXTDZ($A$1,$B56,AM$5,$B$1)</f>
        <v>0</v>
      </c>
      <c r="AN56" s="55">
        <f>_xll.EQNXTDZ($A$1,$B56,AN$5,$B$1)</f>
        <v>1954.93</v>
      </c>
      <c r="AO56" s="55">
        <f>_xll.EQNXTDZ($A$1,$B56,AO$5,$B$1)</f>
        <v>0</v>
      </c>
      <c r="AP56" s="55">
        <f>_xll.EQNXTDZ($A$1,$B56,AP$5,$B$1)</f>
        <v>1954.93</v>
      </c>
      <c r="AQ56" s="55">
        <f>_xll.EQNXTDZ($A$1,$B56,AQ$5,$B$1)</f>
        <v>0</v>
      </c>
      <c r="AR56" s="55">
        <f>_xll.EQNXTDZ($A$1,$B56,AR$5,$B$1)</f>
        <v>1954.93</v>
      </c>
      <c r="AS56" s="55">
        <f>_xll.EQNXTDZ($A$1,$B56,AS$5,$B$1)</f>
        <v>0</v>
      </c>
      <c r="AT56" s="55">
        <f>_xll.EQNXTDZ($A$1,$B56,AT$5,$B$1)</f>
        <v>1954.93</v>
      </c>
      <c r="AU56" s="55">
        <f>_xll.EQNXTDZ($A$1,$B56,AU$5,$B$1)</f>
        <v>0</v>
      </c>
      <c r="AV56" s="55">
        <f>_xll.EQNXTDZ($A$1,$B56,AV$5,$B$1)</f>
        <v>1954.93</v>
      </c>
      <c r="AW56" s="55">
        <f>_xll.EQNXTDZ($A$1,$B56,AW$5,$B$1)</f>
        <v>0</v>
      </c>
      <c r="AX56" s="55">
        <f>_xll.EQNXTDZ($A$1,$B56,AX$5,$B$1)</f>
        <v>1954.93</v>
      </c>
      <c r="AY56" s="55">
        <f>_xll.EQNXTDZ($A$1,$B56,AY$5,$B$1)</f>
        <v>0</v>
      </c>
      <c r="AZ56" s="55">
        <f>_xll.EQNXTDZ($A$1,$B56,AZ$5,$B$1)</f>
        <v>1954.93</v>
      </c>
      <c r="BA56" s="55">
        <f>_xll.EQNXTDZ($A$1,$B56,BA$5,$B$1)</f>
        <v>0</v>
      </c>
      <c r="BB56" s="55">
        <f>_xll.EQNXTDZ($A$1,$B56,BB$5,$B$1)</f>
        <v>1954.93</v>
      </c>
      <c r="BC56" s="55">
        <f>_xll.EQNXTDZ($A$1,$B56,BC$5,$B$1)</f>
        <v>0</v>
      </c>
      <c r="BD56" s="55">
        <f>_xll.EQNXTDZ($A$1,$B56,BD$5,$B$1)</f>
        <v>1954.93</v>
      </c>
      <c r="BE56" s="55">
        <f>_xll.EQNXTDZ($A$1,$B56,BE$5,$B$1)</f>
        <v>0</v>
      </c>
      <c r="BF56" s="55">
        <f>_xll.EQNXTDZ($A$1,$B56,BF$5,$B$1)</f>
        <v>1954.93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-3377.55</v>
      </c>
      <c r="E58" s="55">
        <f>_xll.EQNXTDZ($A$1,$B58,E$5,$B$1)</f>
        <v>0</v>
      </c>
      <c r="F58" s="55">
        <f>_xll.EQNXTDZ($A$1,$B58,F$5,$B$1)</f>
        <v>-3689.95</v>
      </c>
      <c r="G58" s="55">
        <f>_xll.EQNXTDZ($A$1,$B58,G$5,$B$1)</f>
        <v>0</v>
      </c>
      <c r="H58" s="55">
        <f>_xll.EQNXTDZ($A$1,$B58,H$5,$B$1)</f>
        <v>-4039.8</v>
      </c>
      <c r="I58" s="55">
        <f>_xll.EQNXTDZ($A$1,$B58,I$5,$B$1)</f>
        <v>0</v>
      </c>
      <c r="J58" s="55">
        <f>_xll.EQNXTDZ($A$1,$B58,J$5,$B$1)</f>
        <v>-4307.76</v>
      </c>
      <c r="K58" s="55">
        <f>_xll.EQNXTDZ($A$1,$B58,K$5,$B$1)</f>
        <v>0</v>
      </c>
      <c r="L58" s="55">
        <f>_xll.EQNXTDZ($A$1,$B58,L$5,$B$1)</f>
        <v>-4590.05</v>
      </c>
      <c r="M58" s="55">
        <f>_xll.EQNXTDZ($A$1,$B58,M$5,$B$1)</f>
        <v>0</v>
      </c>
      <c r="N58" s="55">
        <f>_xll.EQNXTDZ($A$1,$B58,N$5,$B$1)</f>
        <v>-4923.01</v>
      </c>
      <c r="O58" s="55">
        <f>_xll.EQNXTDZ($A$1,$B58,O$5,$B$1)</f>
        <v>0</v>
      </c>
      <c r="P58" s="55">
        <f>_xll.EQNXTDZ($A$1,$B58,P$5,$B$1)</f>
        <v>-5181.99</v>
      </c>
      <c r="Q58" s="55">
        <f>_xll.EQNXTDZ($A$1,$B58,Q$5,$B$1)</f>
        <v>0</v>
      </c>
      <c r="R58" s="55">
        <f>_xll.EQNXTDZ($A$1,$B58,R$5,$B$1)</f>
        <v>-5941.12</v>
      </c>
      <c r="S58" s="55">
        <f>_xll.EQNXTDZ($A$1,$B58,S$5,$B$1)</f>
        <v>0</v>
      </c>
      <c r="T58" s="55">
        <f>_xll.EQNXTDZ($A$1,$B58,T$5,$B$1)</f>
        <v>-5987.39</v>
      </c>
      <c r="U58" s="55">
        <f>_xll.EQNXTDZ($A$1,$B58,U$5,$B$1)</f>
        <v>0</v>
      </c>
      <c r="V58" s="55">
        <f>_xll.EQNXTDZ($A$1,$B58,V$5,$B$1)</f>
        <v>-7863.77</v>
      </c>
      <c r="W58" s="55">
        <f>_xll.EQNXTDZ($A$1,$B58,W$5,$B$1)</f>
        <v>0</v>
      </c>
      <c r="X58" s="55">
        <f>_xll.EQNXTDZ($A$1,$B58,X$5,$B$1)</f>
        <v>-16472.3</v>
      </c>
      <c r="Y58" s="55">
        <f>_xll.EQNXTDZ($A$1,$B58,Y$5,$B$1)</f>
        <v>0</v>
      </c>
      <c r="Z58" s="55">
        <f>_xll.EQNXTDZ($A$1,$B58,Z$5,$B$1)</f>
        <v>-17114.080000000002</v>
      </c>
      <c r="AA58" s="55">
        <f>_xll.EQNXTDZ($A$1,$B58,AA$5,$B$1)</f>
        <v>0</v>
      </c>
      <c r="AB58" s="55">
        <f>_xll.EQNXTDZ($A$1,$B58,AB$5,$B$1)</f>
        <v>-17316.240000000002</v>
      </c>
      <c r="AC58" s="55">
        <f>_xll.EQNXTDZ($A$1,$B58,AC$5,$B$1)</f>
        <v>0</v>
      </c>
      <c r="AD58" s="55">
        <f>_xll.EQNXTDZ($A$1,$B58,AD$5,$B$1)</f>
        <v>-16774.759999999998</v>
      </c>
      <c r="AE58" s="55">
        <f>_xll.EQNXTDZ($A$1,$B58,AE$5,$B$1)</f>
        <v>0</v>
      </c>
      <c r="AF58" s="55">
        <f>_xll.EQNXTDZ($A$1,$B58,AF$5,$B$1)</f>
        <v>-18284.39</v>
      </c>
      <c r="AG58" s="55">
        <f>_xll.EQNXTDZ($A$1,$B58,AG$5,$B$1)</f>
        <v>0</v>
      </c>
      <c r="AH58" s="55">
        <f>_xll.EQNXTDZ($A$1,$B58,AH$5,$B$1)</f>
        <v>-19434.09</v>
      </c>
      <c r="AI58" s="55">
        <f>_xll.EQNXTDZ($A$1,$B58,AI$5,$B$1)</f>
        <v>0</v>
      </c>
      <c r="AJ58" s="55">
        <f>_xll.EQNXTDZ($A$1,$B58,AJ$5,$B$1)</f>
        <v>-19915.64</v>
      </c>
      <c r="AK58" s="55">
        <f>_xll.EQNXTDZ($A$1,$B58,AK$5,$B$1)</f>
        <v>0</v>
      </c>
      <c r="AL58" s="55">
        <f>_xll.EQNXTDZ($A$1,$B58,AL$5,$B$1)</f>
        <v>-20445.810000000001</v>
      </c>
      <c r="AM58" s="55">
        <f>_xll.EQNXTDZ($A$1,$B58,AM$5,$B$1)</f>
        <v>0</v>
      </c>
      <c r="AN58" s="55">
        <f>_xll.EQNXTDZ($A$1,$B58,AN$5,$B$1)</f>
        <v>-20635.330000000002</v>
      </c>
      <c r="AO58" s="55">
        <f>_xll.EQNXTDZ($A$1,$B58,AO$5,$B$1)</f>
        <v>0</v>
      </c>
      <c r="AP58" s="55">
        <f>_xll.EQNXTDZ($A$1,$B58,AP$5,$B$1)</f>
        <v>-20787.41</v>
      </c>
      <c r="AQ58" s="55">
        <f>_xll.EQNXTDZ($A$1,$B58,AQ$5,$B$1)</f>
        <v>0</v>
      </c>
      <c r="AR58" s="55">
        <f>_xll.EQNXTDZ($A$1,$B58,AR$5,$B$1)</f>
        <v>-20514.990000000002</v>
      </c>
      <c r="AS58" s="55">
        <f>_xll.EQNXTDZ($A$1,$B58,AS$5,$B$1)</f>
        <v>0</v>
      </c>
      <c r="AT58" s="55">
        <f>_xll.EQNXTDZ($A$1,$B58,AT$5,$B$1)</f>
        <v>-21009.46</v>
      </c>
      <c r="AU58" s="55">
        <f>_xll.EQNXTDZ($A$1,$B58,AU$5,$B$1)</f>
        <v>0</v>
      </c>
      <c r="AV58" s="55">
        <f>_xll.EQNXTDZ($A$1,$B58,AV$5,$B$1)</f>
        <v>-21098.06</v>
      </c>
      <c r="AW58" s="55">
        <f>_xll.EQNXTDZ($A$1,$B58,AW$5,$B$1)</f>
        <v>0</v>
      </c>
      <c r="AX58" s="55">
        <f>_xll.EQNXTDZ($A$1,$B58,AX$5,$B$1)</f>
        <v>-21207.88</v>
      </c>
      <c r="AY58" s="55">
        <f>_xll.EQNXTDZ($A$1,$B58,AY$5,$B$1)</f>
        <v>0</v>
      </c>
      <c r="AZ58" s="55">
        <f>_xll.EQNXTDZ($A$1,$B58,AZ$5,$B$1)</f>
        <v>-20967.62</v>
      </c>
      <c r="BA58" s="55">
        <f>_xll.EQNXTDZ($A$1,$B58,BA$5,$B$1)</f>
        <v>0</v>
      </c>
      <c r="BB58" s="55">
        <f>_xll.EQNXTDZ($A$1,$B58,BB$5,$B$1)</f>
        <v>-21525.22</v>
      </c>
      <c r="BC58" s="55">
        <f>_xll.EQNXTDZ($A$1,$B58,BC$5,$B$1)</f>
        <v>0</v>
      </c>
      <c r="BD58" s="55">
        <f>_xll.EQNXTDZ($A$1,$B58,BD$5,$B$1)</f>
        <v>-21699.4</v>
      </c>
      <c r="BE58" s="55">
        <f>_xll.EQNXTDZ($A$1,$B58,BE$5,$B$1)</f>
        <v>0</v>
      </c>
      <c r="BF58" s="55">
        <f>_xll.EQNXTDZ($A$1,$B58,BF$5,$B$1)</f>
        <v>-21938.31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-1480.35</v>
      </c>
      <c r="E59" s="55">
        <f>_xll.EQNXTDZ($A$1,$B59,E$5,$B$1)</f>
        <v>0</v>
      </c>
      <c r="F59" s="55">
        <f>_xll.EQNXTDZ($A$1,$B59,F$5,$B$1)</f>
        <v>-1792.75</v>
      </c>
      <c r="G59" s="55">
        <f>_xll.EQNXTDZ($A$1,$B59,G$5,$B$1)</f>
        <v>0</v>
      </c>
      <c r="H59" s="55">
        <f>_xll.EQNXTDZ($A$1,$B59,H$5,$B$1)</f>
        <v>-2084.87</v>
      </c>
      <c r="I59" s="55">
        <f>_xll.EQNXTDZ($A$1,$B59,I$5,$B$1)</f>
        <v>0</v>
      </c>
      <c r="J59" s="55">
        <f>_xll.EQNXTDZ($A$1,$B59,J$5,$B$1)</f>
        <v>-2352.83</v>
      </c>
      <c r="K59" s="55">
        <f>_xll.EQNXTDZ($A$1,$B59,K$5,$B$1)</f>
        <v>0</v>
      </c>
      <c r="L59" s="55">
        <f>_xll.EQNXTDZ($A$1,$B59,L$5,$B$1)</f>
        <v>-2635.12</v>
      </c>
      <c r="M59" s="55">
        <f>_xll.EQNXTDZ($A$1,$B59,M$5,$B$1)</f>
        <v>0</v>
      </c>
      <c r="N59" s="55">
        <f>_xll.EQNXTDZ($A$1,$B59,N$5,$B$1)</f>
        <v>-2968.08</v>
      </c>
      <c r="O59" s="55">
        <f>_xll.EQNXTDZ($A$1,$B59,O$5,$B$1)</f>
        <v>0</v>
      </c>
      <c r="P59" s="55">
        <f>_xll.EQNXTDZ($A$1,$B59,P$5,$B$1)</f>
        <v>-3227.06</v>
      </c>
      <c r="Q59" s="55">
        <f>_xll.EQNXTDZ($A$1,$B59,Q$5,$B$1)</f>
        <v>0</v>
      </c>
      <c r="R59" s="55">
        <f>_xll.EQNXTDZ($A$1,$B59,R$5,$B$1)</f>
        <v>-3986.19</v>
      </c>
      <c r="S59" s="55">
        <f>_xll.EQNXTDZ($A$1,$B59,S$5,$B$1)</f>
        <v>0</v>
      </c>
      <c r="T59" s="55">
        <f>_xll.EQNXTDZ($A$1,$B59,T$5,$B$1)</f>
        <v>-4032.46</v>
      </c>
      <c r="U59" s="55">
        <f>_xll.EQNXTDZ($A$1,$B59,U$5,$B$1)</f>
        <v>0</v>
      </c>
      <c r="V59" s="55">
        <f>_xll.EQNXTDZ($A$1,$B59,V$5,$B$1)</f>
        <v>-5908.84</v>
      </c>
      <c r="W59" s="55">
        <f>_xll.EQNXTDZ($A$1,$B59,W$5,$B$1)</f>
        <v>0</v>
      </c>
      <c r="X59" s="55">
        <f>_xll.EQNXTDZ($A$1,$B59,X$5,$B$1)</f>
        <v>-14517.37</v>
      </c>
      <c r="Y59" s="55">
        <f>_xll.EQNXTDZ($A$1,$B59,Y$5,$B$1)</f>
        <v>0</v>
      </c>
      <c r="Z59" s="55">
        <f>_xll.EQNXTDZ($A$1,$B59,Z$5,$B$1)</f>
        <v>-15159.15</v>
      </c>
      <c r="AA59" s="55">
        <f>_xll.EQNXTDZ($A$1,$B59,AA$5,$B$1)</f>
        <v>0</v>
      </c>
      <c r="AB59" s="55">
        <f>_xll.EQNXTDZ($A$1,$B59,AB$5,$B$1)</f>
        <v>-15361.31</v>
      </c>
      <c r="AC59" s="55">
        <f>_xll.EQNXTDZ($A$1,$B59,AC$5,$B$1)</f>
        <v>0</v>
      </c>
      <c r="AD59" s="55">
        <f>_xll.EQNXTDZ($A$1,$B59,AD$5,$B$1)</f>
        <v>-14819.83</v>
      </c>
      <c r="AE59" s="55">
        <f>_xll.EQNXTDZ($A$1,$B59,AE$5,$B$1)</f>
        <v>0</v>
      </c>
      <c r="AF59" s="55">
        <f>_xll.EQNXTDZ($A$1,$B59,AF$5,$B$1)</f>
        <v>-16329.46</v>
      </c>
      <c r="AG59" s="55">
        <f>_xll.EQNXTDZ($A$1,$B59,AG$5,$B$1)</f>
        <v>0</v>
      </c>
      <c r="AH59" s="55">
        <f>_xll.EQNXTDZ($A$1,$B59,AH$5,$B$1)</f>
        <v>-17479.16</v>
      </c>
      <c r="AI59" s="55">
        <f>_xll.EQNXTDZ($A$1,$B59,AI$5,$B$1)</f>
        <v>0</v>
      </c>
      <c r="AJ59" s="55">
        <f>_xll.EQNXTDZ($A$1,$B59,AJ$5,$B$1)</f>
        <v>-17960.71</v>
      </c>
      <c r="AK59" s="55">
        <f>_xll.EQNXTDZ($A$1,$B59,AK$5,$B$1)</f>
        <v>0</v>
      </c>
      <c r="AL59" s="55">
        <f>_xll.EQNXTDZ($A$1,$B59,AL$5,$B$1)</f>
        <v>-18490.88</v>
      </c>
      <c r="AM59" s="55">
        <f>_xll.EQNXTDZ($A$1,$B59,AM$5,$B$1)</f>
        <v>0</v>
      </c>
      <c r="AN59" s="55">
        <f>_xll.EQNXTDZ($A$1,$B59,AN$5,$B$1)</f>
        <v>-18680.400000000001</v>
      </c>
      <c r="AO59" s="55">
        <f>_xll.EQNXTDZ($A$1,$B59,AO$5,$B$1)</f>
        <v>0</v>
      </c>
      <c r="AP59" s="55">
        <f>_xll.EQNXTDZ($A$1,$B59,AP$5,$B$1)</f>
        <v>-18832.48</v>
      </c>
      <c r="AQ59" s="55">
        <f>_xll.EQNXTDZ($A$1,$B59,AQ$5,$B$1)</f>
        <v>0</v>
      </c>
      <c r="AR59" s="55">
        <f>_xll.EQNXTDZ($A$1,$B59,AR$5,$B$1)</f>
        <v>-18560.060000000001</v>
      </c>
      <c r="AS59" s="55">
        <f>_xll.EQNXTDZ($A$1,$B59,AS$5,$B$1)</f>
        <v>0</v>
      </c>
      <c r="AT59" s="55">
        <f>_xll.EQNXTDZ($A$1,$B59,AT$5,$B$1)</f>
        <v>-19054.53</v>
      </c>
      <c r="AU59" s="55">
        <f>_xll.EQNXTDZ($A$1,$B59,AU$5,$B$1)</f>
        <v>0</v>
      </c>
      <c r="AV59" s="55">
        <f>_xll.EQNXTDZ($A$1,$B59,AV$5,$B$1)</f>
        <v>-19143.13</v>
      </c>
      <c r="AW59" s="55">
        <f>_xll.EQNXTDZ($A$1,$B59,AW$5,$B$1)</f>
        <v>0</v>
      </c>
      <c r="AX59" s="55">
        <f>_xll.EQNXTDZ($A$1,$B59,AX$5,$B$1)</f>
        <v>-19252.95</v>
      </c>
      <c r="AY59" s="55">
        <f>_xll.EQNXTDZ($A$1,$B59,AY$5,$B$1)</f>
        <v>0</v>
      </c>
      <c r="AZ59" s="55">
        <f>_xll.EQNXTDZ($A$1,$B59,AZ$5,$B$1)</f>
        <v>-19012.689999999999</v>
      </c>
      <c r="BA59" s="55">
        <f>_xll.EQNXTDZ($A$1,$B59,BA$5,$B$1)</f>
        <v>0</v>
      </c>
      <c r="BB59" s="55">
        <f>_xll.EQNXTDZ($A$1,$B59,BB$5,$B$1)</f>
        <v>-19570.29</v>
      </c>
      <c r="BC59" s="55">
        <f>_xll.EQNXTDZ($A$1,$B59,BC$5,$B$1)</f>
        <v>0</v>
      </c>
      <c r="BD59" s="55">
        <f>_xll.EQNXTDZ($A$1,$B59,BD$5,$B$1)</f>
        <v>-19744.47</v>
      </c>
      <c r="BE59" s="55">
        <f>_xll.EQNXTDZ($A$1,$B59,BE$5,$B$1)</f>
        <v>0</v>
      </c>
      <c r="BF59" s="55">
        <f>_xll.EQNXTDZ($A$1,$B59,BF$5,$B$1)</f>
        <v>-19983.38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4705.22</v>
      </c>
      <c r="E61" s="55">
        <f>_xll.EQNXTDZ($A$1,$B61,E$5,$B$1)</f>
        <v>0</v>
      </c>
      <c r="F61" s="55">
        <f>_xll.EQNXTDZ($A$1,$B61,F$5,$B$1)</f>
        <v>4897</v>
      </c>
      <c r="G61" s="55">
        <f>_xll.EQNXTDZ($A$1,$B61,G$5,$B$1)</f>
        <v>0</v>
      </c>
      <c r="H61" s="55">
        <f>_xll.EQNXTDZ($A$1,$B61,H$5,$B$1)</f>
        <v>5098.8100000000004</v>
      </c>
      <c r="I61" s="55">
        <f>_xll.EQNXTDZ($A$1,$B61,I$5,$B$1)</f>
        <v>0</v>
      </c>
      <c r="J61" s="55">
        <f>_xll.EQNXTDZ($A$1,$B61,J$5,$B$1)</f>
        <v>4713.79</v>
      </c>
      <c r="K61" s="55">
        <f>_xll.EQNXTDZ($A$1,$B61,K$5,$B$1)</f>
        <v>0</v>
      </c>
      <c r="L61" s="55">
        <f>_xll.EQNXTDZ($A$1,$B61,L$5,$B$1)</f>
        <v>4603.26</v>
      </c>
      <c r="M61" s="55">
        <f>_xll.EQNXTDZ($A$1,$B61,M$5,$B$1)</f>
        <v>0</v>
      </c>
      <c r="N61" s="55">
        <f>_xll.EQNXTDZ($A$1,$B61,N$5,$B$1)</f>
        <v>5009.8500000000004</v>
      </c>
      <c r="O61" s="55">
        <f>_xll.EQNXTDZ($A$1,$B61,O$5,$B$1)</f>
        <v>0</v>
      </c>
      <c r="P61" s="55">
        <f>_xll.EQNXTDZ($A$1,$B61,P$5,$B$1)</f>
        <v>8502.5300000000007</v>
      </c>
      <c r="Q61" s="55">
        <f>_xll.EQNXTDZ($A$1,$B61,Q$5,$B$1)</f>
        <v>0</v>
      </c>
      <c r="R61" s="55">
        <f>_xll.EQNXTDZ($A$1,$B61,R$5,$B$1)</f>
        <v>7245.35</v>
      </c>
      <c r="S61" s="55">
        <f>_xll.EQNXTDZ($A$1,$B61,S$5,$B$1)</f>
        <v>0</v>
      </c>
      <c r="T61" s="55">
        <f>_xll.EQNXTDZ($A$1,$B61,T$5,$B$1)</f>
        <v>8671.36</v>
      </c>
      <c r="U61" s="55">
        <f>_xll.EQNXTDZ($A$1,$B61,U$5,$B$1)</f>
        <v>0</v>
      </c>
      <c r="V61" s="55">
        <f>_xll.EQNXTDZ($A$1,$B61,V$5,$B$1)</f>
        <v>10662.42</v>
      </c>
      <c r="W61" s="55">
        <f>_xll.EQNXTDZ($A$1,$B61,W$5,$B$1)</f>
        <v>0</v>
      </c>
      <c r="X61" s="55">
        <f>_xll.EQNXTDZ($A$1,$B61,X$5,$B$1)</f>
        <v>10720.9</v>
      </c>
      <c r="Y61" s="55">
        <f>_xll.EQNXTDZ($A$1,$B61,Y$5,$B$1)</f>
        <v>0</v>
      </c>
      <c r="Z61" s="55">
        <f>_xll.EQNXTDZ($A$1,$B61,Z$5,$B$1)</f>
        <v>7862.21</v>
      </c>
      <c r="AA61" s="55">
        <f>_xll.EQNXTDZ($A$1,$B61,AA$5,$B$1)</f>
        <v>0</v>
      </c>
      <c r="AB61" s="55">
        <f>_xll.EQNXTDZ($A$1,$B61,AB$5,$B$1)</f>
        <v>8564.2000000000007</v>
      </c>
      <c r="AC61" s="55">
        <f>_xll.EQNXTDZ($A$1,$B61,AC$5,$B$1)</f>
        <v>0</v>
      </c>
      <c r="AD61" s="55">
        <f>_xll.EQNXTDZ($A$1,$B61,AD$5,$B$1)</f>
        <v>5708.33</v>
      </c>
      <c r="AE61" s="55">
        <f>_xll.EQNXTDZ($A$1,$B61,AE$5,$B$1)</f>
        <v>0</v>
      </c>
      <c r="AF61" s="55">
        <f>_xll.EQNXTDZ($A$1,$B61,AF$5,$B$1)</f>
        <v>8458.56</v>
      </c>
      <c r="AG61" s="55">
        <f>_xll.EQNXTDZ($A$1,$B61,AG$5,$B$1)</f>
        <v>0</v>
      </c>
      <c r="AH61" s="55">
        <f>_xll.EQNXTDZ($A$1,$B61,AH$5,$B$1)</f>
        <v>6138.44</v>
      </c>
      <c r="AI61" s="55">
        <f>_xll.EQNXTDZ($A$1,$B61,AI$5,$B$1)</f>
        <v>0</v>
      </c>
      <c r="AJ61" s="55">
        <f>_xll.EQNXTDZ($A$1,$B61,AJ$5,$B$1)</f>
        <v>10277.85</v>
      </c>
      <c r="AK61" s="55">
        <f>_xll.EQNXTDZ($A$1,$B61,AK$5,$B$1)</f>
        <v>0</v>
      </c>
      <c r="AL61" s="55">
        <f>_xll.EQNXTDZ($A$1,$B61,AL$5,$B$1)</f>
        <v>9868.86</v>
      </c>
      <c r="AM61" s="55">
        <f>_xll.EQNXTDZ($A$1,$B61,AM$5,$B$1)</f>
        <v>0</v>
      </c>
      <c r="AN61" s="55">
        <f>_xll.EQNXTDZ($A$1,$B61,AN$5,$B$1)</f>
        <v>8039.62</v>
      </c>
      <c r="AO61" s="55">
        <f>_xll.EQNXTDZ($A$1,$B61,AO$5,$B$1)</f>
        <v>0</v>
      </c>
      <c r="AP61" s="55">
        <f>_xll.EQNXTDZ($A$1,$B61,AP$5,$B$1)</f>
        <v>10710.81</v>
      </c>
      <c r="AQ61" s="55">
        <f>_xll.EQNXTDZ($A$1,$B61,AQ$5,$B$1)</f>
        <v>0</v>
      </c>
      <c r="AR61" s="55">
        <f>_xll.EQNXTDZ($A$1,$B61,AR$5,$B$1)</f>
        <v>13482.55</v>
      </c>
      <c r="AS61" s="55">
        <f>_xll.EQNXTDZ($A$1,$B61,AS$5,$B$1)</f>
        <v>0</v>
      </c>
      <c r="AT61" s="55">
        <f>_xll.EQNXTDZ($A$1,$B61,AT$5,$B$1)</f>
        <v>10027.120000000001</v>
      </c>
      <c r="AU61" s="55">
        <f>_xll.EQNXTDZ($A$1,$B61,AU$5,$B$1)</f>
        <v>0</v>
      </c>
      <c r="AV61" s="55">
        <f>_xll.EQNXTDZ($A$1,$B61,AV$5,$B$1)</f>
        <v>7900.45</v>
      </c>
      <c r="AW61" s="55">
        <f>_xll.EQNXTDZ($A$1,$B61,AW$5,$B$1)</f>
        <v>0</v>
      </c>
      <c r="AX61" s="55">
        <f>_xll.EQNXTDZ($A$1,$B61,AX$5,$B$1)</f>
        <v>12956.64</v>
      </c>
      <c r="AY61" s="55">
        <f>_xll.EQNXTDZ($A$1,$B61,AY$5,$B$1)</f>
        <v>0</v>
      </c>
      <c r="AZ61" s="55">
        <f>_xll.EQNXTDZ($A$1,$B61,AZ$5,$B$1)</f>
        <v>14355.95</v>
      </c>
      <c r="BA61" s="55">
        <f>_xll.EQNXTDZ($A$1,$B61,BA$5,$B$1)</f>
        <v>0</v>
      </c>
      <c r="BB61" s="55">
        <f>_xll.EQNXTDZ($A$1,$B61,BB$5,$B$1)</f>
        <v>10865.08</v>
      </c>
      <c r="BC61" s="55">
        <f>_xll.EQNXTDZ($A$1,$B61,BC$5,$B$1)</f>
        <v>0</v>
      </c>
      <c r="BD61" s="55">
        <f>_xll.EQNXTDZ($A$1,$B61,BD$5,$B$1)</f>
        <v>9608.7199999999993</v>
      </c>
      <c r="BE61" s="55">
        <f>_xll.EQNXTDZ($A$1,$B61,BE$5,$B$1)</f>
        <v>0</v>
      </c>
      <c r="BF61" s="55">
        <f>_xll.EQNXTDZ($A$1,$B61,BF$5,$B$1)</f>
        <v>2919.77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4705.22</v>
      </c>
      <c r="E63" s="55">
        <f>_xll.EQNXTDZ($A$1,$B63,E$5,$B$1)</f>
        <v>0</v>
      </c>
      <c r="F63" s="55">
        <f>_xll.EQNXTDZ($A$1,$B63,F$5,$B$1)</f>
        <v>4897</v>
      </c>
      <c r="G63" s="55">
        <f>_xll.EQNXTDZ($A$1,$B63,G$5,$B$1)</f>
        <v>0</v>
      </c>
      <c r="H63" s="55">
        <f>_xll.EQNXTDZ($A$1,$B63,H$5,$B$1)</f>
        <v>5098.8100000000004</v>
      </c>
      <c r="I63" s="55">
        <f>_xll.EQNXTDZ($A$1,$B63,I$5,$B$1)</f>
        <v>0</v>
      </c>
      <c r="J63" s="55">
        <f>_xll.EQNXTDZ($A$1,$B63,J$5,$B$1)</f>
        <v>4713.79</v>
      </c>
      <c r="K63" s="55">
        <f>_xll.EQNXTDZ($A$1,$B63,K$5,$B$1)</f>
        <v>0</v>
      </c>
      <c r="L63" s="55">
        <f>_xll.EQNXTDZ($A$1,$B63,L$5,$B$1)</f>
        <v>4603.26</v>
      </c>
      <c r="M63" s="55">
        <f>_xll.EQNXTDZ($A$1,$B63,M$5,$B$1)</f>
        <v>0</v>
      </c>
      <c r="N63" s="55">
        <f>_xll.EQNXTDZ($A$1,$B63,N$5,$B$1)</f>
        <v>5009.8500000000004</v>
      </c>
      <c r="O63" s="55">
        <f>_xll.EQNXTDZ($A$1,$B63,O$5,$B$1)</f>
        <v>0</v>
      </c>
      <c r="P63" s="55">
        <f>_xll.EQNXTDZ($A$1,$B63,P$5,$B$1)</f>
        <v>8502.5300000000007</v>
      </c>
      <c r="Q63" s="55">
        <f>_xll.EQNXTDZ($A$1,$B63,Q$5,$B$1)</f>
        <v>0</v>
      </c>
      <c r="R63" s="55">
        <f>_xll.EQNXTDZ($A$1,$B63,R$5,$B$1)</f>
        <v>7245.35</v>
      </c>
      <c r="S63" s="55">
        <f>_xll.EQNXTDZ($A$1,$B63,S$5,$B$1)</f>
        <v>0</v>
      </c>
      <c r="T63" s="55">
        <f>_xll.EQNXTDZ($A$1,$B63,T$5,$B$1)</f>
        <v>8671.36</v>
      </c>
      <c r="U63" s="55">
        <f>_xll.EQNXTDZ($A$1,$B63,U$5,$B$1)</f>
        <v>0</v>
      </c>
      <c r="V63" s="55">
        <f>_xll.EQNXTDZ($A$1,$B63,V$5,$B$1)</f>
        <v>10662.42</v>
      </c>
      <c r="W63" s="55">
        <f>_xll.EQNXTDZ($A$1,$B63,W$5,$B$1)</f>
        <v>0</v>
      </c>
      <c r="X63" s="55">
        <f>_xll.EQNXTDZ($A$1,$B63,X$5,$B$1)</f>
        <v>10720.9</v>
      </c>
      <c r="Y63" s="55">
        <f>_xll.EQNXTDZ($A$1,$B63,Y$5,$B$1)</f>
        <v>0</v>
      </c>
      <c r="Z63" s="55">
        <f>_xll.EQNXTDZ($A$1,$B63,Z$5,$B$1)</f>
        <v>7862.21</v>
      </c>
      <c r="AA63" s="55">
        <f>_xll.EQNXTDZ($A$1,$B63,AA$5,$B$1)</f>
        <v>0</v>
      </c>
      <c r="AB63" s="55">
        <f>_xll.EQNXTDZ($A$1,$B63,AB$5,$B$1)</f>
        <v>8564.2000000000007</v>
      </c>
      <c r="AC63" s="55">
        <f>_xll.EQNXTDZ($A$1,$B63,AC$5,$B$1)</f>
        <v>0</v>
      </c>
      <c r="AD63" s="55">
        <f>_xll.EQNXTDZ($A$1,$B63,AD$5,$B$1)</f>
        <v>5708.33</v>
      </c>
      <c r="AE63" s="55">
        <f>_xll.EQNXTDZ($A$1,$B63,AE$5,$B$1)</f>
        <v>0</v>
      </c>
      <c r="AF63" s="55">
        <f>_xll.EQNXTDZ($A$1,$B63,AF$5,$B$1)</f>
        <v>8458.56</v>
      </c>
      <c r="AG63" s="55">
        <f>_xll.EQNXTDZ($A$1,$B63,AG$5,$B$1)</f>
        <v>0</v>
      </c>
      <c r="AH63" s="55">
        <f>_xll.EQNXTDZ($A$1,$B63,AH$5,$B$1)</f>
        <v>6138.44</v>
      </c>
      <c r="AI63" s="55">
        <f>_xll.EQNXTDZ($A$1,$B63,AI$5,$B$1)</f>
        <v>0</v>
      </c>
      <c r="AJ63" s="55">
        <f>_xll.EQNXTDZ($A$1,$B63,AJ$5,$B$1)</f>
        <v>10277.85</v>
      </c>
      <c r="AK63" s="55">
        <f>_xll.EQNXTDZ($A$1,$B63,AK$5,$B$1)</f>
        <v>0</v>
      </c>
      <c r="AL63" s="55">
        <f>_xll.EQNXTDZ($A$1,$B63,AL$5,$B$1)</f>
        <v>9868.86</v>
      </c>
      <c r="AM63" s="55">
        <f>_xll.EQNXTDZ($A$1,$B63,AM$5,$B$1)</f>
        <v>0</v>
      </c>
      <c r="AN63" s="55">
        <f>_xll.EQNXTDZ($A$1,$B63,AN$5,$B$1)</f>
        <v>8039.62</v>
      </c>
      <c r="AO63" s="55">
        <f>_xll.EQNXTDZ($A$1,$B63,AO$5,$B$1)</f>
        <v>0</v>
      </c>
      <c r="AP63" s="55">
        <f>_xll.EQNXTDZ($A$1,$B63,AP$5,$B$1)</f>
        <v>10710.81</v>
      </c>
      <c r="AQ63" s="55">
        <f>_xll.EQNXTDZ($A$1,$B63,AQ$5,$B$1)</f>
        <v>0</v>
      </c>
      <c r="AR63" s="55">
        <f>_xll.EQNXTDZ($A$1,$B63,AR$5,$B$1)</f>
        <v>13482.55</v>
      </c>
      <c r="AS63" s="55">
        <f>_xll.EQNXTDZ($A$1,$B63,AS$5,$B$1)</f>
        <v>0</v>
      </c>
      <c r="AT63" s="55">
        <f>_xll.EQNXTDZ($A$1,$B63,AT$5,$B$1)</f>
        <v>10027.120000000001</v>
      </c>
      <c r="AU63" s="55">
        <f>_xll.EQNXTDZ($A$1,$B63,AU$5,$B$1)</f>
        <v>0</v>
      </c>
      <c r="AV63" s="55">
        <f>_xll.EQNXTDZ($A$1,$B63,AV$5,$B$1)</f>
        <v>7900.45</v>
      </c>
      <c r="AW63" s="55">
        <f>_xll.EQNXTDZ($A$1,$B63,AW$5,$B$1)</f>
        <v>0</v>
      </c>
      <c r="AX63" s="55">
        <f>_xll.EQNXTDZ($A$1,$B63,AX$5,$B$1)</f>
        <v>12956.64</v>
      </c>
      <c r="AY63" s="55">
        <f>_xll.EQNXTDZ($A$1,$B63,AY$5,$B$1)</f>
        <v>0</v>
      </c>
      <c r="AZ63" s="55">
        <f>_xll.EQNXTDZ($A$1,$B63,AZ$5,$B$1)</f>
        <v>14355.95</v>
      </c>
      <c r="BA63" s="55">
        <f>_xll.EQNXTDZ($A$1,$B63,BA$5,$B$1)</f>
        <v>0</v>
      </c>
      <c r="BB63" s="55">
        <f>_xll.EQNXTDZ($A$1,$B63,BB$5,$B$1)</f>
        <v>10865.08</v>
      </c>
      <c r="BC63" s="55">
        <f>_xll.EQNXTDZ($A$1,$B63,BC$5,$B$1)</f>
        <v>0</v>
      </c>
      <c r="BD63" s="55">
        <f>_xll.EQNXTDZ($A$1,$B63,BD$5,$B$1)</f>
        <v>9608.7199999999993</v>
      </c>
      <c r="BE63" s="55">
        <f>_xll.EQNXTDZ($A$1,$B63,BE$5,$B$1)</f>
        <v>0</v>
      </c>
      <c r="BF63" s="55">
        <f>_xll.EQNXTDZ($A$1,$B63,BF$5,$B$1)</f>
        <v>2919.77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180.88</v>
      </c>
      <c r="E64" s="55">
        <f>_xll.EQNXTDZ($A$1,$B64,E$5,$B$1)</f>
        <v>0</v>
      </c>
      <c r="F64" s="55">
        <f>_xll.EQNXTDZ($A$1,$B64,F$5,$B$1)</f>
        <v>66.86</v>
      </c>
      <c r="G64" s="55">
        <f>_xll.EQNXTDZ($A$1,$B64,G$5,$B$1)</f>
        <v>0</v>
      </c>
      <c r="H64" s="55">
        <f>_xll.EQNXTDZ($A$1,$B64,H$5,$B$1)</f>
        <v>48.42</v>
      </c>
      <c r="I64" s="55">
        <f>_xll.EQNXTDZ($A$1,$B64,I$5,$B$1)</f>
        <v>0</v>
      </c>
      <c r="J64" s="55">
        <f>_xll.EQNXTDZ($A$1,$B64,J$5,$B$1)</f>
        <v>22.63</v>
      </c>
      <c r="K64" s="55">
        <f>_xll.EQNXTDZ($A$1,$B64,K$5,$B$1)</f>
        <v>0</v>
      </c>
      <c r="L64" s="55">
        <f>_xll.EQNXTDZ($A$1,$B64,L$5,$B$1)</f>
        <v>24.63</v>
      </c>
      <c r="M64" s="55">
        <f>_xll.EQNXTDZ($A$1,$B64,M$5,$B$1)</f>
        <v>0</v>
      </c>
      <c r="N64" s="55">
        <f>_xll.EQNXTDZ($A$1,$B64,N$5,$B$1)</f>
        <v>11.77</v>
      </c>
      <c r="O64" s="55">
        <f>_xll.EQNXTDZ($A$1,$B64,O$5,$B$1)</f>
        <v>0</v>
      </c>
      <c r="P64" s="55">
        <f>_xll.EQNXTDZ($A$1,$B64,P$5,$B$1)</f>
        <v>143.91</v>
      </c>
      <c r="Q64" s="55">
        <f>_xll.EQNXTDZ($A$1,$B64,Q$5,$B$1)</f>
        <v>0</v>
      </c>
      <c r="R64" s="55">
        <f>_xll.EQNXTDZ($A$1,$B64,R$5,$B$1)</f>
        <v>280.82</v>
      </c>
      <c r="S64" s="55">
        <f>_xll.EQNXTDZ($A$1,$B64,S$5,$B$1)</f>
        <v>0</v>
      </c>
      <c r="T64" s="55">
        <f>_xll.EQNXTDZ($A$1,$B64,T$5,$B$1)</f>
        <v>444.19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122.96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20.49</v>
      </c>
      <c r="AE64" s="55">
        <f>_xll.EQNXTDZ($A$1,$B64,AE$5,$B$1)</f>
        <v>0</v>
      </c>
      <c r="AF64" s="55">
        <f>_xll.EQNXTDZ($A$1,$B64,AF$5,$B$1)</f>
        <v>187.99</v>
      </c>
      <c r="AG64" s="55">
        <f>_xll.EQNXTDZ($A$1,$B64,AG$5,$B$1)</f>
        <v>0</v>
      </c>
      <c r="AH64" s="55">
        <f>_xll.EQNXTDZ($A$1,$B64,AH$5,$B$1)</f>
        <v>172.97</v>
      </c>
      <c r="AI64" s="55">
        <f>_xll.EQNXTDZ($A$1,$B64,AI$5,$B$1)</f>
        <v>0</v>
      </c>
      <c r="AJ64" s="55">
        <f>_xll.EQNXTDZ($A$1,$B64,AJ$5,$B$1)</f>
        <v>138.84</v>
      </c>
      <c r="AK64" s="55">
        <f>_xll.EQNXTDZ($A$1,$B64,AK$5,$B$1)</f>
        <v>0</v>
      </c>
      <c r="AL64" s="55">
        <f>_xll.EQNXTDZ($A$1,$B64,AL$5,$B$1)</f>
        <v>119.23</v>
      </c>
      <c r="AM64" s="55">
        <f>_xll.EQNXTDZ($A$1,$B64,AM$5,$B$1)</f>
        <v>0</v>
      </c>
      <c r="AN64" s="55">
        <f>_xll.EQNXTDZ($A$1,$B64,AN$5,$B$1)</f>
        <v>83.14</v>
      </c>
      <c r="AO64" s="55">
        <f>_xll.EQNXTDZ($A$1,$B64,AO$5,$B$1)</f>
        <v>0</v>
      </c>
      <c r="AP64" s="55">
        <f>_xll.EQNXTDZ($A$1,$B64,AP$5,$B$1)</f>
        <v>62.34</v>
      </c>
      <c r="AQ64" s="55">
        <f>_xll.EQNXTDZ($A$1,$B64,AQ$5,$B$1)</f>
        <v>0</v>
      </c>
      <c r="AR64" s="55">
        <f>_xll.EQNXTDZ($A$1,$B64,AR$5,$B$1)</f>
        <v>37.72</v>
      </c>
      <c r="AS64" s="55">
        <f>_xll.EQNXTDZ($A$1,$B64,AS$5,$B$1)</f>
        <v>0</v>
      </c>
      <c r="AT64" s="55">
        <f>_xll.EQNXTDZ($A$1,$B64,AT$5,$B$1)</f>
        <v>15.54</v>
      </c>
      <c r="AU64" s="55">
        <f>_xll.EQNXTDZ($A$1,$B64,AU$5,$B$1)</f>
        <v>0</v>
      </c>
      <c r="AV64" s="55">
        <f>_xll.EQNXTDZ($A$1,$B64,AV$5,$B$1)</f>
        <v>13.72</v>
      </c>
      <c r="AW64" s="55">
        <f>_xll.EQNXTDZ($A$1,$B64,AW$5,$B$1)</f>
        <v>0</v>
      </c>
      <c r="AX64" s="55">
        <f>_xll.EQNXTDZ($A$1,$B64,AX$5,$B$1)</f>
        <v>65.59</v>
      </c>
      <c r="AY64" s="55">
        <f>_xll.EQNXTDZ($A$1,$B64,AY$5,$B$1)</f>
        <v>0</v>
      </c>
      <c r="AZ64" s="55">
        <f>_xll.EQNXTDZ($A$1,$B64,AZ$5,$B$1)</f>
        <v>55.83</v>
      </c>
      <c r="BA64" s="55">
        <f>_xll.EQNXTDZ($A$1,$B64,BA$5,$B$1)</f>
        <v>0</v>
      </c>
      <c r="BB64" s="55">
        <f>_xll.EQNXTDZ($A$1,$B64,BB$5,$B$1)</f>
        <v>51.21</v>
      </c>
      <c r="BC64" s="55">
        <f>_xll.EQNXTDZ($A$1,$B64,BC$5,$B$1)</f>
        <v>0</v>
      </c>
      <c r="BD64" s="55">
        <f>_xll.EQNXTDZ($A$1,$B64,BD$5,$B$1)</f>
        <v>75.430000000000007</v>
      </c>
      <c r="BE64" s="55">
        <f>_xll.EQNXTDZ($A$1,$B64,BE$5,$B$1)</f>
        <v>0</v>
      </c>
      <c r="BF64" s="55">
        <f>_xll.EQNXTDZ($A$1,$B64,BF$5,$B$1)</f>
        <v>215.31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5.16</v>
      </c>
      <c r="E66" s="55">
        <f>_xll.EQNXTDZ($A$1,$B66,E$5,$B$1)</f>
        <v>0</v>
      </c>
      <c r="F66" s="55">
        <f>_xll.EQNXTDZ($A$1,$B66,F$5,$B$1)</f>
        <v>5.15</v>
      </c>
      <c r="G66" s="55">
        <f>_xll.EQNXTDZ($A$1,$B66,G$5,$B$1)</f>
        <v>0</v>
      </c>
      <c r="H66" s="55">
        <f>_xll.EQNXTDZ($A$1,$B66,H$5,$B$1)</f>
        <v>4.95</v>
      </c>
      <c r="I66" s="55">
        <f>_xll.EQNXTDZ($A$1,$B66,I$5,$B$1)</f>
        <v>0</v>
      </c>
      <c r="J66" s="55">
        <f>_xll.EQNXTDZ($A$1,$B66,J$5,$B$1)</f>
        <v>4.22</v>
      </c>
      <c r="K66" s="55">
        <f>_xll.EQNXTDZ($A$1,$B66,K$5,$B$1)</f>
        <v>0</v>
      </c>
      <c r="L66" s="55">
        <f>_xll.EQNXTDZ($A$1,$B66,L$5,$B$1)</f>
        <v>4.49</v>
      </c>
      <c r="M66" s="55">
        <f>_xll.EQNXTDZ($A$1,$B66,M$5,$B$1)</f>
        <v>0</v>
      </c>
      <c r="N66" s="55">
        <f>_xll.EQNXTDZ($A$1,$B66,N$5,$B$1)</f>
        <v>4.33</v>
      </c>
      <c r="O66" s="55">
        <f>_xll.EQNXTDZ($A$1,$B66,O$5,$B$1)</f>
        <v>0</v>
      </c>
      <c r="P66" s="55">
        <f>_xll.EQNXTDZ($A$1,$B66,P$5,$B$1)</f>
        <v>3.98</v>
      </c>
      <c r="Q66" s="55">
        <f>_xll.EQNXTDZ($A$1,$B66,Q$5,$B$1)</f>
        <v>0</v>
      </c>
      <c r="R66" s="55">
        <f>_xll.EQNXTDZ($A$1,$B66,R$5,$B$1)</f>
        <v>3.26</v>
      </c>
      <c r="S66" s="55">
        <f>_xll.EQNXTDZ($A$1,$B66,S$5,$B$1)</f>
        <v>0</v>
      </c>
      <c r="T66" s="55">
        <f>_xll.EQNXTDZ($A$1,$B66,T$5,$B$1)</f>
        <v>3.62</v>
      </c>
      <c r="U66" s="55">
        <f>_xll.EQNXTDZ($A$1,$B66,U$5,$B$1)</f>
        <v>0</v>
      </c>
      <c r="V66" s="55">
        <f>_xll.EQNXTDZ($A$1,$B66,V$5,$B$1)</f>
        <v>1.58</v>
      </c>
      <c r="W66" s="55">
        <f>_xll.EQNXTDZ($A$1,$B66,W$5,$B$1)</f>
        <v>0</v>
      </c>
      <c r="X66" s="55">
        <f>_xll.EQNXTDZ($A$1,$B66,X$5,$B$1)</f>
        <v>1.65</v>
      </c>
      <c r="Y66" s="55">
        <f>_xll.EQNXTDZ($A$1,$B66,Y$5,$B$1)</f>
        <v>0</v>
      </c>
      <c r="Z66" s="55">
        <f>_xll.EQNXTDZ($A$1,$B66,Z$5,$B$1)</f>
        <v>124.21</v>
      </c>
      <c r="AA66" s="55">
        <f>_xll.EQNXTDZ($A$1,$B66,AA$5,$B$1)</f>
        <v>0</v>
      </c>
      <c r="AB66" s="55">
        <f>_xll.EQNXTDZ($A$1,$B66,AB$5,$B$1)</f>
        <v>139.55000000000001</v>
      </c>
      <c r="AC66" s="55">
        <f>_xll.EQNXTDZ($A$1,$B66,AC$5,$B$1)</f>
        <v>0</v>
      </c>
      <c r="AD66" s="55">
        <f>_xll.EQNXTDZ($A$1,$B66,AD$5,$B$1)</f>
        <v>1.86</v>
      </c>
      <c r="AE66" s="55">
        <f>_xll.EQNXTDZ($A$1,$B66,AE$5,$B$1)</f>
        <v>0</v>
      </c>
      <c r="AF66" s="55">
        <f>_xll.EQNXTDZ($A$1,$B66,AF$5,$B$1)</f>
        <v>1.92</v>
      </c>
      <c r="AG66" s="55">
        <f>_xll.EQNXTDZ($A$1,$B66,AG$5,$B$1)</f>
        <v>0</v>
      </c>
      <c r="AH66" s="55">
        <f>_xll.EQNXTDZ($A$1,$B66,AH$5,$B$1)</f>
        <v>4.57</v>
      </c>
      <c r="AI66" s="55">
        <f>_xll.EQNXTDZ($A$1,$B66,AI$5,$B$1)</f>
        <v>0</v>
      </c>
      <c r="AJ66" s="55">
        <f>_xll.EQNXTDZ($A$1,$B66,AJ$5,$B$1)</f>
        <v>0.81</v>
      </c>
      <c r="AK66" s="55">
        <f>_xll.EQNXTDZ($A$1,$B66,AK$5,$B$1)</f>
        <v>0</v>
      </c>
      <c r="AL66" s="55">
        <f>_xll.EQNXTDZ($A$1,$B66,AL$5,$B$1)</f>
        <v>2.75</v>
      </c>
      <c r="AM66" s="55">
        <f>_xll.EQNXTDZ($A$1,$B66,AM$5,$B$1)</f>
        <v>0</v>
      </c>
      <c r="AN66" s="55">
        <f>_xll.EQNXTDZ($A$1,$B66,AN$5,$B$1)</f>
        <v>3.06</v>
      </c>
      <c r="AO66" s="55">
        <f>_xll.EQNXTDZ($A$1,$B66,AO$5,$B$1)</f>
        <v>0</v>
      </c>
      <c r="AP66" s="55">
        <f>_xll.EQNXTDZ($A$1,$B66,AP$5,$B$1)</f>
        <v>0.46</v>
      </c>
      <c r="AQ66" s="55">
        <f>_xll.EQNXTDZ($A$1,$B66,AQ$5,$B$1)</f>
        <v>0</v>
      </c>
      <c r="AR66" s="55">
        <f>_xll.EQNXTDZ($A$1,$B66,AR$5,$B$1)</f>
        <v>0.78</v>
      </c>
      <c r="AS66" s="55">
        <f>_xll.EQNXTDZ($A$1,$B66,AS$5,$B$1)</f>
        <v>0</v>
      </c>
      <c r="AT66" s="55">
        <f>_xll.EQNXTDZ($A$1,$B66,AT$5,$B$1)</f>
        <v>1.22</v>
      </c>
      <c r="AU66" s="55">
        <f>_xll.EQNXTDZ($A$1,$B66,AU$5,$B$1)</f>
        <v>0</v>
      </c>
      <c r="AV66" s="55">
        <f>_xll.EQNXTDZ($A$1,$B66,AV$5,$B$1)</f>
        <v>2.0299999999999998</v>
      </c>
      <c r="AW66" s="55">
        <f>_xll.EQNXTDZ($A$1,$B66,AW$5,$B$1)</f>
        <v>0</v>
      </c>
      <c r="AX66" s="55">
        <f>_xll.EQNXTDZ($A$1,$B66,AX$5,$B$1)</f>
        <v>2.97</v>
      </c>
      <c r="AY66" s="55">
        <f>_xll.EQNXTDZ($A$1,$B66,AY$5,$B$1)</f>
        <v>0</v>
      </c>
      <c r="AZ66" s="55">
        <f>_xll.EQNXTDZ($A$1,$B66,AZ$5,$B$1)</f>
        <v>3.58</v>
      </c>
      <c r="BA66" s="55">
        <f>_xll.EQNXTDZ($A$1,$B66,BA$5,$B$1)</f>
        <v>0</v>
      </c>
      <c r="BB66" s="55">
        <f>_xll.EQNXTDZ($A$1,$B66,BB$5,$B$1)</f>
        <v>0.89</v>
      </c>
      <c r="BC66" s="55">
        <f>_xll.EQNXTDZ($A$1,$B66,BC$5,$B$1)</f>
        <v>0</v>
      </c>
      <c r="BD66" s="55">
        <f>_xll.EQNXTDZ($A$1,$B66,BD$5,$B$1)</f>
        <v>0.93</v>
      </c>
      <c r="BE66" s="55">
        <f>_xll.EQNXTDZ($A$1,$B66,BE$5,$B$1)</f>
        <v>0</v>
      </c>
      <c r="BF66" s="55">
        <f>_xll.EQNXTDZ($A$1,$B66,BF$5,$B$1)</f>
        <v>5.19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3410.91</v>
      </c>
      <c r="E67" s="55">
        <f>_xll.EQNXTDZ($A$1,$B67,E$5,$B$1)</f>
        <v>0</v>
      </c>
      <c r="F67" s="55">
        <f>_xll.EQNXTDZ($A$1,$B67,F$5,$B$1)</f>
        <v>3176.26</v>
      </c>
      <c r="G67" s="55">
        <f>_xll.EQNXTDZ($A$1,$B67,G$5,$B$1)</f>
        <v>0</v>
      </c>
      <c r="H67" s="55">
        <f>_xll.EQNXTDZ($A$1,$B67,H$5,$B$1)</f>
        <v>3067.31</v>
      </c>
      <c r="I67" s="55">
        <f>_xll.EQNXTDZ($A$1,$B67,I$5,$B$1)</f>
        <v>0</v>
      </c>
      <c r="J67" s="55">
        <f>_xll.EQNXTDZ($A$1,$B67,J$5,$B$1)</f>
        <v>2387.81</v>
      </c>
      <c r="K67" s="55">
        <f>_xll.EQNXTDZ($A$1,$B67,K$5,$B$1)</f>
        <v>0</v>
      </c>
      <c r="L67" s="55">
        <f>_xll.EQNXTDZ($A$1,$B67,L$5,$B$1)</f>
        <v>1997.26</v>
      </c>
      <c r="M67" s="55">
        <f>_xll.EQNXTDZ($A$1,$B67,M$5,$B$1)</f>
        <v>0</v>
      </c>
      <c r="N67" s="55">
        <f>_xll.EQNXTDZ($A$1,$B67,N$5,$B$1)</f>
        <v>2057.87</v>
      </c>
      <c r="O67" s="55">
        <f>_xll.EQNXTDZ($A$1,$B67,O$5,$B$1)</f>
        <v>0</v>
      </c>
      <c r="P67" s="55">
        <f>_xll.EQNXTDZ($A$1,$B67,P$5,$B$1)</f>
        <v>5423.36</v>
      </c>
      <c r="Q67" s="55">
        <f>_xll.EQNXTDZ($A$1,$B67,Q$5,$B$1)</f>
        <v>0</v>
      </c>
      <c r="R67" s="55">
        <f>_xll.EQNXTDZ($A$1,$B67,R$5,$B$1)</f>
        <v>3543.24</v>
      </c>
      <c r="S67" s="55">
        <f>_xll.EQNXTDZ($A$1,$B67,S$5,$B$1)</f>
        <v>0</v>
      </c>
      <c r="T67" s="55">
        <f>_xll.EQNXTDZ($A$1,$B67,T$5,$B$1)</f>
        <v>5086.71</v>
      </c>
      <c r="U67" s="55">
        <f>_xll.EQNXTDZ($A$1,$B67,U$5,$B$1)</f>
        <v>0</v>
      </c>
      <c r="V67" s="55">
        <f>_xll.EQNXTDZ($A$1,$B67,V$5,$B$1)</f>
        <v>4755.16</v>
      </c>
      <c r="W67" s="55">
        <f>_xll.EQNXTDZ($A$1,$B67,W$5,$B$1)</f>
        <v>0</v>
      </c>
      <c r="X67" s="55">
        <f>_xll.EQNXTDZ($A$1,$B67,X$5,$B$1)</f>
        <v>-3671.86</v>
      </c>
      <c r="Y67" s="55">
        <f>_xll.EQNXTDZ($A$1,$B67,Y$5,$B$1)</f>
        <v>0</v>
      </c>
      <c r="Z67" s="55">
        <f>_xll.EQNXTDZ($A$1,$B67,Z$5,$B$1)</f>
        <v>-7172.73</v>
      </c>
      <c r="AA67" s="55">
        <f>_xll.EQNXTDZ($A$1,$B67,AA$5,$B$1)</f>
        <v>0</v>
      </c>
      <c r="AB67" s="55">
        <f>_xll.EQNXTDZ($A$1,$B67,AB$5,$B$1)</f>
        <v>-6657.56</v>
      </c>
      <c r="AC67" s="55">
        <f>_xll.EQNXTDZ($A$1,$B67,AC$5,$B$1)</f>
        <v>0</v>
      </c>
      <c r="AD67" s="55">
        <f>_xll.EQNXTDZ($A$1,$B67,AD$5,$B$1)</f>
        <v>-9089.15</v>
      </c>
      <c r="AE67" s="55">
        <f>_xll.EQNXTDZ($A$1,$B67,AE$5,$B$1)</f>
        <v>0</v>
      </c>
      <c r="AF67" s="55">
        <f>_xll.EQNXTDZ($A$1,$B67,AF$5,$B$1)</f>
        <v>-7680.99</v>
      </c>
      <c r="AG67" s="55">
        <f>_xll.EQNXTDZ($A$1,$B67,AG$5,$B$1)</f>
        <v>0</v>
      </c>
      <c r="AH67" s="55">
        <f>_xll.EQNXTDZ($A$1,$B67,AH$5,$B$1)</f>
        <v>-11163.18</v>
      </c>
      <c r="AI67" s="55">
        <f>_xll.EQNXTDZ($A$1,$B67,AI$5,$B$1)</f>
        <v>0</v>
      </c>
      <c r="AJ67" s="55">
        <f>_xll.EQNXTDZ($A$1,$B67,AJ$5,$B$1)</f>
        <v>-7543.21</v>
      </c>
      <c r="AK67" s="55">
        <f>_xll.EQNXTDZ($A$1,$B67,AK$5,$B$1)</f>
        <v>0</v>
      </c>
      <c r="AL67" s="55">
        <f>_xll.EQNXTDZ($A$1,$B67,AL$5,$B$1)</f>
        <v>-8500.0400000000009</v>
      </c>
      <c r="AM67" s="55">
        <f>_xll.EQNXTDZ($A$1,$B67,AM$5,$B$1)</f>
        <v>0</v>
      </c>
      <c r="AN67" s="55">
        <f>_xll.EQNXTDZ($A$1,$B67,AN$5,$B$1)</f>
        <v>-10554.58</v>
      </c>
      <c r="AO67" s="55">
        <f>_xll.EQNXTDZ($A$1,$B67,AO$5,$B$1)</f>
        <v>0</v>
      </c>
      <c r="AP67" s="55">
        <f>_xll.EQNXTDZ($A$1,$B67,AP$5,$B$1)</f>
        <v>-8058.87</v>
      </c>
      <c r="AQ67" s="55">
        <f>_xll.EQNXTDZ($A$1,$B67,AQ$5,$B$1)</f>
        <v>0</v>
      </c>
      <c r="AR67" s="55">
        <f>_xll.EQNXTDZ($A$1,$B67,AR$5,$B$1)</f>
        <v>-5039.01</v>
      </c>
      <c r="AS67" s="55">
        <f>_xll.EQNXTDZ($A$1,$B67,AS$5,$B$1)</f>
        <v>0</v>
      </c>
      <c r="AT67" s="55">
        <f>_xll.EQNXTDZ($A$1,$B67,AT$5,$B$1)</f>
        <v>-9010.65</v>
      </c>
      <c r="AU67" s="55">
        <f>_xll.EQNXTDZ($A$1,$B67,AU$5,$B$1)</f>
        <v>0</v>
      </c>
      <c r="AV67" s="55">
        <f>_xll.EQNXTDZ($A$1,$B67,AV$5,$B$1)</f>
        <v>-11226.93</v>
      </c>
      <c r="AW67" s="55">
        <f>_xll.EQNXTDZ($A$1,$B67,AW$5,$B$1)</f>
        <v>0</v>
      </c>
      <c r="AX67" s="55">
        <f>_xll.EQNXTDZ($A$1,$B67,AX$5,$B$1)</f>
        <v>-6227.75</v>
      </c>
      <c r="AY67" s="55">
        <f>_xll.EQNXTDZ($A$1,$B67,AY$5,$B$1)</f>
        <v>0</v>
      </c>
      <c r="AZ67" s="55">
        <f>_xll.EQNXTDZ($A$1,$B67,AZ$5,$B$1)</f>
        <v>-4597.33</v>
      </c>
      <c r="BA67" s="55">
        <f>_xll.EQNXTDZ($A$1,$B67,BA$5,$B$1)</f>
        <v>0</v>
      </c>
      <c r="BB67" s="55">
        <f>_xll.EQNXTDZ($A$1,$B67,BB$5,$B$1)</f>
        <v>-8653.11</v>
      </c>
      <c r="BC67" s="55">
        <f>_xll.EQNXTDZ($A$1,$B67,BC$5,$B$1)</f>
        <v>0</v>
      </c>
      <c r="BD67" s="55">
        <f>_xll.EQNXTDZ($A$1,$B67,BD$5,$B$1)</f>
        <v>-10059.39</v>
      </c>
      <c r="BE67" s="55">
        <f>_xll.EQNXTDZ($A$1,$B67,BE$5,$B$1)</f>
        <v>0</v>
      </c>
      <c r="BF67" s="55">
        <f>_xll.EQNXTDZ($A$1,$B67,BF$5,$B$1)</f>
        <v>-16843.11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4948.76</v>
      </c>
      <c r="E68" s="55">
        <f>_xll.EQNXTDZ($A$1,$B68,E$5,$B$1)</f>
        <v>0</v>
      </c>
      <c r="F68" s="55">
        <f>_xll.EQNXTDZ($A$1,$B68,F$5,$B$1)</f>
        <v>4816.45</v>
      </c>
      <c r="G68" s="55">
        <f>_xll.EQNXTDZ($A$1,$B68,G$5,$B$1)</f>
        <v>0</v>
      </c>
      <c r="H68" s="55">
        <f>_xll.EQNXTDZ($A$1,$B68,H$5,$B$1)</f>
        <v>4906.8999999999996</v>
      </c>
      <c r="I68" s="55">
        <f>_xll.EQNXTDZ($A$1,$B68,I$5,$B$1)</f>
        <v>0</v>
      </c>
      <c r="J68" s="55">
        <f>_xll.EQNXTDZ($A$1,$B68,J$5,$B$1)</f>
        <v>4555.51</v>
      </c>
      <c r="K68" s="55">
        <f>_xll.EQNXTDZ($A$1,$B68,K$5,$B$1)</f>
        <v>0</v>
      </c>
      <c r="L68" s="55">
        <f>_xll.EQNXTDZ($A$1,$B68,L$5,$B$1)</f>
        <v>4381.6499999999996</v>
      </c>
      <c r="M68" s="55">
        <f>_xll.EQNXTDZ($A$1,$B68,M$5,$B$1)</f>
        <v>0</v>
      </c>
      <c r="N68" s="55">
        <f>_xll.EQNXTDZ($A$1,$B68,N$5,$B$1)</f>
        <v>4234.53</v>
      </c>
      <c r="O68" s="55">
        <f>_xll.EQNXTDZ($A$1,$B68,O$5,$B$1)</f>
        <v>0</v>
      </c>
      <c r="P68" s="55">
        <f>_xll.EQNXTDZ($A$1,$B68,P$5,$B$1)</f>
        <v>8106.89</v>
      </c>
      <c r="Q68" s="55">
        <f>_xll.EQNXTDZ($A$1,$B68,Q$5,$B$1)</f>
        <v>0</v>
      </c>
      <c r="R68" s="55">
        <f>_xll.EQNXTDZ($A$1,$B68,R$5,$B$1)</f>
        <v>5561.38</v>
      </c>
      <c r="S68" s="55">
        <f>_xll.EQNXTDZ($A$1,$B68,S$5,$B$1)</f>
        <v>0</v>
      </c>
      <c r="T68" s="55">
        <f>_xll.EQNXTDZ($A$1,$B68,T$5,$B$1)</f>
        <v>7727.05</v>
      </c>
      <c r="U68" s="55">
        <f>_xll.EQNXTDZ($A$1,$B68,U$5,$B$1)</f>
        <v>0</v>
      </c>
      <c r="V68" s="55">
        <f>_xll.EQNXTDZ($A$1,$B68,V$5,$B$1)</f>
        <v>7459.95</v>
      </c>
      <c r="W68" s="55">
        <f>_xll.EQNXTDZ($A$1,$B68,W$5,$B$1)</f>
        <v>0</v>
      </c>
      <c r="X68" s="55">
        <f>_xll.EQNXTDZ($A$1,$B68,X$5,$B$1)</f>
        <v>1858.07</v>
      </c>
      <c r="Y68" s="55">
        <f>_xll.EQNXTDZ($A$1,$B68,Y$5,$B$1)</f>
        <v>0</v>
      </c>
      <c r="Z68" s="55">
        <f>_xll.EQNXTDZ($A$1,$B68,Z$5,$B$1)</f>
        <v>846.93</v>
      </c>
      <c r="AA68" s="55">
        <f>_xll.EQNXTDZ($A$1,$B68,AA$5,$B$1)</f>
        <v>0</v>
      </c>
      <c r="AB68" s="55">
        <f>_xll.EQNXTDZ($A$1,$B68,AB$5,$B$1)</f>
        <v>800.07</v>
      </c>
      <c r="AC68" s="55">
        <f>_xll.EQNXTDZ($A$1,$B68,AC$5,$B$1)</f>
        <v>0</v>
      </c>
      <c r="AD68" s="55">
        <f>_xll.EQNXTDZ($A$1,$B68,AD$5,$B$1)</f>
        <v>718.07</v>
      </c>
      <c r="AE68" s="55">
        <f>_xll.EQNXTDZ($A$1,$B68,AE$5,$B$1)</f>
        <v>0</v>
      </c>
      <c r="AF68" s="55">
        <f>_xll.EQNXTDZ($A$1,$B68,AF$5,$B$1)</f>
        <v>906.55</v>
      </c>
      <c r="AG68" s="55">
        <f>_xll.EQNXTDZ($A$1,$B68,AG$5,$B$1)</f>
        <v>0</v>
      </c>
      <c r="AH68" s="55">
        <f>_xll.EQNXTDZ($A$1,$B68,AH$5,$B$1)</f>
        <v>680.32</v>
      </c>
      <c r="AI68" s="55">
        <f>_xll.EQNXTDZ($A$1,$B68,AI$5,$B$1)</f>
        <v>0</v>
      </c>
      <c r="AJ68" s="55">
        <f>_xll.EQNXTDZ($A$1,$B68,AJ$5,$B$1)</f>
        <v>662.57</v>
      </c>
      <c r="AK68" s="55">
        <f>_xll.EQNXTDZ($A$1,$B68,AK$5,$B$1)</f>
        <v>0</v>
      </c>
      <c r="AL68" s="55">
        <f>_xll.EQNXTDZ($A$1,$B68,AL$5,$B$1)</f>
        <v>678.91</v>
      </c>
      <c r="AM68" s="55">
        <f>_xll.EQNXTDZ($A$1,$B68,AM$5,$B$1)</f>
        <v>0</v>
      </c>
      <c r="AN68" s="55">
        <f>_xll.EQNXTDZ($A$1,$B68,AN$5,$B$1)</f>
        <v>657.86</v>
      </c>
      <c r="AO68" s="55">
        <f>_xll.EQNXTDZ($A$1,$B68,AO$5,$B$1)</f>
        <v>0</v>
      </c>
      <c r="AP68" s="55">
        <f>_xll.EQNXTDZ($A$1,$B68,AP$5,$B$1)</f>
        <v>677.58</v>
      </c>
      <c r="AQ68" s="55">
        <f>_xll.EQNXTDZ($A$1,$B68,AQ$5,$B$1)</f>
        <v>0</v>
      </c>
      <c r="AR68" s="55">
        <f>_xll.EQNXTDZ($A$1,$B68,AR$5,$B$1)</f>
        <v>671.68</v>
      </c>
      <c r="AS68" s="55">
        <f>_xll.EQNXTDZ($A$1,$B68,AS$5,$B$1)</f>
        <v>0</v>
      </c>
      <c r="AT68" s="55">
        <f>_xll.EQNXTDZ($A$1,$B68,AT$5,$B$1)</f>
        <v>680.89</v>
      </c>
      <c r="AU68" s="55">
        <f>_xll.EQNXTDZ($A$1,$B68,AU$5,$B$1)</f>
        <v>0</v>
      </c>
      <c r="AV68" s="55">
        <f>_xll.EQNXTDZ($A$1,$B68,AV$5,$B$1)</f>
        <v>673.25</v>
      </c>
      <c r="AW68" s="55">
        <f>_xll.EQNXTDZ($A$1,$B68,AW$5,$B$1)</f>
        <v>0</v>
      </c>
      <c r="AX68" s="55">
        <f>_xll.EQNXTDZ($A$1,$B68,AX$5,$B$1)</f>
        <v>662.34</v>
      </c>
      <c r="AY68" s="55">
        <f>_xll.EQNXTDZ($A$1,$B68,AY$5,$B$1)</f>
        <v>0</v>
      </c>
      <c r="AZ68" s="55">
        <f>_xll.EQNXTDZ($A$1,$B68,AZ$5,$B$1)</f>
        <v>687.97</v>
      </c>
      <c r="BA68" s="55">
        <f>_xll.EQNXTDZ($A$1,$B68,BA$5,$B$1)</f>
        <v>0</v>
      </c>
      <c r="BB68" s="55">
        <f>_xll.EQNXTDZ($A$1,$B68,BB$5,$B$1)</f>
        <v>685.97</v>
      </c>
      <c r="BC68" s="55">
        <f>_xll.EQNXTDZ($A$1,$B68,BC$5,$B$1)</f>
        <v>0</v>
      </c>
      <c r="BD68" s="55">
        <f>_xll.EQNXTDZ($A$1,$B68,BD$5,$B$1)</f>
        <v>693.13</v>
      </c>
      <c r="BE68" s="55">
        <f>_xll.EQNXTDZ($A$1,$B68,BE$5,$B$1)</f>
        <v>0</v>
      </c>
      <c r="BF68" s="55">
        <f>_xll.EQNXTDZ($A$1,$B68,BF$5,$B$1)</f>
        <v>700.58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4948.76</v>
      </c>
      <c r="E71" s="55">
        <f>_xll.EQNXTDZ($A$1,$B71,E$5,$B$1)</f>
        <v>0</v>
      </c>
      <c r="F71" s="55">
        <f>_xll.EQNXTDZ($A$1,$B71,F$5,$B$1)</f>
        <v>4816.45</v>
      </c>
      <c r="G71" s="55">
        <f>_xll.EQNXTDZ($A$1,$B71,G$5,$B$1)</f>
        <v>0</v>
      </c>
      <c r="H71" s="55">
        <f>_xll.EQNXTDZ($A$1,$B71,H$5,$B$1)</f>
        <v>4906.8999999999996</v>
      </c>
      <c r="I71" s="55">
        <f>_xll.EQNXTDZ($A$1,$B71,I$5,$B$1)</f>
        <v>0</v>
      </c>
      <c r="J71" s="55">
        <f>_xll.EQNXTDZ($A$1,$B71,J$5,$B$1)</f>
        <v>4555.51</v>
      </c>
      <c r="K71" s="55">
        <f>_xll.EQNXTDZ($A$1,$B71,K$5,$B$1)</f>
        <v>0</v>
      </c>
      <c r="L71" s="55">
        <f>_xll.EQNXTDZ($A$1,$B71,L$5,$B$1)</f>
        <v>4381.6499999999996</v>
      </c>
      <c r="M71" s="55">
        <f>_xll.EQNXTDZ($A$1,$B71,M$5,$B$1)</f>
        <v>0</v>
      </c>
      <c r="N71" s="55">
        <f>_xll.EQNXTDZ($A$1,$B71,N$5,$B$1)</f>
        <v>4234.53</v>
      </c>
      <c r="O71" s="55">
        <f>_xll.EQNXTDZ($A$1,$B71,O$5,$B$1)</f>
        <v>0</v>
      </c>
      <c r="P71" s="55">
        <f>_xll.EQNXTDZ($A$1,$B71,P$5,$B$1)</f>
        <v>8106.89</v>
      </c>
      <c r="Q71" s="55">
        <f>_xll.EQNXTDZ($A$1,$B71,Q$5,$B$1)</f>
        <v>0</v>
      </c>
      <c r="R71" s="55">
        <f>_xll.EQNXTDZ($A$1,$B71,R$5,$B$1)</f>
        <v>5561.38</v>
      </c>
      <c r="S71" s="55">
        <f>_xll.EQNXTDZ($A$1,$B71,S$5,$B$1)</f>
        <v>0</v>
      </c>
      <c r="T71" s="55">
        <f>_xll.EQNXTDZ($A$1,$B71,T$5,$B$1)</f>
        <v>7727.05</v>
      </c>
      <c r="U71" s="55">
        <f>_xll.EQNXTDZ($A$1,$B71,U$5,$B$1)</f>
        <v>0</v>
      </c>
      <c r="V71" s="55">
        <f>_xll.EQNXTDZ($A$1,$B71,V$5,$B$1)</f>
        <v>7459.95</v>
      </c>
      <c r="W71" s="55">
        <f>_xll.EQNXTDZ($A$1,$B71,W$5,$B$1)</f>
        <v>0</v>
      </c>
      <c r="X71" s="55">
        <f>_xll.EQNXTDZ($A$1,$B71,X$5,$B$1)</f>
        <v>1858.07</v>
      </c>
      <c r="Y71" s="55">
        <f>_xll.EQNXTDZ($A$1,$B71,Y$5,$B$1)</f>
        <v>0</v>
      </c>
      <c r="Z71" s="55">
        <f>_xll.EQNXTDZ($A$1,$B71,Z$5,$B$1)</f>
        <v>846.93</v>
      </c>
      <c r="AA71" s="55">
        <f>_xll.EQNXTDZ($A$1,$B71,AA$5,$B$1)</f>
        <v>0</v>
      </c>
      <c r="AB71" s="55">
        <f>_xll.EQNXTDZ($A$1,$B71,AB$5,$B$1)</f>
        <v>800.07</v>
      </c>
      <c r="AC71" s="55">
        <f>_xll.EQNXTDZ($A$1,$B71,AC$5,$B$1)</f>
        <v>0</v>
      </c>
      <c r="AD71" s="55">
        <f>_xll.EQNXTDZ($A$1,$B71,AD$5,$B$1)</f>
        <v>718.07</v>
      </c>
      <c r="AE71" s="55">
        <f>_xll.EQNXTDZ($A$1,$B71,AE$5,$B$1)</f>
        <v>0</v>
      </c>
      <c r="AF71" s="55">
        <f>_xll.EQNXTDZ($A$1,$B71,AF$5,$B$1)</f>
        <v>906.55</v>
      </c>
      <c r="AG71" s="55">
        <f>_xll.EQNXTDZ($A$1,$B71,AG$5,$B$1)</f>
        <v>0</v>
      </c>
      <c r="AH71" s="55">
        <f>_xll.EQNXTDZ($A$1,$B71,AH$5,$B$1)</f>
        <v>680.32</v>
      </c>
      <c r="AI71" s="55">
        <f>_xll.EQNXTDZ($A$1,$B71,AI$5,$B$1)</f>
        <v>0</v>
      </c>
      <c r="AJ71" s="55">
        <f>_xll.EQNXTDZ($A$1,$B71,AJ$5,$B$1)</f>
        <v>662.57</v>
      </c>
      <c r="AK71" s="55">
        <f>_xll.EQNXTDZ($A$1,$B71,AK$5,$B$1)</f>
        <v>0</v>
      </c>
      <c r="AL71" s="55">
        <f>_xll.EQNXTDZ($A$1,$B71,AL$5,$B$1)</f>
        <v>678.91</v>
      </c>
      <c r="AM71" s="55">
        <f>_xll.EQNXTDZ($A$1,$B71,AM$5,$B$1)</f>
        <v>0</v>
      </c>
      <c r="AN71" s="55">
        <f>_xll.EQNXTDZ($A$1,$B71,AN$5,$B$1)</f>
        <v>657.86</v>
      </c>
      <c r="AO71" s="55">
        <f>_xll.EQNXTDZ($A$1,$B71,AO$5,$B$1)</f>
        <v>0</v>
      </c>
      <c r="AP71" s="55">
        <f>_xll.EQNXTDZ($A$1,$B71,AP$5,$B$1)</f>
        <v>677.58</v>
      </c>
      <c r="AQ71" s="55">
        <f>_xll.EQNXTDZ($A$1,$B71,AQ$5,$B$1)</f>
        <v>0</v>
      </c>
      <c r="AR71" s="55">
        <f>_xll.EQNXTDZ($A$1,$B71,AR$5,$B$1)</f>
        <v>671.68</v>
      </c>
      <c r="AS71" s="55">
        <f>_xll.EQNXTDZ($A$1,$B71,AS$5,$B$1)</f>
        <v>0</v>
      </c>
      <c r="AT71" s="55">
        <f>_xll.EQNXTDZ($A$1,$B71,AT$5,$B$1)</f>
        <v>680.89</v>
      </c>
      <c r="AU71" s="55">
        <f>_xll.EQNXTDZ($A$1,$B71,AU$5,$B$1)</f>
        <v>0</v>
      </c>
      <c r="AV71" s="55">
        <f>_xll.EQNXTDZ($A$1,$B71,AV$5,$B$1)</f>
        <v>673.25</v>
      </c>
      <c r="AW71" s="55">
        <f>_xll.EQNXTDZ($A$1,$B71,AW$5,$B$1)</f>
        <v>0</v>
      </c>
      <c r="AX71" s="55">
        <f>_xll.EQNXTDZ($A$1,$B71,AX$5,$B$1)</f>
        <v>662.34</v>
      </c>
      <c r="AY71" s="55">
        <f>_xll.EQNXTDZ($A$1,$B71,AY$5,$B$1)</f>
        <v>0</v>
      </c>
      <c r="AZ71" s="55">
        <f>_xll.EQNXTDZ($A$1,$B71,AZ$5,$B$1)</f>
        <v>687.97</v>
      </c>
      <c r="BA71" s="55">
        <f>_xll.EQNXTDZ($A$1,$B71,BA$5,$B$1)</f>
        <v>0</v>
      </c>
      <c r="BB71" s="55">
        <f>_xll.EQNXTDZ($A$1,$B71,BB$5,$B$1)</f>
        <v>685.97</v>
      </c>
      <c r="BC71" s="55">
        <f>_xll.EQNXTDZ($A$1,$B71,BC$5,$B$1)</f>
        <v>0</v>
      </c>
      <c r="BD71" s="55">
        <f>_xll.EQNXTDZ($A$1,$B71,BD$5,$B$1)</f>
        <v>693.13</v>
      </c>
      <c r="BE71" s="55">
        <f>_xll.EQNXTDZ($A$1,$B71,BE$5,$B$1)</f>
        <v>0</v>
      </c>
      <c r="BF71" s="55">
        <f>_xll.EQNXTDZ($A$1,$B71,BF$5,$B$1)</f>
        <v>700.58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47.59</v>
      </c>
      <c r="S74" s="55">
        <f>_xll.EQNXTDZ($A$1,$B74,S$5,$B$1)</f>
        <v>0</v>
      </c>
      <c r="T74" s="55">
        <f>_xll.EQNXTDZ($A$1,$B74,T$5,$B$1)</f>
        <v>35.71</v>
      </c>
      <c r="U74" s="55">
        <f>_xll.EQNXTDZ($A$1,$B74,U$5,$B$1)</f>
        <v>0</v>
      </c>
      <c r="V74" s="55">
        <f>_xll.EQNXTDZ($A$1,$B74,V$5,$B$1)</f>
        <v>26.87</v>
      </c>
      <c r="W74" s="55">
        <f>_xll.EQNXTDZ($A$1,$B74,W$5,$B$1)</f>
        <v>0</v>
      </c>
      <c r="X74" s="55">
        <f>_xll.EQNXTDZ($A$1,$B74,X$5,$B$1)</f>
        <v>20.16</v>
      </c>
      <c r="Y74" s="55">
        <f>_xll.EQNXTDZ($A$1,$B74,Y$5,$B$1)</f>
        <v>0</v>
      </c>
      <c r="Z74" s="55">
        <f>_xll.EQNXTDZ($A$1,$B74,Z$5,$B$1)</f>
        <v>26.59</v>
      </c>
      <c r="AA74" s="55">
        <f>_xll.EQNXTDZ($A$1,$B74,AA$5,$B$1)</f>
        <v>0</v>
      </c>
      <c r="AB74" s="55">
        <f>_xll.EQNXTDZ($A$1,$B74,AB$5,$B$1)</f>
        <v>40.67</v>
      </c>
      <c r="AC74" s="55">
        <f>_xll.EQNXTDZ($A$1,$B74,AC$5,$B$1)</f>
        <v>0</v>
      </c>
      <c r="AD74" s="55">
        <f>_xll.EQNXTDZ($A$1,$B74,AD$5,$B$1)</f>
        <v>26.31</v>
      </c>
      <c r="AE74" s="55">
        <f>_xll.EQNXTDZ($A$1,$B74,AE$5,$B$1)</f>
        <v>0</v>
      </c>
      <c r="AF74" s="55">
        <f>_xll.EQNXTDZ($A$1,$B74,AF$5,$B$1)</f>
        <v>41.17</v>
      </c>
      <c r="AG74" s="55">
        <f>_xll.EQNXTDZ($A$1,$B74,AG$5,$B$1)</f>
        <v>0</v>
      </c>
      <c r="AH74" s="55">
        <f>_xll.EQNXTDZ($A$1,$B74,AH$5,$B$1)</f>
        <v>39.18</v>
      </c>
      <c r="AI74" s="55">
        <f>_xll.EQNXTDZ($A$1,$B74,AI$5,$B$1)</f>
        <v>0</v>
      </c>
      <c r="AJ74" s="55">
        <f>_xll.EQNXTDZ($A$1,$B74,AJ$5,$B$1)</f>
        <v>51.54</v>
      </c>
      <c r="AK74" s="55">
        <f>_xll.EQNXTDZ($A$1,$B74,AK$5,$B$1)</f>
        <v>0</v>
      </c>
      <c r="AL74" s="55">
        <f>_xll.EQNXTDZ($A$1,$B74,AL$5,$B$1)</f>
        <v>29.3</v>
      </c>
      <c r="AM74" s="55">
        <f>_xll.EQNXTDZ($A$1,$B74,AM$5,$B$1)</f>
        <v>0</v>
      </c>
      <c r="AN74" s="55">
        <f>_xll.EQNXTDZ($A$1,$B74,AN$5,$B$1)</f>
        <v>40.17</v>
      </c>
      <c r="AO74" s="55">
        <f>_xll.EQNXTDZ($A$1,$B74,AO$5,$B$1)</f>
        <v>0</v>
      </c>
      <c r="AP74" s="55">
        <f>_xll.EQNXTDZ($A$1,$B74,AP$5,$B$1)</f>
        <v>28.16</v>
      </c>
      <c r="AQ74" s="55">
        <f>_xll.EQNXTDZ($A$1,$B74,AQ$5,$B$1)</f>
        <v>0</v>
      </c>
      <c r="AR74" s="55">
        <f>_xll.EQNXTDZ($A$1,$B74,AR$5,$B$1)</f>
        <v>25.23</v>
      </c>
      <c r="AS74" s="55">
        <f>_xll.EQNXTDZ($A$1,$B74,AS$5,$B$1)</f>
        <v>0</v>
      </c>
      <c r="AT74" s="55">
        <f>_xll.EQNXTDZ($A$1,$B74,AT$5,$B$1)</f>
        <v>29.48</v>
      </c>
      <c r="AU74" s="55">
        <f>_xll.EQNXTDZ($A$1,$B74,AU$5,$B$1)</f>
        <v>0</v>
      </c>
      <c r="AV74" s="55">
        <f>_xll.EQNXTDZ($A$1,$B74,AV$5,$B$1)</f>
        <v>31.03</v>
      </c>
      <c r="AW74" s="55">
        <f>_xll.EQNXTDZ($A$1,$B74,AW$5,$B$1)</f>
        <v>0</v>
      </c>
      <c r="AX74" s="55">
        <f>_xll.EQNXTDZ($A$1,$B74,AX$5,$B$1)</f>
        <v>59.21</v>
      </c>
      <c r="AY74" s="55">
        <f>_xll.EQNXTDZ($A$1,$B74,AY$5,$B$1)</f>
        <v>0</v>
      </c>
      <c r="AZ74" s="55">
        <f>_xll.EQNXTDZ($A$1,$B74,AZ$5,$B$1)</f>
        <v>39.36</v>
      </c>
      <c r="BA74" s="55">
        <f>_xll.EQNXTDZ($A$1,$B74,BA$5,$B$1)</f>
        <v>0</v>
      </c>
      <c r="BB74" s="55">
        <f>_xll.EQNXTDZ($A$1,$B74,BB$5,$B$1)</f>
        <v>34.76</v>
      </c>
      <c r="BC74" s="55">
        <f>_xll.EQNXTDZ($A$1,$B74,BC$5,$B$1)</f>
        <v>0</v>
      </c>
      <c r="BD74" s="55">
        <f>_xll.EQNXTDZ($A$1,$B74,BD$5,$B$1)</f>
        <v>24.2</v>
      </c>
      <c r="BE74" s="55">
        <f>_xll.EQNXTDZ($A$1,$B74,BE$5,$B$1)</f>
        <v>0</v>
      </c>
      <c r="BF74" s="55">
        <f>_xll.EQNXTDZ($A$1,$B74,BF$5,$B$1)</f>
        <v>27.59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206.85</v>
      </c>
      <c r="E78" s="55">
        <f>_xll.EQNXTDZ($A$1,$B78,E$5,$B$1)</f>
        <v>0</v>
      </c>
      <c r="F78" s="55">
        <f>_xll.EQNXTDZ($A$1,$B78,F$5,$B$1)</f>
        <v>505.02</v>
      </c>
      <c r="G78" s="55">
        <f>_xll.EQNXTDZ($A$1,$B78,G$5,$B$1)</f>
        <v>0</v>
      </c>
      <c r="H78" s="55">
        <f>_xll.EQNXTDZ($A$1,$B78,H$5,$B$1)</f>
        <v>531.70000000000005</v>
      </c>
      <c r="I78" s="55">
        <f>_xll.EQNXTDZ($A$1,$B78,I$5,$B$1)</f>
        <v>0</v>
      </c>
      <c r="J78" s="55">
        <f>_xll.EQNXTDZ($A$1,$B78,J$5,$B$1)</f>
        <v>632.17999999999995</v>
      </c>
      <c r="K78" s="55">
        <f>_xll.EQNXTDZ($A$1,$B78,K$5,$B$1)</f>
        <v>0</v>
      </c>
      <c r="L78" s="55">
        <f>_xll.EQNXTDZ($A$1,$B78,L$5,$B$1)</f>
        <v>674.85</v>
      </c>
      <c r="M78" s="55">
        <f>_xll.EQNXTDZ($A$1,$B78,M$5,$B$1)</f>
        <v>0</v>
      </c>
      <c r="N78" s="55">
        <f>_xll.EQNXTDZ($A$1,$B78,N$5,$B$1)</f>
        <v>1322.55</v>
      </c>
      <c r="O78" s="55">
        <f>_xll.EQNXTDZ($A$1,$B78,O$5,$B$1)</f>
        <v>0</v>
      </c>
      <c r="P78" s="55">
        <f>_xll.EQNXTDZ($A$1,$B78,P$5,$B$1)</f>
        <v>755.21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28.93</v>
      </c>
      <c r="W78" s="55">
        <f>_xll.EQNXTDZ($A$1,$B78,W$5,$B$1)</f>
        <v>0</v>
      </c>
      <c r="X78" s="55">
        <f>_xll.EQNXTDZ($A$1,$B78,X$5,$B$1)</f>
        <v>27.56</v>
      </c>
      <c r="Y78" s="55">
        <f>_xll.EQNXTDZ($A$1,$B78,Y$5,$B$1)</f>
        <v>0</v>
      </c>
      <c r="Z78" s="55">
        <f>_xll.EQNXTDZ($A$1,$B78,Z$5,$B$1)</f>
        <v>21.05</v>
      </c>
      <c r="AA78" s="55">
        <f>_xll.EQNXTDZ($A$1,$B78,AA$5,$B$1)</f>
        <v>0</v>
      </c>
      <c r="AB78" s="55">
        <f>_xll.EQNXTDZ($A$1,$B78,AB$5,$B$1)</f>
        <v>30.65</v>
      </c>
      <c r="AC78" s="55">
        <f>_xll.EQNXTDZ($A$1,$B78,AC$5,$B$1)</f>
        <v>0</v>
      </c>
      <c r="AD78" s="55">
        <f>_xll.EQNXTDZ($A$1,$B78,AD$5,$B$1)</f>
        <v>3.56</v>
      </c>
      <c r="AE78" s="55">
        <f>_xll.EQNXTDZ($A$1,$B78,AE$5,$B$1)</f>
        <v>0</v>
      </c>
      <c r="AF78" s="55">
        <f>_xll.EQNXTDZ($A$1,$B78,AF$5,$B$1)</f>
        <v>0.65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10.3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8.33</v>
      </c>
      <c r="Q79" s="55">
        <f>_xll.EQNXTDZ($A$1,$B79,Q$5,$B$1)</f>
        <v>0</v>
      </c>
      <c r="R79" s="55">
        <f>_xll.EQNXTDZ($A$1,$B79,R$5,$B$1)</f>
        <v>2805.58</v>
      </c>
      <c r="S79" s="55">
        <f>_xll.EQNXTDZ($A$1,$B79,S$5,$B$1)</f>
        <v>0</v>
      </c>
      <c r="T79" s="55">
        <f>_xll.EQNXTDZ($A$1,$B79,T$5,$B$1)</f>
        <v>811.85</v>
      </c>
      <c r="U79" s="55">
        <f>_xll.EQNXTDZ($A$1,$B79,U$5,$B$1)</f>
        <v>0</v>
      </c>
      <c r="V79" s="55">
        <f>_xll.EQNXTDZ($A$1,$B79,V$5,$B$1)</f>
        <v>3137.84</v>
      </c>
      <c r="W79" s="55">
        <f>_xll.EQNXTDZ($A$1,$B79,W$5,$B$1)</f>
        <v>0</v>
      </c>
      <c r="X79" s="55">
        <f>_xll.EQNXTDZ($A$1,$B79,X$5,$B$1)</f>
        <v>568.04</v>
      </c>
      <c r="Y79" s="55">
        <f>_xll.EQNXTDZ($A$1,$B79,Y$5,$B$1)</f>
        <v>0</v>
      </c>
      <c r="Z79" s="55">
        <f>_xll.EQNXTDZ($A$1,$B79,Z$5,$B$1)</f>
        <v>601</v>
      </c>
      <c r="AA79" s="55">
        <f>_xll.EQNXTDZ($A$1,$B79,AA$5,$B$1)</f>
        <v>0</v>
      </c>
      <c r="AB79" s="55">
        <f>_xll.EQNXTDZ($A$1,$B79,AB$5,$B$1)</f>
        <v>617.04999999999995</v>
      </c>
      <c r="AC79" s="55">
        <f>_xll.EQNXTDZ($A$1,$B79,AC$5,$B$1)</f>
        <v>0</v>
      </c>
      <c r="AD79" s="55">
        <f>_xll.EQNXTDZ($A$1,$B79,AD$5,$B$1)</f>
        <v>264.82</v>
      </c>
      <c r="AE79" s="55">
        <f>_xll.EQNXTDZ($A$1,$B79,AE$5,$B$1)</f>
        <v>0</v>
      </c>
      <c r="AF79" s="55">
        <f>_xll.EQNXTDZ($A$1,$B79,AF$5,$B$1)</f>
        <v>378.33</v>
      </c>
      <c r="AG79" s="55">
        <f>_xll.EQNXTDZ($A$1,$B79,AG$5,$B$1)</f>
        <v>0</v>
      </c>
      <c r="AH79" s="55">
        <f>_xll.EQNXTDZ($A$1,$B79,AH$5,$B$1)</f>
        <v>399.09</v>
      </c>
      <c r="AI79" s="55">
        <f>_xll.EQNXTDZ($A$1,$B79,AI$5,$B$1)</f>
        <v>0</v>
      </c>
      <c r="AJ79" s="55">
        <f>_xll.EQNXTDZ($A$1,$B79,AJ$5,$B$1)</f>
        <v>349.95</v>
      </c>
      <c r="AK79" s="55">
        <f>_xll.EQNXTDZ($A$1,$B79,AK$5,$B$1)</f>
        <v>0</v>
      </c>
      <c r="AL79" s="55">
        <f>_xll.EQNXTDZ($A$1,$B79,AL$5,$B$1)</f>
        <v>313.10000000000002</v>
      </c>
      <c r="AM79" s="55">
        <f>_xll.EQNXTDZ($A$1,$B79,AM$5,$B$1)</f>
        <v>0</v>
      </c>
      <c r="AN79" s="55">
        <f>_xll.EQNXTDZ($A$1,$B79,AN$5,$B$1)</f>
        <v>290.13</v>
      </c>
      <c r="AO79" s="55">
        <f>_xll.EQNXTDZ($A$1,$B79,AO$5,$B$1)</f>
        <v>0</v>
      </c>
      <c r="AP79" s="55">
        <f>_xll.EQNXTDZ($A$1,$B79,AP$5,$B$1)</f>
        <v>280.52</v>
      </c>
      <c r="AQ79" s="55">
        <f>_xll.EQNXTDZ($A$1,$B79,AQ$5,$B$1)</f>
        <v>0</v>
      </c>
      <c r="AR79" s="55">
        <f>_xll.EQNXTDZ($A$1,$B79,AR$5,$B$1)</f>
        <v>249.46</v>
      </c>
      <c r="AS79" s="55">
        <f>_xll.EQNXTDZ($A$1,$B79,AS$5,$B$1)</f>
        <v>0</v>
      </c>
      <c r="AT79" s="55">
        <f>_xll.EQNXTDZ($A$1,$B79,AT$5,$B$1)</f>
        <v>228.9</v>
      </c>
      <c r="AU79" s="55">
        <f>_xll.EQNXTDZ($A$1,$B79,AU$5,$B$1)</f>
        <v>0</v>
      </c>
      <c r="AV79" s="55">
        <f>_xll.EQNXTDZ($A$1,$B79,AV$5,$B$1)</f>
        <v>224.83</v>
      </c>
      <c r="AW79" s="55">
        <f>_xll.EQNXTDZ($A$1,$B79,AW$5,$B$1)</f>
        <v>0</v>
      </c>
      <c r="AX79" s="55">
        <f>_xll.EQNXTDZ($A$1,$B79,AX$5,$B$1)</f>
        <v>294.95</v>
      </c>
      <c r="AY79" s="55">
        <f>_xll.EQNXTDZ($A$1,$B79,AY$5,$B$1)</f>
        <v>0</v>
      </c>
      <c r="AZ79" s="55">
        <f>_xll.EQNXTDZ($A$1,$B79,AZ$5,$B$1)</f>
        <v>303.56</v>
      </c>
      <c r="BA79" s="55">
        <f>_xll.EQNXTDZ($A$1,$B79,BA$5,$B$1)</f>
        <v>0</v>
      </c>
      <c r="BB79" s="55">
        <f>_xll.EQNXTDZ($A$1,$B79,BB$5,$B$1)</f>
        <v>288.58</v>
      </c>
      <c r="BC79" s="55">
        <f>_xll.EQNXTDZ($A$1,$B79,BC$5,$B$1)</f>
        <v>0</v>
      </c>
      <c r="BD79" s="55">
        <f>_xll.EQNXTDZ($A$1,$B79,BD$5,$B$1)</f>
        <v>264.19</v>
      </c>
      <c r="BE79" s="55">
        <f>_xll.EQNXTDZ($A$1,$B79,BE$5,$B$1)</f>
        <v>0</v>
      </c>
      <c r="BF79" s="55">
        <f>_xll.EQNXTDZ($A$1,$B79,BF$5,$B$1)</f>
        <v>428.53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50.35</v>
      </c>
      <c r="G80" s="55">
        <f>_xll.EQNXTDZ($A$1,$B80,G$5,$B$1)</f>
        <v>0</v>
      </c>
      <c r="H80" s="55">
        <f>_xll.EQNXTDZ($A$1,$B80,H$5,$B$1)</f>
        <v>81.3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592.08000000000004</v>
      </c>
      <c r="S80" s="55">
        <f>_xll.EQNXTDZ($A$1,$B80,S$5,$B$1)</f>
        <v>0</v>
      </c>
      <c r="T80" s="55">
        <f>_xll.EQNXTDZ($A$1,$B80,T$5,$B$1)</f>
        <v>677.91</v>
      </c>
      <c r="U80" s="55">
        <f>_xll.EQNXTDZ($A$1,$B80,U$5,$B$1)</f>
        <v>0</v>
      </c>
      <c r="V80" s="55">
        <f>_xll.EQNXTDZ($A$1,$B80,V$5,$B$1)</f>
        <v>679.62</v>
      </c>
      <c r="W80" s="55">
        <f>_xll.EQNXTDZ($A$1,$B80,W$5,$B$1)</f>
        <v>0</v>
      </c>
      <c r="X80" s="55">
        <f>_xll.EQNXTDZ($A$1,$B80,X$5,$B$1)</f>
        <v>353.29</v>
      </c>
      <c r="Y80" s="55">
        <f>_xll.EQNXTDZ($A$1,$B80,Y$5,$B$1)</f>
        <v>0</v>
      </c>
      <c r="Z80" s="55">
        <f>_xll.EQNXTDZ($A$1,$B80,Z$5,$B$1)</f>
        <v>377.79</v>
      </c>
      <c r="AA80" s="55">
        <f>_xll.EQNXTDZ($A$1,$B80,AA$5,$B$1)</f>
        <v>0</v>
      </c>
      <c r="AB80" s="55">
        <f>_xll.EQNXTDZ($A$1,$B80,AB$5,$B$1)</f>
        <v>317.74</v>
      </c>
      <c r="AC80" s="55">
        <f>_xll.EQNXTDZ($A$1,$B80,AC$5,$B$1)</f>
        <v>0</v>
      </c>
      <c r="AD80" s="55">
        <f>_xll.EQNXTDZ($A$1,$B80,AD$5,$B$1)</f>
        <v>608.63</v>
      </c>
      <c r="AE80" s="55">
        <f>_xll.EQNXTDZ($A$1,$B80,AE$5,$B$1)</f>
        <v>0</v>
      </c>
      <c r="AF80" s="55">
        <f>_xll.EQNXTDZ($A$1,$B80,AF$5,$B$1)</f>
        <v>61.73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146.13999999999999</v>
      </c>
      <c r="AK80" s="55">
        <f>_xll.EQNXTDZ($A$1,$B80,AK$5,$B$1)</f>
        <v>0</v>
      </c>
      <c r="AL80" s="55">
        <f>_xll.EQNXTDZ($A$1,$B80,AL$5,$B$1)</f>
        <v>70.23</v>
      </c>
      <c r="AM80" s="55">
        <f>_xll.EQNXTDZ($A$1,$B80,AM$5,$B$1)</f>
        <v>0</v>
      </c>
      <c r="AN80" s="55">
        <f>_xll.EQNXTDZ($A$1,$B80,AN$5,$B$1)</f>
        <v>108.38</v>
      </c>
      <c r="AO80" s="55">
        <f>_xll.EQNXTDZ($A$1,$B80,AO$5,$B$1)</f>
        <v>0</v>
      </c>
      <c r="AP80" s="55">
        <f>_xll.EQNXTDZ($A$1,$B80,AP$5,$B$1)</f>
        <v>100.5</v>
      </c>
      <c r="AQ80" s="55">
        <f>_xll.EQNXTDZ($A$1,$B80,AQ$5,$B$1)</f>
        <v>0</v>
      </c>
      <c r="AR80" s="55">
        <f>_xll.EQNXTDZ($A$1,$B80,AR$5,$B$1)</f>
        <v>124.29</v>
      </c>
      <c r="AS80" s="55">
        <f>_xll.EQNXTDZ($A$1,$B80,AS$5,$B$1)</f>
        <v>0</v>
      </c>
      <c r="AT80" s="55">
        <f>_xll.EQNXTDZ($A$1,$B80,AT$5,$B$1)</f>
        <v>66.41</v>
      </c>
      <c r="AU80" s="55">
        <f>_xll.EQNXTDZ($A$1,$B80,AU$5,$B$1)</f>
        <v>0</v>
      </c>
      <c r="AV80" s="55">
        <f>_xll.EQNXTDZ($A$1,$B80,AV$5,$B$1)</f>
        <v>72.45</v>
      </c>
      <c r="AW80" s="55">
        <f>_xll.EQNXTDZ($A$1,$B80,AW$5,$B$1)</f>
        <v>0</v>
      </c>
      <c r="AX80" s="55">
        <f>_xll.EQNXTDZ($A$1,$B80,AX$5,$B$1)</f>
        <v>34.35</v>
      </c>
      <c r="AY80" s="55">
        <f>_xll.EQNXTDZ($A$1,$B80,AY$5,$B$1)</f>
        <v>0</v>
      </c>
      <c r="AZ80" s="55">
        <f>_xll.EQNXTDZ($A$1,$B80,AZ$5,$B$1)</f>
        <v>22.95</v>
      </c>
      <c r="BA80" s="55">
        <f>_xll.EQNXTDZ($A$1,$B80,BA$5,$B$1)</f>
        <v>0</v>
      </c>
      <c r="BB80" s="55">
        <f>_xll.EQNXTDZ($A$1,$B80,BB$5,$B$1)</f>
        <v>57.98</v>
      </c>
      <c r="BC80" s="55">
        <f>_xll.EQNXTDZ($A$1,$B80,BC$5,$B$1)</f>
        <v>0</v>
      </c>
      <c r="BD80" s="55">
        <f>_xll.EQNXTDZ($A$1,$B80,BD$5,$B$1)</f>
        <v>68.209999999999994</v>
      </c>
      <c r="BE80" s="55">
        <f>_xll.EQNXTDZ($A$1,$B80,BE$5,$B$1)</f>
        <v>0</v>
      </c>
      <c r="BF80" s="55">
        <f>_xll.EQNXTDZ($A$1,$B80,BF$5,$B$1)</f>
        <v>23.13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4.4400000000000004</v>
      </c>
      <c r="E81" s="55">
        <f>_xll.EQNXTDZ($A$1,$B81,E$5,$B$1)</f>
        <v>0</v>
      </c>
      <c r="F81" s="55">
        <f>_xll.EQNXTDZ($A$1,$B81,F$5,$B$1)</f>
        <v>3.19</v>
      </c>
      <c r="G81" s="55">
        <f>_xll.EQNXTDZ($A$1,$B81,G$5,$B$1)</f>
        <v>0</v>
      </c>
      <c r="H81" s="55">
        <f>_xll.EQNXTDZ($A$1,$B81,H$5,$B$1)</f>
        <v>2.4700000000000002</v>
      </c>
      <c r="I81" s="55">
        <f>_xll.EQNXTDZ($A$1,$B81,I$5,$B$1)</f>
        <v>0</v>
      </c>
      <c r="J81" s="55">
        <f>_xll.EQNXTDZ($A$1,$B81,J$5,$B$1)</f>
        <v>4.4400000000000004</v>
      </c>
      <c r="K81" s="55">
        <f>_xll.EQNXTDZ($A$1,$B81,K$5,$B$1)</f>
        <v>0</v>
      </c>
      <c r="L81" s="55">
        <f>_xll.EQNXTDZ($A$1,$B81,L$5,$B$1)</f>
        <v>6.31</v>
      </c>
      <c r="M81" s="55">
        <f>_xll.EQNXTDZ($A$1,$B81,M$5,$B$1)</f>
        <v>0</v>
      </c>
      <c r="N81" s="55">
        <f>_xll.EQNXTDZ($A$1,$B81,N$5,$B$1)</f>
        <v>12.42</v>
      </c>
      <c r="O81" s="55">
        <f>_xll.EQNXTDZ($A$1,$B81,O$5,$B$1)</f>
        <v>0</v>
      </c>
      <c r="P81" s="55">
        <f>_xll.EQNXTDZ($A$1,$B81,P$5,$B$1)</f>
        <v>2.94</v>
      </c>
      <c r="Q81" s="55">
        <f>_xll.EQNXTDZ($A$1,$B81,Q$5,$B$1)</f>
        <v>0</v>
      </c>
      <c r="R81" s="55">
        <f>_xll.EQNXTDZ($A$1,$B81,R$5,$B$1)</f>
        <v>4.68</v>
      </c>
      <c r="S81" s="55">
        <f>_xll.EQNXTDZ($A$1,$B81,S$5,$B$1)</f>
        <v>0</v>
      </c>
      <c r="T81" s="55">
        <f>_xll.EQNXTDZ($A$1,$B81,T$5,$B$1)</f>
        <v>2.14</v>
      </c>
      <c r="U81" s="55">
        <f>_xll.EQNXTDZ($A$1,$B81,U$5,$B$1)</f>
        <v>0</v>
      </c>
      <c r="V81" s="55">
        <f>_xll.EQNXTDZ($A$1,$B81,V$5,$B$1)</f>
        <v>2.04</v>
      </c>
      <c r="W81" s="55">
        <f>_xll.EQNXTDZ($A$1,$B81,W$5,$B$1)</f>
        <v>0</v>
      </c>
      <c r="X81" s="55">
        <f>_xll.EQNXTDZ($A$1,$B81,X$5,$B$1)</f>
        <v>0.82</v>
      </c>
      <c r="Y81" s="55">
        <f>_xll.EQNXTDZ($A$1,$B81,Y$5,$B$1)</f>
        <v>0</v>
      </c>
      <c r="Z81" s="55">
        <f>_xll.EQNXTDZ($A$1,$B81,Z$5,$B$1)</f>
        <v>0.13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317.92</v>
      </c>
      <c r="E82" s="55">
        <f>_xll.EQNXTDZ($A$1,$B82,E$5,$B$1)</f>
        <v>0</v>
      </c>
      <c r="F82" s="55">
        <f>_xll.EQNXTDZ($A$1,$B82,F$5,$B$1)</f>
        <v>291.68</v>
      </c>
      <c r="G82" s="55">
        <f>_xll.EQNXTDZ($A$1,$B82,G$5,$B$1)</f>
        <v>0</v>
      </c>
      <c r="H82" s="55">
        <f>_xll.EQNXTDZ($A$1,$B82,H$5,$B$1)</f>
        <v>301.16000000000003</v>
      </c>
      <c r="I82" s="55">
        <f>_xll.EQNXTDZ($A$1,$B82,I$5,$B$1)</f>
        <v>0</v>
      </c>
      <c r="J82" s="55">
        <f>_xll.EQNXTDZ($A$1,$B82,J$5,$B$1)</f>
        <v>257.68</v>
      </c>
      <c r="K82" s="55">
        <f>_xll.EQNXTDZ($A$1,$B82,K$5,$B$1)</f>
        <v>0</v>
      </c>
      <c r="L82" s="55">
        <f>_xll.EQNXTDZ($A$1,$B82,L$5,$B$1)</f>
        <v>242.72</v>
      </c>
      <c r="M82" s="55">
        <f>_xll.EQNXTDZ($A$1,$B82,M$5,$B$1)</f>
        <v>0</v>
      </c>
      <c r="N82" s="55">
        <f>_xll.EQNXTDZ($A$1,$B82,N$5,$B$1)</f>
        <v>199.95</v>
      </c>
      <c r="O82" s="55">
        <f>_xll.EQNXTDZ($A$1,$B82,O$5,$B$1)</f>
        <v>0</v>
      </c>
      <c r="P82" s="55">
        <f>_xll.EQNXTDZ($A$1,$B82,P$5,$B$1)</f>
        <v>266.26</v>
      </c>
      <c r="Q82" s="55">
        <f>_xll.EQNXTDZ($A$1,$B82,Q$5,$B$1)</f>
        <v>0</v>
      </c>
      <c r="R82" s="55">
        <f>_xll.EQNXTDZ($A$1,$B82,R$5,$B$1)</f>
        <v>290.88</v>
      </c>
      <c r="S82" s="55">
        <f>_xll.EQNXTDZ($A$1,$B82,S$5,$B$1)</f>
        <v>0</v>
      </c>
      <c r="T82" s="55">
        <f>_xll.EQNXTDZ($A$1,$B82,T$5,$B$1)</f>
        <v>268.58</v>
      </c>
      <c r="U82" s="55">
        <f>_xll.EQNXTDZ($A$1,$B82,U$5,$B$1)</f>
        <v>0</v>
      </c>
      <c r="V82" s="55">
        <f>_xll.EQNXTDZ($A$1,$B82,V$5,$B$1)</f>
        <v>226.91</v>
      </c>
      <c r="W82" s="55">
        <f>_xll.EQNXTDZ($A$1,$B82,W$5,$B$1)</f>
        <v>0</v>
      </c>
      <c r="X82" s="55">
        <f>_xll.EQNXTDZ($A$1,$B82,X$5,$B$1)</f>
        <v>270.14999999999998</v>
      </c>
      <c r="Y82" s="55">
        <f>_xll.EQNXTDZ($A$1,$B82,Y$5,$B$1)</f>
        <v>0</v>
      </c>
      <c r="Z82" s="55">
        <f>_xll.EQNXTDZ($A$1,$B82,Z$5,$B$1)</f>
        <v>157.88</v>
      </c>
      <c r="AA82" s="55">
        <f>_xll.EQNXTDZ($A$1,$B82,AA$5,$B$1)</f>
        <v>0</v>
      </c>
      <c r="AB82" s="55">
        <f>_xll.EQNXTDZ($A$1,$B82,AB$5,$B$1)</f>
        <v>161.66999999999999</v>
      </c>
      <c r="AC82" s="55">
        <f>_xll.EQNXTDZ($A$1,$B82,AC$5,$B$1)</f>
        <v>0</v>
      </c>
      <c r="AD82" s="55">
        <f>_xll.EQNXTDZ($A$1,$B82,AD$5,$B$1)</f>
        <v>89.32</v>
      </c>
      <c r="AE82" s="55">
        <f>_xll.EQNXTDZ($A$1,$B82,AE$5,$B$1)</f>
        <v>0</v>
      </c>
      <c r="AF82" s="55">
        <f>_xll.EQNXTDZ($A$1,$B82,AF$5,$B$1)</f>
        <v>159.88</v>
      </c>
      <c r="AG82" s="55">
        <f>_xll.EQNXTDZ($A$1,$B82,AG$5,$B$1)</f>
        <v>0</v>
      </c>
      <c r="AH82" s="55">
        <f>_xll.EQNXTDZ($A$1,$B82,AH$5,$B$1)</f>
        <v>121.72</v>
      </c>
      <c r="AI82" s="55">
        <f>_xll.EQNXTDZ($A$1,$B82,AI$5,$B$1)</f>
        <v>0</v>
      </c>
      <c r="AJ82" s="55">
        <f>_xll.EQNXTDZ($A$1,$B82,AJ$5,$B$1)</f>
        <v>84.25</v>
      </c>
      <c r="AK82" s="55">
        <f>_xll.EQNXTDZ($A$1,$B82,AK$5,$B$1)</f>
        <v>0</v>
      </c>
      <c r="AL82" s="55">
        <f>_xll.EQNXTDZ($A$1,$B82,AL$5,$B$1)</f>
        <v>78.22</v>
      </c>
      <c r="AM82" s="55">
        <f>_xll.EQNXTDZ($A$1,$B82,AM$5,$B$1)</f>
        <v>0</v>
      </c>
      <c r="AN82" s="55">
        <f>_xll.EQNXTDZ($A$1,$B82,AN$5,$B$1)</f>
        <v>69.87</v>
      </c>
      <c r="AO82" s="55">
        <f>_xll.EQNXTDZ($A$1,$B82,AO$5,$B$1)</f>
        <v>0</v>
      </c>
      <c r="AP82" s="55">
        <f>_xll.EQNXTDZ($A$1,$B82,AP$5,$B$1)</f>
        <v>121.24</v>
      </c>
      <c r="AQ82" s="55">
        <f>_xll.EQNXTDZ($A$1,$B82,AQ$5,$B$1)</f>
        <v>0</v>
      </c>
      <c r="AR82" s="55">
        <f>_xll.EQNXTDZ($A$1,$B82,AR$5,$B$1)</f>
        <v>49.16</v>
      </c>
      <c r="AS82" s="55">
        <f>_xll.EQNXTDZ($A$1,$B82,AS$5,$B$1)</f>
        <v>0</v>
      </c>
      <c r="AT82" s="55">
        <f>_xll.EQNXTDZ($A$1,$B82,AT$5,$B$1)</f>
        <v>109.69</v>
      </c>
      <c r="AU82" s="55">
        <f>_xll.EQNXTDZ($A$1,$B82,AU$5,$B$1)</f>
        <v>0</v>
      </c>
      <c r="AV82" s="55">
        <f>_xll.EQNXTDZ($A$1,$B82,AV$5,$B$1)</f>
        <v>128.63999999999999</v>
      </c>
      <c r="AW82" s="55">
        <f>_xll.EQNXTDZ($A$1,$B82,AW$5,$B$1)</f>
        <v>0</v>
      </c>
      <c r="AX82" s="55">
        <f>_xll.EQNXTDZ($A$1,$B82,AX$5,$B$1)</f>
        <v>155.88999999999999</v>
      </c>
      <c r="AY82" s="55">
        <f>_xll.EQNXTDZ($A$1,$B82,AY$5,$B$1)</f>
        <v>0</v>
      </c>
      <c r="AZ82" s="55">
        <f>_xll.EQNXTDZ($A$1,$B82,AZ$5,$B$1)</f>
        <v>194.99</v>
      </c>
      <c r="BA82" s="55">
        <f>_xll.EQNXTDZ($A$1,$B82,BA$5,$B$1)</f>
        <v>0</v>
      </c>
      <c r="BB82" s="55">
        <f>_xll.EQNXTDZ($A$1,$B82,BB$5,$B$1)</f>
        <v>144.66</v>
      </c>
      <c r="BC82" s="55">
        <f>_xll.EQNXTDZ($A$1,$B82,BC$5,$B$1)</f>
        <v>0</v>
      </c>
      <c r="BD82" s="55">
        <f>_xll.EQNXTDZ($A$1,$B82,BD$5,$B$1)</f>
        <v>125.26</v>
      </c>
      <c r="BE82" s="55">
        <f>_xll.EQNXTDZ($A$1,$B82,BE$5,$B$1)</f>
        <v>0</v>
      </c>
      <c r="BF82" s="55">
        <f>_xll.EQNXTDZ($A$1,$B82,BF$5,$B$1)</f>
        <v>95.48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194.37</v>
      </c>
      <c r="E83" s="55">
        <f>_xll.EQNXTDZ($A$1,$B83,E$5,$B$1)</f>
        <v>0</v>
      </c>
      <c r="F83" s="55">
        <f>_xll.EQNXTDZ($A$1,$B83,F$5,$B$1)</f>
        <v>86.46</v>
      </c>
      <c r="G83" s="55">
        <f>_xll.EQNXTDZ($A$1,$B83,G$5,$B$1)</f>
        <v>0</v>
      </c>
      <c r="H83" s="55">
        <f>_xll.EQNXTDZ($A$1,$B83,H$5,$B$1)</f>
        <v>110.86</v>
      </c>
      <c r="I83" s="55">
        <f>_xll.EQNXTDZ($A$1,$B83,I$5,$B$1)</f>
        <v>0</v>
      </c>
      <c r="J83" s="55">
        <f>_xll.EQNXTDZ($A$1,$B83,J$5,$B$1)</f>
        <v>21.65</v>
      </c>
      <c r="K83" s="55">
        <f>_xll.EQNXTDZ($A$1,$B83,K$5,$B$1)</f>
        <v>0</v>
      </c>
      <c r="L83" s="55">
        <f>_xll.EQNXTDZ($A$1,$B83,L$5,$B$1)</f>
        <v>21.71</v>
      </c>
      <c r="M83" s="55">
        <f>_xll.EQNXTDZ($A$1,$B83,M$5,$B$1)</f>
        <v>0</v>
      </c>
      <c r="N83" s="55">
        <f>_xll.EQNXTDZ($A$1,$B83,N$5,$B$1)</f>
        <v>49.49</v>
      </c>
      <c r="O83" s="55">
        <f>_xll.EQNXTDZ($A$1,$B83,O$5,$B$1)</f>
        <v>0</v>
      </c>
      <c r="P83" s="55">
        <f>_xll.EQNXTDZ($A$1,$B83,P$5,$B$1)</f>
        <v>341.9</v>
      </c>
      <c r="Q83" s="55">
        <f>_xll.EQNXTDZ($A$1,$B83,Q$5,$B$1)</f>
        <v>0</v>
      </c>
      <c r="R83" s="55">
        <f>_xll.EQNXTDZ($A$1,$B83,R$5,$B$1)</f>
        <v>66.989999999999995</v>
      </c>
      <c r="S83" s="55">
        <f>_xll.EQNXTDZ($A$1,$B83,S$5,$B$1)</f>
        <v>0</v>
      </c>
      <c r="T83" s="55">
        <f>_xll.EQNXTDZ($A$1,$B83,T$5,$B$1)</f>
        <v>219.24</v>
      </c>
      <c r="U83" s="55">
        <f>_xll.EQNXTDZ($A$1,$B83,U$5,$B$1)</f>
        <v>0</v>
      </c>
      <c r="V83" s="55">
        <f>_xll.EQNXTDZ($A$1,$B83,V$5,$B$1)</f>
        <v>37.03</v>
      </c>
      <c r="W83" s="55">
        <f>_xll.EQNXTDZ($A$1,$B83,W$5,$B$1)</f>
        <v>0</v>
      </c>
      <c r="X83" s="55">
        <f>_xll.EQNXTDZ($A$1,$B83,X$5,$B$1)</f>
        <v>19.21</v>
      </c>
      <c r="Y83" s="55">
        <f>_xll.EQNXTDZ($A$1,$B83,Y$5,$B$1)</f>
        <v>0</v>
      </c>
      <c r="Z83" s="55">
        <f>_xll.EQNXTDZ($A$1,$B83,Z$5,$B$1)</f>
        <v>39.159999999999997</v>
      </c>
      <c r="AA83" s="55">
        <f>_xll.EQNXTDZ($A$1,$B83,AA$5,$B$1)</f>
        <v>0</v>
      </c>
      <c r="AB83" s="55">
        <f>_xll.EQNXTDZ($A$1,$B83,AB$5,$B$1)</f>
        <v>23.92</v>
      </c>
      <c r="AC83" s="55">
        <f>_xll.EQNXTDZ($A$1,$B83,AC$5,$B$1)</f>
        <v>0</v>
      </c>
      <c r="AD83" s="55">
        <f>_xll.EQNXTDZ($A$1,$B83,AD$5,$B$1)</f>
        <v>171.13</v>
      </c>
      <c r="AE83" s="55">
        <f>_xll.EQNXTDZ($A$1,$B83,AE$5,$B$1)</f>
        <v>0</v>
      </c>
      <c r="AF83" s="55">
        <f>_xll.EQNXTDZ($A$1,$B83,AF$5,$B$1)</f>
        <v>27.97</v>
      </c>
      <c r="AG83" s="55">
        <f>_xll.EQNXTDZ($A$1,$B83,AG$5,$B$1)</f>
        <v>0</v>
      </c>
      <c r="AH83" s="55">
        <f>_xll.EQNXTDZ($A$1,$B83,AH$5,$B$1)</f>
        <v>84.53</v>
      </c>
      <c r="AI83" s="55">
        <f>_xll.EQNXTDZ($A$1,$B83,AI$5,$B$1)</f>
        <v>0</v>
      </c>
      <c r="AJ83" s="55">
        <f>_xll.EQNXTDZ($A$1,$B83,AJ$5,$B$1)</f>
        <v>47.28</v>
      </c>
      <c r="AK83" s="55">
        <f>_xll.EQNXTDZ($A$1,$B83,AK$5,$B$1)</f>
        <v>0</v>
      </c>
      <c r="AL83" s="55">
        <f>_xll.EQNXTDZ($A$1,$B83,AL$5,$B$1)</f>
        <v>43.29</v>
      </c>
      <c r="AM83" s="55">
        <f>_xll.EQNXTDZ($A$1,$B83,AM$5,$B$1)</f>
        <v>0</v>
      </c>
      <c r="AN83" s="55">
        <f>_xll.EQNXTDZ($A$1,$B83,AN$5,$B$1)</f>
        <v>15.09</v>
      </c>
      <c r="AO83" s="55">
        <f>_xll.EQNXTDZ($A$1,$B83,AO$5,$B$1)</f>
        <v>0</v>
      </c>
      <c r="AP83" s="55">
        <f>_xll.EQNXTDZ($A$1,$B83,AP$5,$B$1)</f>
        <v>17.02</v>
      </c>
      <c r="AQ83" s="55">
        <f>_xll.EQNXTDZ($A$1,$B83,AQ$5,$B$1)</f>
        <v>0</v>
      </c>
      <c r="AR83" s="55">
        <f>_xll.EQNXTDZ($A$1,$B83,AR$5,$B$1)</f>
        <v>17.11</v>
      </c>
      <c r="AS83" s="55">
        <f>_xll.EQNXTDZ($A$1,$B83,AS$5,$B$1)</f>
        <v>0</v>
      </c>
      <c r="AT83" s="55">
        <f>_xll.EQNXTDZ($A$1,$B83,AT$5,$B$1)</f>
        <v>14.26</v>
      </c>
      <c r="AU83" s="55">
        <f>_xll.EQNXTDZ($A$1,$B83,AU$5,$B$1)</f>
        <v>0</v>
      </c>
      <c r="AV83" s="55">
        <f>_xll.EQNXTDZ($A$1,$B83,AV$5,$B$1)</f>
        <v>15.03</v>
      </c>
      <c r="AW83" s="55">
        <f>_xll.EQNXTDZ($A$1,$B83,AW$5,$B$1)</f>
        <v>0</v>
      </c>
      <c r="AX83" s="55">
        <f>_xll.EQNXTDZ($A$1,$B83,AX$5,$B$1)</f>
        <v>32.49</v>
      </c>
      <c r="AY83" s="55">
        <f>_xll.EQNXTDZ($A$1,$B83,AY$5,$B$1)</f>
        <v>0</v>
      </c>
      <c r="AZ83" s="55">
        <f>_xll.EQNXTDZ($A$1,$B83,AZ$5,$B$1)</f>
        <v>21.41</v>
      </c>
      <c r="BA83" s="55">
        <f>_xll.EQNXTDZ($A$1,$B83,BA$5,$B$1)</f>
        <v>0</v>
      </c>
      <c r="BB83" s="55">
        <f>_xll.EQNXTDZ($A$1,$B83,BB$5,$B$1)</f>
        <v>42.45</v>
      </c>
      <c r="BC83" s="55">
        <f>_xll.EQNXTDZ($A$1,$B83,BC$5,$B$1)</f>
        <v>0</v>
      </c>
      <c r="BD83" s="55">
        <f>_xll.EQNXTDZ($A$1,$B83,BD$5,$B$1)</f>
        <v>4.8899999999999997</v>
      </c>
      <c r="BE83" s="55">
        <f>_xll.EQNXTDZ($A$1,$B83,BE$5,$B$1)</f>
        <v>0</v>
      </c>
      <c r="BF83" s="55">
        <f>_xll.EQNXTDZ($A$1,$B83,BF$5,$B$1)</f>
        <v>15.63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193.68</v>
      </c>
      <c r="E84" s="55">
        <f>_xll.EQNXTDZ($A$1,$B84,E$5,$B$1)</f>
        <v>0</v>
      </c>
      <c r="F84" s="55">
        <f>_xll.EQNXTDZ($A$1,$B84,F$5,$B$1)</f>
        <v>97.75</v>
      </c>
      <c r="G84" s="55">
        <f>_xll.EQNXTDZ($A$1,$B84,G$5,$B$1)</f>
        <v>0</v>
      </c>
      <c r="H84" s="55">
        <f>_xll.EQNXTDZ($A$1,$B84,H$5,$B$1)</f>
        <v>88.85</v>
      </c>
      <c r="I84" s="55">
        <f>_xll.EQNXTDZ($A$1,$B84,I$5,$B$1)</f>
        <v>0</v>
      </c>
      <c r="J84" s="55">
        <f>_xll.EQNXTDZ($A$1,$B84,J$5,$B$1)</f>
        <v>63.73</v>
      </c>
      <c r="K84" s="55">
        <f>_xll.EQNXTDZ($A$1,$B84,K$5,$B$1)</f>
        <v>0</v>
      </c>
      <c r="L84" s="55">
        <f>_xll.EQNXTDZ($A$1,$B84,L$5,$B$1)</f>
        <v>83.17</v>
      </c>
      <c r="M84" s="55">
        <f>_xll.EQNXTDZ($A$1,$B84,M$5,$B$1)</f>
        <v>0</v>
      </c>
      <c r="N84" s="55">
        <f>_xll.EQNXTDZ($A$1,$B84,N$5,$B$1)</f>
        <v>122.29</v>
      </c>
      <c r="O84" s="55">
        <f>_xll.EQNXTDZ($A$1,$B84,O$5,$B$1)</f>
        <v>0</v>
      </c>
      <c r="P84" s="55">
        <f>_xll.EQNXTDZ($A$1,$B84,P$5,$B$1)</f>
        <v>124.92</v>
      </c>
      <c r="Q84" s="55">
        <f>_xll.EQNXTDZ($A$1,$B84,Q$5,$B$1)</f>
        <v>0</v>
      </c>
      <c r="R84" s="55">
        <f>_xll.EQNXTDZ($A$1,$B84,R$5,$B$1)</f>
        <v>92.7</v>
      </c>
      <c r="S84" s="55">
        <f>_xll.EQNXTDZ($A$1,$B84,S$5,$B$1)</f>
        <v>0</v>
      </c>
      <c r="T84" s="55">
        <f>_xll.EQNXTDZ($A$1,$B84,T$5,$B$1)</f>
        <v>110.97</v>
      </c>
      <c r="U84" s="55">
        <f>_xll.EQNXTDZ($A$1,$B84,U$5,$B$1)</f>
        <v>0</v>
      </c>
      <c r="V84" s="55">
        <f>_xll.EQNXTDZ($A$1,$B84,V$5,$B$1)</f>
        <v>292.24</v>
      </c>
      <c r="W84" s="55">
        <f>_xll.EQNXTDZ($A$1,$B84,W$5,$B$1)</f>
        <v>0</v>
      </c>
      <c r="X84" s="55">
        <f>_xll.EQNXTDZ($A$1,$B84,X$5,$B$1)</f>
        <v>334.673</v>
      </c>
      <c r="Y84" s="55">
        <f>_xll.EQNXTDZ($A$1,$B84,Y$5,$B$1)</f>
        <v>0</v>
      </c>
      <c r="Z84" s="55">
        <f>_xll.EQNXTDZ($A$1,$B84,Z$5,$B$1)</f>
        <v>1293.48</v>
      </c>
      <c r="AA84" s="55">
        <f>_xll.EQNXTDZ($A$1,$B84,AA$5,$B$1)</f>
        <v>0</v>
      </c>
      <c r="AB84" s="55">
        <f>_xll.EQNXTDZ($A$1,$B84,AB$5,$B$1)</f>
        <v>1291.08</v>
      </c>
      <c r="AC84" s="55">
        <f>_xll.EQNXTDZ($A$1,$B84,AC$5,$B$1)</f>
        <v>0</v>
      </c>
      <c r="AD84" s="55">
        <f>_xll.EQNXTDZ($A$1,$B84,AD$5,$B$1)</f>
        <v>2571.83</v>
      </c>
      <c r="AE84" s="55">
        <f>_xll.EQNXTDZ($A$1,$B84,AE$5,$B$1)</f>
        <v>0</v>
      </c>
      <c r="AF84" s="55">
        <f>_xll.EQNXTDZ($A$1,$B84,AF$5,$B$1)</f>
        <v>215.41</v>
      </c>
      <c r="AG84" s="55">
        <f>_xll.EQNXTDZ($A$1,$B84,AG$5,$B$1)</f>
        <v>0</v>
      </c>
      <c r="AH84" s="55">
        <f>_xll.EQNXTDZ($A$1,$B84,AH$5,$B$1)</f>
        <v>389.37</v>
      </c>
      <c r="AI84" s="55">
        <f>_xll.EQNXTDZ($A$1,$B84,AI$5,$B$1)</f>
        <v>0</v>
      </c>
      <c r="AJ84" s="55">
        <f>_xll.EQNXTDZ($A$1,$B84,AJ$5,$B$1)</f>
        <v>242.81</v>
      </c>
      <c r="AK84" s="55">
        <f>_xll.EQNXTDZ($A$1,$B84,AK$5,$B$1)</f>
        <v>0</v>
      </c>
      <c r="AL84" s="55">
        <f>_xll.EQNXTDZ($A$1,$B84,AL$5,$B$1)</f>
        <v>296.25</v>
      </c>
      <c r="AM84" s="55">
        <f>_xll.EQNXTDZ($A$1,$B84,AM$5,$B$1)</f>
        <v>0</v>
      </c>
      <c r="AN84" s="55">
        <f>_xll.EQNXTDZ($A$1,$B84,AN$5,$B$1)</f>
        <v>273.64</v>
      </c>
      <c r="AO84" s="55">
        <f>_xll.EQNXTDZ($A$1,$B84,AO$5,$B$1)</f>
        <v>0</v>
      </c>
      <c r="AP84" s="55">
        <f>_xll.EQNXTDZ($A$1,$B84,AP$5,$B$1)</f>
        <v>139.51</v>
      </c>
      <c r="AQ84" s="55">
        <f>_xll.EQNXTDZ($A$1,$B84,AQ$5,$B$1)</f>
        <v>0</v>
      </c>
      <c r="AR84" s="55">
        <f>_xll.EQNXTDZ($A$1,$B84,AR$5,$B$1)</f>
        <v>157.83000000000001</v>
      </c>
      <c r="AS84" s="55">
        <f>_xll.EQNXTDZ($A$1,$B84,AS$5,$B$1)</f>
        <v>0</v>
      </c>
      <c r="AT84" s="55">
        <f>_xll.EQNXTDZ($A$1,$B84,AT$5,$B$1)</f>
        <v>81.11</v>
      </c>
      <c r="AU84" s="55">
        <f>_xll.EQNXTDZ($A$1,$B84,AU$5,$B$1)</f>
        <v>0</v>
      </c>
      <c r="AV84" s="55">
        <f>_xll.EQNXTDZ($A$1,$B84,AV$5,$B$1)</f>
        <v>45.65</v>
      </c>
      <c r="AW84" s="55">
        <f>_xll.EQNXTDZ($A$1,$B84,AW$5,$B$1)</f>
        <v>0</v>
      </c>
      <c r="AX84" s="55">
        <f>_xll.EQNXTDZ($A$1,$B84,AX$5,$B$1)</f>
        <v>67.760000000000005</v>
      </c>
      <c r="AY84" s="55">
        <f>_xll.EQNXTDZ($A$1,$B84,AY$5,$B$1)</f>
        <v>0</v>
      </c>
      <c r="AZ84" s="55">
        <f>_xll.EQNXTDZ($A$1,$B84,AZ$5,$B$1)</f>
        <v>56.79</v>
      </c>
      <c r="BA84" s="55">
        <f>_xll.EQNXTDZ($A$1,$B84,BA$5,$B$1)</f>
        <v>0</v>
      </c>
      <c r="BB84" s="55">
        <f>_xll.EQNXTDZ($A$1,$B84,BB$5,$B$1)</f>
        <v>49.39</v>
      </c>
      <c r="BC84" s="55">
        <f>_xll.EQNXTDZ($A$1,$B84,BC$5,$B$1)</f>
        <v>0</v>
      </c>
      <c r="BD84" s="55">
        <f>_xll.EQNXTDZ($A$1,$B84,BD$5,$B$1)</f>
        <v>54.83</v>
      </c>
      <c r="BE84" s="55">
        <f>_xll.EQNXTDZ($A$1,$B84,BE$5,$B$1)</f>
        <v>0</v>
      </c>
      <c r="BF84" s="55">
        <f>_xll.EQNXTDZ($A$1,$B84,BF$5,$B$1)</f>
        <v>50.09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262.52</v>
      </c>
      <c r="E85" s="55">
        <f>_xll.EQNXTDZ($A$1,$B85,E$5,$B$1)</f>
        <v>0</v>
      </c>
      <c r="F85" s="55">
        <f>_xll.EQNXTDZ($A$1,$B85,F$5,$B$1)</f>
        <v>260.61</v>
      </c>
      <c r="G85" s="55">
        <f>_xll.EQNXTDZ($A$1,$B85,G$5,$B$1)</f>
        <v>0</v>
      </c>
      <c r="H85" s="55">
        <f>_xll.EQNXTDZ($A$1,$B85,H$5,$B$1)</f>
        <v>162.21</v>
      </c>
      <c r="I85" s="55">
        <f>_xll.EQNXTDZ($A$1,$B85,I$5,$B$1)</f>
        <v>0</v>
      </c>
      <c r="J85" s="55">
        <f>_xll.EQNXTDZ($A$1,$B85,J$5,$B$1)</f>
        <v>131.19999999999999</v>
      </c>
      <c r="K85" s="55">
        <f>_xll.EQNXTDZ($A$1,$B85,K$5,$B$1)</f>
        <v>0</v>
      </c>
      <c r="L85" s="55">
        <f>_xll.EQNXTDZ($A$1,$B85,L$5,$B$1)</f>
        <v>108.89</v>
      </c>
      <c r="M85" s="55">
        <f>_xll.EQNXTDZ($A$1,$B85,M$5,$B$1)</f>
        <v>0</v>
      </c>
      <c r="N85" s="55">
        <f>_xll.EQNXTDZ($A$1,$B85,N$5,$B$1)</f>
        <v>102.71</v>
      </c>
      <c r="O85" s="55">
        <f>_xll.EQNXTDZ($A$1,$B85,O$5,$B$1)</f>
        <v>0</v>
      </c>
      <c r="P85" s="55">
        <f>_xll.EQNXTDZ($A$1,$B85,P$5,$B$1)</f>
        <v>84.04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14.5</v>
      </c>
      <c r="W85" s="55">
        <f>_xll.EQNXTDZ($A$1,$B85,W$5,$B$1)</f>
        <v>0</v>
      </c>
      <c r="X85" s="55">
        <f>_xll.EQNXTDZ($A$1,$B85,X$5,$B$1)</f>
        <v>19.29</v>
      </c>
      <c r="Y85" s="55">
        <f>_xll.EQNXTDZ($A$1,$B85,Y$5,$B$1)</f>
        <v>0</v>
      </c>
      <c r="Z85" s="55">
        <f>_xll.EQNXTDZ($A$1,$B85,Z$5,$B$1)</f>
        <v>16.149999999999999</v>
      </c>
      <c r="AA85" s="55">
        <f>_xll.EQNXTDZ($A$1,$B85,AA$5,$B$1)</f>
        <v>0</v>
      </c>
      <c r="AB85" s="55">
        <f>_xll.EQNXTDZ($A$1,$B85,AB$5,$B$1)</f>
        <v>10.16</v>
      </c>
      <c r="AC85" s="55">
        <f>_xll.EQNXTDZ($A$1,$B85,AC$5,$B$1)</f>
        <v>0</v>
      </c>
      <c r="AD85" s="55">
        <f>_xll.EQNXTDZ($A$1,$B85,AD$5,$B$1)</f>
        <v>76.930000000000007</v>
      </c>
      <c r="AE85" s="55">
        <f>_xll.EQNXTDZ($A$1,$B85,AE$5,$B$1)</f>
        <v>0</v>
      </c>
      <c r="AF85" s="55">
        <f>_xll.EQNXTDZ($A$1,$B85,AF$5,$B$1)</f>
        <v>6.88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76.92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972.93</v>
      </c>
      <c r="E86" s="55">
        <f>_xll.EQNXTDZ($A$1,$B86,E$5,$B$1)</f>
        <v>0</v>
      </c>
      <c r="F86" s="55">
        <f>_xll.EQNXTDZ($A$1,$B86,F$5,$B$1)</f>
        <v>790.04</v>
      </c>
      <c r="G86" s="55">
        <f>_xll.EQNXTDZ($A$1,$B86,G$5,$B$1)</f>
        <v>0</v>
      </c>
      <c r="H86" s="55">
        <f>_xll.EQNXTDZ($A$1,$B86,H$5,$B$1)</f>
        <v>746.85</v>
      </c>
      <c r="I86" s="55">
        <f>_xll.EQNXTDZ($A$1,$B86,I$5,$B$1)</f>
        <v>0</v>
      </c>
      <c r="J86" s="55">
        <f>_xll.EQNXTDZ($A$1,$B86,J$5,$B$1)</f>
        <v>478.7</v>
      </c>
      <c r="K86" s="55">
        <f>_xll.EQNXTDZ($A$1,$B86,K$5,$B$1)</f>
        <v>0</v>
      </c>
      <c r="L86" s="55">
        <f>_xll.EQNXTDZ($A$1,$B86,L$5,$B$1)</f>
        <v>462.8</v>
      </c>
      <c r="M86" s="55">
        <f>_xll.EQNXTDZ($A$1,$B86,M$5,$B$1)</f>
        <v>0</v>
      </c>
      <c r="N86" s="55">
        <f>_xll.EQNXTDZ($A$1,$B86,N$5,$B$1)</f>
        <v>486.86</v>
      </c>
      <c r="O86" s="55">
        <f>_xll.EQNXTDZ($A$1,$B86,O$5,$B$1)</f>
        <v>0</v>
      </c>
      <c r="P86" s="55">
        <f>_xll.EQNXTDZ($A$1,$B86,P$5,$B$1)</f>
        <v>820.06</v>
      </c>
      <c r="Q86" s="55">
        <f>_xll.EQNXTDZ($A$1,$B86,Q$5,$B$1)</f>
        <v>0</v>
      </c>
      <c r="R86" s="55">
        <f>_xll.EQNXTDZ($A$1,$B86,R$5,$B$1)</f>
        <v>1047.33</v>
      </c>
      <c r="S86" s="55">
        <f>_xll.EQNXTDZ($A$1,$B86,S$5,$B$1)</f>
        <v>0</v>
      </c>
      <c r="T86" s="55">
        <f>_xll.EQNXTDZ($A$1,$B86,T$5,$B$1)</f>
        <v>1278.8399999999999</v>
      </c>
      <c r="U86" s="55">
        <f>_xll.EQNXTDZ($A$1,$B86,U$5,$B$1)</f>
        <v>0</v>
      </c>
      <c r="V86" s="55">
        <f>_xll.EQNXTDZ($A$1,$B86,V$5,$B$1)</f>
        <v>1252.3399999999999</v>
      </c>
      <c r="W86" s="55">
        <f>_xll.EQNXTDZ($A$1,$B86,W$5,$B$1)</f>
        <v>0</v>
      </c>
      <c r="X86" s="55">
        <f>_xll.EQNXTDZ($A$1,$B86,X$5,$B$1)</f>
        <v>997.43299999999999</v>
      </c>
      <c r="Y86" s="55">
        <f>_xll.EQNXTDZ($A$1,$B86,Y$5,$B$1)</f>
        <v>0</v>
      </c>
      <c r="Z86" s="55">
        <f>_xll.EQNXTDZ($A$1,$B86,Z$5,$B$1)</f>
        <v>1884.59</v>
      </c>
      <c r="AA86" s="55">
        <f>_xll.EQNXTDZ($A$1,$B86,AA$5,$B$1)</f>
        <v>0</v>
      </c>
      <c r="AB86" s="55">
        <f>_xll.EQNXTDZ($A$1,$B86,AB$5,$B$1)</f>
        <v>1804.57</v>
      </c>
      <c r="AC86" s="55">
        <f>_xll.EQNXTDZ($A$1,$B86,AC$5,$B$1)</f>
        <v>0</v>
      </c>
      <c r="AD86" s="55">
        <f>_xll.EQNXTDZ($A$1,$B86,AD$5,$B$1)</f>
        <v>3517.84</v>
      </c>
      <c r="AE86" s="55">
        <f>_xll.EQNXTDZ($A$1,$B86,AE$5,$B$1)</f>
        <v>0</v>
      </c>
      <c r="AF86" s="55">
        <f>_xll.EQNXTDZ($A$1,$B86,AF$5,$B$1)</f>
        <v>471.87</v>
      </c>
      <c r="AG86" s="55">
        <f>_xll.EQNXTDZ($A$1,$B86,AG$5,$B$1)</f>
        <v>0</v>
      </c>
      <c r="AH86" s="55">
        <f>_xll.EQNXTDZ($A$1,$B86,AH$5,$B$1)</f>
        <v>595.62</v>
      </c>
      <c r="AI86" s="55">
        <f>_xll.EQNXTDZ($A$1,$B86,AI$5,$B$1)</f>
        <v>0</v>
      </c>
      <c r="AJ86" s="55">
        <f>_xll.EQNXTDZ($A$1,$B86,AJ$5,$B$1)</f>
        <v>597.4</v>
      </c>
      <c r="AK86" s="55">
        <f>_xll.EQNXTDZ($A$1,$B86,AK$5,$B$1)</f>
        <v>0</v>
      </c>
      <c r="AL86" s="55">
        <f>_xll.EQNXTDZ($A$1,$B86,AL$5,$B$1)</f>
        <v>487.99</v>
      </c>
      <c r="AM86" s="55">
        <f>_xll.EQNXTDZ($A$1,$B86,AM$5,$B$1)</f>
        <v>0</v>
      </c>
      <c r="AN86" s="55">
        <f>_xll.EQNXTDZ($A$1,$B86,AN$5,$B$1)</f>
        <v>466.98</v>
      </c>
      <c r="AO86" s="55">
        <f>_xll.EQNXTDZ($A$1,$B86,AO$5,$B$1)</f>
        <v>0</v>
      </c>
      <c r="AP86" s="55">
        <f>_xll.EQNXTDZ($A$1,$B86,AP$5,$B$1)</f>
        <v>378.27</v>
      </c>
      <c r="AQ86" s="55">
        <f>_xll.EQNXTDZ($A$1,$B86,AQ$5,$B$1)</f>
        <v>0</v>
      </c>
      <c r="AR86" s="55">
        <f>_xll.EQNXTDZ($A$1,$B86,AR$5,$B$1)</f>
        <v>348.39</v>
      </c>
      <c r="AS86" s="55">
        <f>_xll.EQNXTDZ($A$1,$B86,AS$5,$B$1)</f>
        <v>0</v>
      </c>
      <c r="AT86" s="55">
        <f>_xll.EQNXTDZ($A$1,$B86,AT$5,$B$1)</f>
        <v>271.47000000000003</v>
      </c>
      <c r="AU86" s="55">
        <f>_xll.EQNXTDZ($A$1,$B86,AU$5,$B$1)</f>
        <v>0</v>
      </c>
      <c r="AV86" s="55">
        <f>_xll.EQNXTDZ($A$1,$B86,AV$5,$B$1)</f>
        <v>261.77</v>
      </c>
      <c r="AW86" s="55">
        <f>_xll.EQNXTDZ($A$1,$B86,AW$5,$B$1)</f>
        <v>0</v>
      </c>
      <c r="AX86" s="55">
        <f>_xll.EQNXTDZ($A$1,$B86,AX$5,$B$1)</f>
        <v>290.49</v>
      </c>
      <c r="AY86" s="55">
        <f>_xll.EQNXTDZ($A$1,$B86,AY$5,$B$1)</f>
        <v>0</v>
      </c>
      <c r="AZ86" s="55">
        <f>_xll.EQNXTDZ($A$1,$B86,AZ$5,$B$1)</f>
        <v>296.14</v>
      </c>
      <c r="BA86" s="55">
        <f>_xll.EQNXTDZ($A$1,$B86,BA$5,$B$1)</f>
        <v>0</v>
      </c>
      <c r="BB86" s="55">
        <f>_xll.EQNXTDZ($A$1,$B86,BB$5,$B$1)</f>
        <v>294.48</v>
      </c>
      <c r="BC86" s="55">
        <f>_xll.EQNXTDZ($A$1,$B86,BC$5,$B$1)</f>
        <v>0</v>
      </c>
      <c r="BD86" s="55">
        <f>_xll.EQNXTDZ($A$1,$B86,BD$5,$B$1)</f>
        <v>253.19</v>
      </c>
      <c r="BE86" s="55">
        <f>_xll.EQNXTDZ($A$1,$B86,BE$5,$B$1)</f>
        <v>0</v>
      </c>
      <c r="BF86" s="55">
        <f>_xll.EQNXTDZ($A$1,$B86,BF$5,$B$1)</f>
        <v>184.33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1539.58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955.18</v>
      </c>
      <c r="E88" s="55">
        <f>_xll.EQNXTDZ($A$1,$B88,E$5,$B$1)</f>
        <v>0</v>
      </c>
      <c r="F88" s="55">
        <f>_xll.EQNXTDZ($A$1,$B88,F$5,$B$1)</f>
        <v>1071.9100000000001</v>
      </c>
      <c r="G88" s="55">
        <f>_xll.EQNXTDZ($A$1,$B88,G$5,$B$1)</f>
        <v>0</v>
      </c>
      <c r="H88" s="55">
        <f>_xll.EQNXTDZ($A$1,$B88,H$5,$B$1)</f>
        <v>1205.5899999999999</v>
      </c>
      <c r="I88" s="55">
        <f>_xll.EQNXTDZ($A$1,$B88,I$5,$B$1)</f>
        <v>0</v>
      </c>
      <c r="J88" s="55">
        <f>_xll.EQNXTDZ($A$1,$B88,J$5,$B$1)</f>
        <v>1422.43</v>
      </c>
      <c r="K88" s="55">
        <f>_xll.EQNXTDZ($A$1,$B88,K$5,$B$1)</f>
        <v>0</v>
      </c>
      <c r="L88" s="55">
        <f>_xll.EQNXTDZ($A$1,$B88,L$5,$B$1)</f>
        <v>1513.01</v>
      </c>
      <c r="M88" s="55">
        <f>_xll.EQNXTDZ($A$1,$B88,M$5,$B$1)</f>
        <v>0</v>
      </c>
      <c r="N88" s="55">
        <f>_xll.EQNXTDZ($A$1,$B88,N$5,$B$1)</f>
        <v>1761.37</v>
      </c>
      <c r="O88" s="55">
        <f>_xll.EQNXTDZ($A$1,$B88,O$5,$B$1)</f>
        <v>0</v>
      </c>
      <c r="P88" s="55">
        <f>_xll.EQNXTDZ($A$1,$B88,P$5,$B$1)</f>
        <v>1684.77</v>
      </c>
      <c r="Q88" s="55">
        <f>_xll.EQNXTDZ($A$1,$B88,Q$5,$B$1)</f>
        <v>0</v>
      </c>
      <c r="R88" s="55">
        <f>_xll.EQNXTDZ($A$1,$B88,R$5,$B$1)</f>
        <v>3414.11</v>
      </c>
      <c r="S88" s="55">
        <f>_xll.EQNXTDZ($A$1,$B88,S$5,$B$1)</f>
        <v>0</v>
      </c>
      <c r="T88" s="55">
        <f>_xll.EQNXTDZ($A$1,$B88,T$5,$B$1)</f>
        <v>1551.81</v>
      </c>
      <c r="U88" s="55">
        <f>_xll.EQNXTDZ($A$1,$B88,U$5,$B$1)</f>
        <v>0</v>
      </c>
      <c r="V88" s="55">
        <f>_xll.EQNXTDZ($A$1,$B88,V$5,$B$1)</f>
        <v>4305.3599999999997</v>
      </c>
      <c r="W88" s="55">
        <f>_xll.EQNXTDZ($A$1,$B88,W$5,$B$1)</f>
        <v>0</v>
      </c>
      <c r="X88" s="55">
        <f>_xll.EQNXTDZ($A$1,$B88,X$5,$B$1)</f>
        <v>3583.86</v>
      </c>
      <c r="Y88" s="55">
        <f>_xll.EQNXTDZ($A$1,$B88,Y$5,$B$1)</f>
        <v>0</v>
      </c>
      <c r="Z88" s="55">
        <f>_xll.EQNXTDZ($A$1,$B88,Z$5,$B$1)</f>
        <v>5306.44</v>
      </c>
      <c r="AA88" s="55">
        <f>_xll.EQNXTDZ($A$1,$B88,AA$5,$B$1)</f>
        <v>0</v>
      </c>
      <c r="AB88" s="55">
        <f>_xll.EQNXTDZ($A$1,$B88,AB$5,$B$1)</f>
        <v>4557.54</v>
      </c>
      <c r="AC88" s="55">
        <f>_xll.EQNXTDZ($A$1,$B88,AC$5,$B$1)</f>
        <v>0</v>
      </c>
      <c r="AD88" s="55">
        <f>_xll.EQNXTDZ($A$1,$B88,AD$5,$B$1)</f>
        <v>6931.1</v>
      </c>
      <c r="AE88" s="55">
        <f>_xll.EQNXTDZ($A$1,$B88,AE$5,$B$1)</f>
        <v>0</v>
      </c>
      <c r="AF88" s="55">
        <f>_xll.EQNXTDZ($A$1,$B88,AF$5,$B$1)</f>
        <v>3571.94</v>
      </c>
      <c r="AG88" s="55">
        <f>_xll.EQNXTDZ($A$1,$B88,AG$5,$B$1)</f>
        <v>0</v>
      </c>
      <c r="AH88" s="55">
        <f>_xll.EQNXTDZ($A$1,$B88,AH$5,$B$1)</f>
        <v>4338.1400000000003</v>
      </c>
      <c r="AI88" s="55">
        <f>_xll.EQNXTDZ($A$1,$B88,AI$5,$B$1)</f>
        <v>0</v>
      </c>
      <c r="AJ88" s="55">
        <f>_xll.EQNXTDZ($A$1,$B88,AJ$5,$B$1)</f>
        <v>4431.88</v>
      </c>
      <c r="AK88" s="55">
        <f>_xll.EQNXTDZ($A$1,$B88,AK$5,$B$1)</f>
        <v>0</v>
      </c>
      <c r="AL88" s="55">
        <f>_xll.EQNXTDZ($A$1,$B88,AL$5,$B$1)</f>
        <v>9560.36</v>
      </c>
      <c r="AM88" s="55">
        <f>_xll.EQNXTDZ($A$1,$B88,AM$5,$B$1)</f>
        <v>0</v>
      </c>
      <c r="AN88" s="55">
        <f>_xll.EQNXTDZ($A$1,$B88,AN$5,$B$1)</f>
        <v>11547.72</v>
      </c>
      <c r="AO88" s="55">
        <f>_xll.EQNXTDZ($A$1,$B88,AO$5,$B$1)</f>
        <v>0</v>
      </c>
      <c r="AP88" s="55">
        <f>_xll.EQNXTDZ($A$1,$B88,AP$5,$B$1)</f>
        <v>8993.0300000000007</v>
      </c>
      <c r="AQ88" s="55">
        <f>_xll.EQNXTDZ($A$1,$B88,AQ$5,$B$1)</f>
        <v>0</v>
      </c>
      <c r="AR88" s="55">
        <f>_xll.EQNXTDZ($A$1,$B88,AR$5,$B$1)</f>
        <v>5909.79</v>
      </c>
      <c r="AS88" s="55">
        <f>_xll.EQNXTDZ($A$1,$B88,AS$5,$B$1)</f>
        <v>0</v>
      </c>
      <c r="AT88" s="55">
        <f>_xll.EQNXTDZ($A$1,$B88,AT$5,$B$1)</f>
        <v>9798.0300000000007</v>
      </c>
      <c r="AU88" s="55">
        <f>_xll.EQNXTDZ($A$1,$B88,AU$5,$B$1)</f>
        <v>0</v>
      </c>
      <c r="AV88" s="55">
        <f>_xll.EQNXTDZ($A$1,$B88,AV$5,$B$1)</f>
        <v>11988.32</v>
      </c>
      <c r="AW88" s="55">
        <f>_xll.EQNXTDZ($A$1,$B88,AW$5,$B$1)</f>
        <v>0</v>
      </c>
      <c r="AX88" s="55">
        <f>_xll.EQNXTDZ($A$1,$B88,AX$5,$B$1)</f>
        <v>6997.78</v>
      </c>
      <c r="AY88" s="55">
        <f>_xll.EQNXTDZ($A$1,$B88,AY$5,$B$1)</f>
        <v>0</v>
      </c>
      <c r="AZ88" s="55">
        <f>_xll.EQNXTDZ($A$1,$B88,AZ$5,$B$1)</f>
        <v>5371.96</v>
      </c>
      <c r="BA88" s="55">
        <f>_xll.EQNXTDZ($A$1,$B88,BA$5,$B$1)</f>
        <v>0</v>
      </c>
      <c r="BB88" s="55">
        <f>_xll.EQNXTDZ($A$1,$B88,BB$5,$B$1)</f>
        <v>9477.08</v>
      </c>
      <c r="BC88" s="55">
        <f>_xll.EQNXTDZ($A$1,$B88,BC$5,$B$1)</f>
        <v>0</v>
      </c>
      <c r="BD88" s="55">
        <f>_xll.EQNXTDZ($A$1,$B88,BD$5,$B$1)</f>
        <v>10836.62</v>
      </c>
      <c r="BE88" s="55">
        <f>_xll.EQNXTDZ($A$1,$B88,BE$5,$B$1)</f>
        <v>0</v>
      </c>
      <c r="BF88" s="55">
        <f>_xll.EQNXTDZ($A$1,$B88,BF$5,$B$1)</f>
        <v>17743.27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692.48</v>
      </c>
      <c r="G89" s="55">
        <f>_xll.EQNXTDZ($A$1,$B89,G$5,$B$1)</f>
        <v>0</v>
      </c>
      <c r="H89" s="55">
        <f>_xll.EQNXTDZ($A$1,$B89,H$5,$B$1)</f>
        <v>716</v>
      </c>
      <c r="I89" s="55">
        <f>_xll.EQNXTDZ($A$1,$B89,I$5,$B$1)</f>
        <v>0</v>
      </c>
      <c r="J89" s="55">
        <f>_xll.EQNXTDZ($A$1,$B89,J$5,$B$1)</f>
        <v>711.53</v>
      </c>
      <c r="K89" s="55">
        <f>_xll.EQNXTDZ($A$1,$B89,K$5,$B$1)</f>
        <v>0</v>
      </c>
      <c r="L89" s="55">
        <f>_xll.EQNXTDZ($A$1,$B89,L$5,$B$1)</f>
        <v>782.38</v>
      </c>
      <c r="M89" s="55">
        <f>_xll.EQNXTDZ($A$1,$B89,M$5,$B$1)</f>
        <v>0</v>
      </c>
      <c r="N89" s="55">
        <f>_xll.EQNXTDZ($A$1,$B89,N$5,$B$1)</f>
        <v>704.23</v>
      </c>
      <c r="O89" s="55">
        <f>_xll.EQNXTDZ($A$1,$B89,O$5,$B$1)</f>
        <v>0</v>
      </c>
      <c r="P89" s="55">
        <f>_xll.EQNXTDZ($A$1,$B89,P$5,$B$1)</f>
        <v>776.84</v>
      </c>
      <c r="Q89" s="55">
        <f>_xll.EQNXTDZ($A$1,$B89,Q$5,$B$1)</f>
        <v>0</v>
      </c>
      <c r="R89" s="55">
        <f>_xll.EQNXTDZ($A$1,$B89,R$5,$B$1)</f>
        <v>608.11</v>
      </c>
      <c r="S89" s="55">
        <f>_xll.EQNXTDZ($A$1,$B89,S$5,$B$1)</f>
        <v>0</v>
      </c>
      <c r="T89" s="55">
        <f>_xll.EQNXTDZ($A$1,$B89,T$5,$B$1)</f>
        <v>774</v>
      </c>
      <c r="U89" s="55">
        <f>_xll.EQNXTDZ($A$1,$B89,U$5,$B$1)</f>
        <v>0</v>
      </c>
      <c r="V89" s="55">
        <f>_xll.EQNXTDZ($A$1,$B89,V$5,$B$1)</f>
        <v>521.25</v>
      </c>
      <c r="W89" s="55">
        <f>_xll.EQNXTDZ($A$1,$B89,W$5,$B$1)</f>
        <v>0</v>
      </c>
      <c r="X89" s="55">
        <f>_xll.EQNXTDZ($A$1,$B89,X$5,$B$1)</f>
        <v>630.41999999999996</v>
      </c>
      <c r="Y89" s="55">
        <f>_xll.EQNXTDZ($A$1,$B89,Y$5,$B$1)</f>
        <v>0</v>
      </c>
      <c r="Z89" s="55">
        <f>_xll.EQNXTDZ($A$1,$B89,Z$5,$B$1)</f>
        <v>482.19</v>
      </c>
      <c r="AA89" s="55">
        <f>_xll.EQNXTDZ($A$1,$B89,AA$5,$B$1)</f>
        <v>0</v>
      </c>
      <c r="AB89" s="55">
        <f>_xll.EQNXTDZ($A$1,$B89,AB$5,$B$1)</f>
        <v>436.34</v>
      </c>
      <c r="AC89" s="55">
        <f>_xll.EQNXTDZ($A$1,$B89,AC$5,$B$1)</f>
        <v>0</v>
      </c>
      <c r="AD89" s="55">
        <f>_xll.EQNXTDZ($A$1,$B89,AD$5,$B$1)</f>
        <v>208.66</v>
      </c>
      <c r="AE89" s="55">
        <f>_xll.EQNXTDZ($A$1,$B89,AE$5,$B$1)</f>
        <v>0</v>
      </c>
      <c r="AF89" s="55">
        <f>_xll.EQNXTDZ($A$1,$B89,AF$5,$B$1)</f>
        <v>306.45</v>
      </c>
      <c r="AG89" s="55">
        <f>_xll.EQNXTDZ($A$1,$B89,AG$5,$B$1)</f>
        <v>0</v>
      </c>
      <c r="AH89" s="55">
        <f>_xll.EQNXTDZ($A$1,$B89,AH$5,$B$1)</f>
        <v>291.07</v>
      </c>
      <c r="AI89" s="55">
        <f>_xll.EQNXTDZ($A$1,$B89,AI$5,$B$1)</f>
        <v>0</v>
      </c>
      <c r="AJ89" s="55">
        <f>_xll.EQNXTDZ($A$1,$B89,AJ$5,$B$1)</f>
        <v>335.88</v>
      </c>
      <c r="AK89" s="55">
        <f>_xll.EQNXTDZ($A$1,$B89,AK$5,$B$1)</f>
        <v>0</v>
      </c>
      <c r="AL89" s="55">
        <f>_xll.EQNXTDZ($A$1,$B89,AL$5,$B$1)</f>
        <v>258.7</v>
      </c>
      <c r="AM89" s="55">
        <f>_xll.EQNXTDZ($A$1,$B89,AM$5,$B$1)</f>
        <v>0</v>
      </c>
      <c r="AN89" s="55">
        <f>_xll.EQNXTDZ($A$1,$B89,AN$5,$B$1)</f>
        <v>238.65</v>
      </c>
      <c r="AO89" s="55">
        <f>_xll.EQNXTDZ($A$1,$B89,AO$5,$B$1)</f>
        <v>0</v>
      </c>
      <c r="AP89" s="55">
        <f>_xll.EQNXTDZ($A$1,$B89,AP$5,$B$1)</f>
        <v>224.21</v>
      </c>
      <c r="AQ89" s="55">
        <f>_xll.EQNXTDZ($A$1,$B89,AQ$5,$B$1)</f>
        <v>0</v>
      </c>
      <c r="AR89" s="55">
        <f>_xll.EQNXTDZ($A$1,$B89,AR$5,$B$1)</f>
        <v>240.85</v>
      </c>
      <c r="AS89" s="55">
        <f>_xll.EQNXTDZ($A$1,$B89,AS$5,$B$1)</f>
        <v>0</v>
      </c>
      <c r="AT89" s="55">
        <f>_xll.EQNXTDZ($A$1,$B89,AT$5,$B$1)</f>
        <v>209.09</v>
      </c>
      <c r="AU89" s="55">
        <f>_xll.EQNXTDZ($A$1,$B89,AU$5,$B$1)</f>
        <v>0</v>
      </c>
      <c r="AV89" s="55">
        <f>_xll.EQNXTDZ($A$1,$B89,AV$5,$B$1)</f>
        <v>250.14</v>
      </c>
      <c r="AW89" s="55">
        <f>_xll.EQNXTDZ($A$1,$B89,AW$5,$B$1)</f>
        <v>0</v>
      </c>
      <c r="AX89" s="55">
        <f>_xll.EQNXTDZ($A$1,$B89,AX$5,$B$1)</f>
        <v>267.14</v>
      </c>
      <c r="AY89" s="55">
        <f>_xll.EQNXTDZ($A$1,$B89,AY$5,$B$1)</f>
        <v>0</v>
      </c>
      <c r="AZ89" s="55">
        <f>_xll.EQNXTDZ($A$1,$B89,AZ$5,$B$1)</f>
        <v>308.52999999999997</v>
      </c>
      <c r="BA89" s="55">
        <f>_xll.EQNXTDZ($A$1,$B89,BA$5,$B$1)</f>
        <v>0</v>
      </c>
      <c r="BB89" s="55">
        <f>_xll.EQNXTDZ($A$1,$B89,BB$5,$B$1)</f>
        <v>210.58</v>
      </c>
      <c r="BC89" s="55">
        <f>_xll.EQNXTDZ($A$1,$B89,BC$5,$B$1)</f>
        <v>0</v>
      </c>
      <c r="BD89" s="55">
        <f>_xll.EQNXTDZ($A$1,$B89,BD$5,$B$1)</f>
        <v>262.94</v>
      </c>
      <c r="BE89" s="55">
        <f>_xll.EQNXTDZ($A$1,$B89,BE$5,$B$1)</f>
        <v>0</v>
      </c>
      <c r="BF89" s="55">
        <f>_xll.EQNXTDZ($A$1,$B89,BF$5,$B$1)</f>
        <v>239.14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759.82</v>
      </c>
      <c r="G91" s="55">
        <f>_xll.EQNXTDZ($A$1,$B91,G$5,$B$1)</f>
        <v>0</v>
      </c>
      <c r="H91" s="55">
        <f>_xll.EQNXTDZ($A$1,$B91,H$5,$B$1)</f>
        <v>763.42</v>
      </c>
      <c r="I91" s="55">
        <f>_xll.EQNXTDZ($A$1,$B91,I$5,$B$1)</f>
        <v>0</v>
      </c>
      <c r="J91" s="55">
        <f>_xll.EQNXTDZ($A$1,$B91,J$5,$B$1)</f>
        <v>669.9</v>
      </c>
      <c r="K91" s="55">
        <f>_xll.EQNXTDZ($A$1,$B91,K$5,$B$1)</f>
        <v>0</v>
      </c>
      <c r="L91" s="55">
        <f>_xll.EQNXTDZ($A$1,$B91,L$5,$B$1)</f>
        <v>736.05</v>
      </c>
      <c r="M91" s="55">
        <f>_xll.EQNXTDZ($A$1,$B91,M$5,$B$1)</f>
        <v>0</v>
      </c>
      <c r="N91" s="55">
        <f>_xll.EQNXTDZ($A$1,$B91,N$5,$B$1)</f>
        <v>985.25</v>
      </c>
      <c r="O91" s="55">
        <f>_xll.EQNXTDZ($A$1,$B91,O$5,$B$1)</f>
        <v>0</v>
      </c>
      <c r="P91" s="55">
        <f>_xll.EQNXTDZ($A$1,$B91,P$5,$B$1)</f>
        <v>1229.45</v>
      </c>
      <c r="Q91" s="55">
        <f>_xll.EQNXTDZ($A$1,$B91,Q$5,$B$1)</f>
        <v>0</v>
      </c>
      <c r="R91" s="55">
        <f>_xll.EQNXTDZ($A$1,$B91,R$5,$B$1)</f>
        <v>1350.05</v>
      </c>
      <c r="S91" s="55">
        <f>_xll.EQNXTDZ($A$1,$B91,S$5,$B$1)</f>
        <v>0</v>
      </c>
      <c r="T91" s="55">
        <f>_xll.EQNXTDZ($A$1,$B91,T$5,$B$1)</f>
        <v>1876.28</v>
      </c>
      <c r="U91" s="55">
        <f>_xll.EQNXTDZ($A$1,$B91,U$5,$B$1)</f>
        <v>0</v>
      </c>
      <c r="V91" s="55">
        <f>_xll.EQNXTDZ($A$1,$B91,V$5,$B$1)</f>
        <v>1640.88</v>
      </c>
      <c r="W91" s="55">
        <f>_xll.EQNXTDZ($A$1,$B91,W$5,$B$1)</f>
        <v>0</v>
      </c>
      <c r="X91" s="55">
        <f>_xll.EQNXTDZ($A$1,$B91,X$5,$B$1)</f>
        <v>2241.61</v>
      </c>
      <c r="Y91" s="55">
        <f>_xll.EQNXTDZ($A$1,$B91,Y$5,$B$1)</f>
        <v>0</v>
      </c>
      <c r="Z91" s="55">
        <f>_xll.EQNXTDZ($A$1,$B91,Z$5,$B$1)</f>
        <v>3873.34</v>
      </c>
      <c r="AA91" s="55">
        <f>_xll.EQNXTDZ($A$1,$B91,AA$5,$B$1)</f>
        <v>0</v>
      </c>
      <c r="AB91" s="55">
        <f>_xll.EQNXTDZ($A$1,$B91,AB$5,$B$1)</f>
        <v>4023.63</v>
      </c>
      <c r="AC91" s="55">
        <f>_xll.EQNXTDZ($A$1,$B91,AC$5,$B$1)</f>
        <v>0</v>
      </c>
      <c r="AD91" s="55">
        <f>_xll.EQNXTDZ($A$1,$B91,AD$5,$B$1)</f>
        <v>6424.87</v>
      </c>
      <c r="AE91" s="55">
        <f>_xll.EQNXTDZ($A$1,$B91,AE$5,$B$1)</f>
        <v>0</v>
      </c>
      <c r="AF91" s="55">
        <f>_xll.EQNXTDZ($A$1,$B91,AF$5,$B$1)</f>
        <v>3592.07</v>
      </c>
      <c r="AG91" s="55">
        <f>_xll.EQNXTDZ($A$1,$B91,AG$5,$B$1)</f>
        <v>0</v>
      </c>
      <c r="AH91" s="55">
        <f>_xll.EQNXTDZ($A$1,$B91,AH$5,$B$1)</f>
        <v>6381.24</v>
      </c>
      <c r="AI91" s="55">
        <f>_xll.EQNXTDZ($A$1,$B91,AI$5,$B$1)</f>
        <v>0</v>
      </c>
      <c r="AJ91" s="55">
        <f>_xll.EQNXTDZ($A$1,$B91,AJ$5,$B$1)</f>
        <v>4393.76</v>
      </c>
      <c r="AK91" s="55">
        <f>_xll.EQNXTDZ($A$1,$B91,AK$5,$B$1)</f>
        <v>0</v>
      </c>
      <c r="AL91" s="55">
        <f>_xll.EQNXTDZ($A$1,$B91,AL$5,$B$1)</f>
        <v>134.54</v>
      </c>
      <c r="AM91" s="55">
        <f>_xll.EQNXTDZ($A$1,$B91,AM$5,$B$1)</f>
        <v>0</v>
      </c>
      <c r="AN91" s="55">
        <f>_xll.EQNXTDZ($A$1,$B91,AN$5,$B$1)</f>
        <v>170.01</v>
      </c>
      <c r="AO91" s="55">
        <f>_xll.EQNXTDZ($A$1,$B91,AO$5,$B$1)</f>
        <v>0</v>
      </c>
      <c r="AP91" s="55">
        <f>_xll.EQNXTDZ($A$1,$B91,AP$5,$B$1)</f>
        <v>149.47</v>
      </c>
      <c r="AQ91" s="55">
        <f>_xll.EQNXTDZ($A$1,$B91,AQ$5,$B$1)</f>
        <v>0</v>
      </c>
      <c r="AR91" s="55">
        <f>_xll.EQNXTDZ($A$1,$B91,AR$5,$B$1)</f>
        <v>127.39</v>
      </c>
      <c r="AS91" s="55">
        <f>_xll.EQNXTDZ($A$1,$B91,AS$5,$B$1)</f>
        <v>0</v>
      </c>
      <c r="AT91" s="55">
        <f>_xll.EQNXTDZ($A$1,$B91,AT$5,$B$1)</f>
        <v>158.34</v>
      </c>
      <c r="AU91" s="55">
        <f>_xll.EQNXTDZ($A$1,$B91,AU$5,$B$1)</f>
        <v>0</v>
      </c>
      <c r="AV91" s="55">
        <f>_xll.EQNXTDZ($A$1,$B91,AV$5,$B$1)</f>
        <v>125.15</v>
      </c>
      <c r="AW91" s="55">
        <f>_xll.EQNXTDZ($A$1,$B91,AW$5,$B$1)</f>
        <v>0</v>
      </c>
      <c r="AX91" s="55">
        <f>_xll.EQNXTDZ($A$1,$B91,AX$5,$B$1)</f>
        <v>211.82</v>
      </c>
      <c r="AY91" s="55">
        <f>_xll.EQNXTDZ($A$1,$B91,AY$5,$B$1)</f>
        <v>0</v>
      </c>
      <c r="AZ91" s="55">
        <f>_xll.EQNXTDZ($A$1,$B91,AZ$5,$B$1)</f>
        <v>186.13</v>
      </c>
      <c r="BA91" s="55">
        <f>_xll.EQNXTDZ($A$1,$B91,BA$5,$B$1)</f>
        <v>0</v>
      </c>
      <c r="BB91" s="55">
        <f>_xll.EQNXTDZ($A$1,$B91,BB$5,$B$1)</f>
        <v>213.38</v>
      </c>
      <c r="BC91" s="55">
        <f>_xll.EQNXTDZ($A$1,$B91,BC$5,$B$1)</f>
        <v>0</v>
      </c>
      <c r="BD91" s="55">
        <f>_xll.EQNXTDZ($A$1,$B91,BD$5,$B$1)</f>
        <v>147.37</v>
      </c>
      <c r="BE91" s="55">
        <f>_xll.EQNXTDZ($A$1,$B91,BE$5,$B$1)</f>
        <v>0</v>
      </c>
      <c r="BF91" s="55">
        <f>_xll.EQNXTDZ($A$1,$B91,BF$5,$B$1)</f>
        <v>151.63999999999999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222.87</v>
      </c>
      <c r="E92" s="55">
        <f>_xll.EQNXTDZ($A$1,$B92,E$5,$B$1)</f>
        <v>0</v>
      </c>
      <c r="F92" s="55">
        <f>_xll.EQNXTDZ($A$1,$B92,F$5,$B$1)</f>
        <v>411.04</v>
      </c>
      <c r="G92" s="55">
        <f>_xll.EQNXTDZ($A$1,$B92,G$5,$B$1)</f>
        <v>0</v>
      </c>
      <c r="H92" s="55">
        <f>_xll.EQNXTDZ($A$1,$B92,H$5,$B$1)</f>
        <v>433.13</v>
      </c>
      <c r="I92" s="55">
        <f>_xll.EQNXTDZ($A$1,$B92,I$5,$B$1)</f>
        <v>0</v>
      </c>
      <c r="J92" s="55">
        <f>_xll.EQNXTDZ($A$1,$B92,J$5,$B$1)</f>
        <v>474.72</v>
      </c>
      <c r="K92" s="55">
        <f>_xll.EQNXTDZ($A$1,$B92,K$5,$B$1)</f>
        <v>0</v>
      </c>
      <c r="L92" s="55">
        <f>_xll.EQNXTDZ($A$1,$B92,L$5,$B$1)</f>
        <v>490.6</v>
      </c>
      <c r="M92" s="55">
        <f>_xll.EQNXTDZ($A$1,$B92,M$5,$B$1)</f>
        <v>0</v>
      </c>
      <c r="N92" s="55">
        <f>_xll.EQNXTDZ($A$1,$B92,N$5,$B$1)</f>
        <v>535.22</v>
      </c>
      <c r="O92" s="55">
        <f>_xll.EQNXTDZ($A$1,$B92,O$5,$B$1)</f>
        <v>0</v>
      </c>
      <c r="P92" s="55">
        <f>_xll.EQNXTDZ($A$1,$B92,P$5,$B$1)</f>
        <v>576.07000000000005</v>
      </c>
      <c r="Q92" s="55">
        <f>_xll.EQNXTDZ($A$1,$B92,Q$5,$B$1)</f>
        <v>0</v>
      </c>
      <c r="R92" s="55">
        <f>_xll.EQNXTDZ($A$1,$B92,R$5,$B$1)</f>
        <v>546.37</v>
      </c>
      <c r="S92" s="55">
        <f>_xll.EQNXTDZ($A$1,$B92,S$5,$B$1)</f>
        <v>0</v>
      </c>
      <c r="T92" s="55">
        <f>_xll.EQNXTDZ($A$1,$B92,T$5,$B$1)</f>
        <v>564.65</v>
      </c>
      <c r="U92" s="55">
        <f>_xll.EQNXTDZ($A$1,$B92,U$5,$B$1)</f>
        <v>0</v>
      </c>
      <c r="V92" s="55">
        <f>_xll.EQNXTDZ($A$1,$B92,V$5,$B$1)</f>
        <v>683.29</v>
      </c>
      <c r="W92" s="55">
        <f>_xll.EQNXTDZ($A$1,$B92,W$5,$B$1)</f>
        <v>0</v>
      </c>
      <c r="X92" s="55">
        <f>_xll.EQNXTDZ($A$1,$B92,X$5,$B$1)</f>
        <v>687.23</v>
      </c>
      <c r="Y92" s="55">
        <f>_xll.EQNXTDZ($A$1,$B92,Y$5,$B$1)</f>
        <v>0</v>
      </c>
      <c r="Z92" s="55">
        <f>_xll.EQNXTDZ($A$1,$B92,Z$5,$B$1)</f>
        <v>890.92</v>
      </c>
      <c r="AA92" s="55">
        <f>_xll.EQNXTDZ($A$1,$B92,AA$5,$B$1)</f>
        <v>0</v>
      </c>
      <c r="AB92" s="55">
        <f>_xll.EQNXTDZ($A$1,$B92,AB$5,$B$1)</f>
        <v>933.06</v>
      </c>
      <c r="AC92" s="55">
        <f>_xll.EQNXTDZ($A$1,$B92,AC$5,$B$1)</f>
        <v>0</v>
      </c>
      <c r="AD92" s="55">
        <f>_xll.EQNXTDZ($A$1,$B92,AD$5,$B$1)</f>
        <v>55.12</v>
      </c>
      <c r="AE92" s="55">
        <f>_xll.EQNXTDZ($A$1,$B92,AE$5,$B$1)</f>
        <v>0</v>
      </c>
      <c r="AF92" s="55">
        <f>_xll.EQNXTDZ($A$1,$B92,AF$5,$B$1)</f>
        <v>2009.1</v>
      </c>
      <c r="AG92" s="55">
        <f>_xll.EQNXTDZ($A$1,$B92,AG$5,$B$1)</f>
        <v>0</v>
      </c>
      <c r="AH92" s="55">
        <f>_xll.EQNXTDZ($A$1,$B92,AH$5,$B$1)</f>
        <v>1866.94</v>
      </c>
      <c r="AI92" s="55">
        <f>_xll.EQNXTDZ($A$1,$B92,AI$5,$B$1)</f>
        <v>0</v>
      </c>
      <c r="AJ92" s="55">
        <f>_xll.EQNXTDZ($A$1,$B92,AJ$5,$B$1)</f>
        <v>53.45</v>
      </c>
      <c r="AK92" s="55">
        <f>_xll.EQNXTDZ($A$1,$B92,AK$5,$B$1)</f>
        <v>0</v>
      </c>
      <c r="AL92" s="55">
        <f>_xll.EQNXTDZ($A$1,$B92,AL$5,$B$1)</f>
        <v>55.74</v>
      </c>
      <c r="AM92" s="55">
        <f>_xll.EQNXTDZ($A$1,$B92,AM$5,$B$1)</f>
        <v>0</v>
      </c>
      <c r="AN92" s="55">
        <f>_xll.EQNXTDZ($A$1,$B92,AN$5,$B$1)</f>
        <v>53.34</v>
      </c>
      <c r="AO92" s="55">
        <f>_xll.EQNXTDZ($A$1,$B92,AO$5,$B$1)</f>
        <v>0</v>
      </c>
      <c r="AP92" s="55">
        <f>_xll.EQNXTDZ($A$1,$B92,AP$5,$B$1)</f>
        <v>56.69</v>
      </c>
      <c r="AQ92" s="55">
        <f>_xll.EQNXTDZ($A$1,$B92,AQ$5,$B$1)</f>
        <v>0</v>
      </c>
      <c r="AR92" s="55">
        <f>_xll.EQNXTDZ($A$1,$B92,AR$5,$B$1)</f>
        <v>55.74</v>
      </c>
      <c r="AS92" s="55">
        <f>_xll.EQNXTDZ($A$1,$B92,AS$5,$B$1)</f>
        <v>0</v>
      </c>
      <c r="AT92" s="55">
        <f>_xll.EQNXTDZ($A$1,$B92,AT$5,$B$1)</f>
        <v>55.93</v>
      </c>
      <c r="AU92" s="55">
        <f>_xll.EQNXTDZ($A$1,$B92,AU$5,$B$1)</f>
        <v>0</v>
      </c>
      <c r="AV92" s="55">
        <f>_xll.EQNXTDZ($A$1,$B92,AV$5,$B$1)</f>
        <v>54.2</v>
      </c>
      <c r="AW92" s="55">
        <f>_xll.EQNXTDZ($A$1,$B92,AW$5,$B$1)</f>
        <v>0</v>
      </c>
      <c r="AX92" s="55">
        <f>_xll.EQNXTDZ($A$1,$B92,AX$5,$B$1)</f>
        <v>58</v>
      </c>
      <c r="AY92" s="55">
        <f>_xll.EQNXTDZ($A$1,$B92,AY$5,$B$1)</f>
        <v>0</v>
      </c>
      <c r="AZ92" s="55">
        <f>_xll.EQNXTDZ($A$1,$B92,AZ$5,$B$1)</f>
        <v>57.74</v>
      </c>
      <c r="BA92" s="55">
        <f>_xll.EQNXTDZ($A$1,$B92,BA$5,$B$1)</f>
        <v>0</v>
      </c>
      <c r="BB92" s="55">
        <f>_xll.EQNXTDZ($A$1,$B92,BB$5,$B$1)</f>
        <v>55.86</v>
      </c>
      <c r="BC92" s="55">
        <f>_xll.EQNXTDZ($A$1,$B92,BC$5,$B$1)</f>
        <v>0</v>
      </c>
      <c r="BD92" s="55">
        <f>_xll.EQNXTDZ($A$1,$B92,BD$5,$B$1)</f>
        <v>47.17</v>
      </c>
      <c r="BE92" s="55">
        <f>_xll.EQNXTDZ($A$1,$B92,BE$5,$B$1)</f>
        <v>0</v>
      </c>
      <c r="BF92" s="55">
        <f>_xll.EQNXTDZ($A$1,$B92,BF$5,$B$1)</f>
        <v>50.09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2717.63</v>
      </c>
      <c r="E93" s="55">
        <f>_xll.EQNXTDZ($A$1,$B93,E$5,$B$1)</f>
        <v>0</v>
      </c>
      <c r="F93" s="55">
        <f>_xll.EQNXTDZ($A$1,$B93,F$5,$B$1)</f>
        <v>2935.25</v>
      </c>
      <c r="G93" s="55">
        <f>_xll.EQNXTDZ($A$1,$B93,G$5,$B$1)</f>
        <v>0</v>
      </c>
      <c r="H93" s="55">
        <f>_xll.EQNXTDZ($A$1,$B93,H$5,$B$1)</f>
        <v>3118.14</v>
      </c>
      <c r="I93" s="55">
        <f>_xll.EQNXTDZ($A$1,$B93,I$5,$B$1)</f>
        <v>0</v>
      </c>
      <c r="J93" s="55">
        <f>_xll.EQNXTDZ($A$1,$B93,J$5,$B$1)</f>
        <v>3278.58</v>
      </c>
      <c r="K93" s="55">
        <f>_xll.EQNXTDZ($A$1,$B93,K$5,$B$1)</f>
        <v>0</v>
      </c>
      <c r="L93" s="55">
        <f>_xll.EQNXTDZ($A$1,$B93,L$5,$B$1)</f>
        <v>3522.04</v>
      </c>
      <c r="M93" s="55">
        <f>_xll.EQNXTDZ($A$1,$B93,M$5,$B$1)</f>
        <v>0</v>
      </c>
      <c r="N93" s="55">
        <f>_xll.EQNXTDZ($A$1,$B93,N$5,$B$1)</f>
        <v>3986.07</v>
      </c>
      <c r="O93" s="55">
        <f>_xll.EQNXTDZ($A$1,$B93,O$5,$B$1)</f>
        <v>0</v>
      </c>
      <c r="P93" s="55">
        <f>_xll.EQNXTDZ($A$1,$B93,P$5,$B$1)</f>
        <v>4267.13</v>
      </c>
      <c r="Q93" s="55">
        <f>_xll.EQNXTDZ($A$1,$B93,Q$5,$B$1)</f>
        <v>0</v>
      </c>
      <c r="R93" s="55">
        <f>_xll.EQNXTDZ($A$1,$B93,R$5,$B$1)</f>
        <v>5918.64</v>
      </c>
      <c r="S93" s="55">
        <f>_xll.EQNXTDZ($A$1,$B93,S$5,$B$1)</f>
        <v>0</v>
      </c>
      <c r="T93" s="55">
        <f>_xll.EQNXTDZ($A$1,$B93,T$5,$B$1)</f>
        <v>4766.74</v>
      </c>
      <c r="U93" s="55">
        <f>_xll.EQNXTDZ($A$1,$B93,U$5,$B$1)</f>
        <v>0</v>
      </c>
      <c r="V93" s="55">
        <f>_xll.EQNXTDZ($A$1,$B93,V$5,$B$1)</f>
        <v>7150.78</v>
      </c>
      <c r="W93" s="55">
        <f>_xll.EQNXTDZ($A$1,$B93,W$5,$B$1)</f>
        <v>0</v>
      </c>
      <c r="X93" s="55">
        <f>_xll.EQNXTDZ($A$1,$B93,X$5,$B$1)</f>
        <v>7143.12</v>
      </c>
      <c r="Y93" s="55">
        <f>_xll.EQNXTDZ($A$1,$B93,Y$5,$B$1)</f>
        <v>0</v>
      </c>
      <c r="Z93" s="55">
        <f>_xll.EQNXTDZ($A$1,$B93,Z$5,$B$1)</f>
        <v>10552.89</v>
      </c>
      <c r="AA93" s="55">
        <f>_xll.EQNXTDZ($A$1,$B93,AA$5,$B$1)</f>
        <v>0</v>
      </c>
      <c r="AB93" s="55">
        <f>_xll.EQNXTDZ($A$1,$B93,AB$5,$B$1)</f>
        <v>9950.57</v>
      </c>
      <c r="AC93" s="55">
        <f>_xll.EQNXTDZ($A$1,$B93,AC$5,$B$1)</f>
        <v>0</v>
      </c>
      <c r="AD93" s="55">
        <f>_xll.EQNXTDZ($A$1,$B93,AD$5,$B$1)</f>
        <v>13619.75</v>
      </c>
      <c r="AE93" s="55">
        <f>_xll.EQNXTDZ($A$1,$B93,AE$5,$B$1)</f>
        <v>0</v>
      </c>
      <c r="AF93" s="55">
        <f>_xll.EQNXTDZ($A$1,$B93,AF$5,$B$1)</f>
        <v>9479.56</v>
      </c>
      <c r="AG93" s="55">
        <f>_xll.EQNXTDZ($A$1,$B93,AG$5,$B$1)</f>
        <v>0</v>
      </c>
      <c r="AH93" s="55">
        <f>_xll.EQNXTDZ($A$1,$B93,AH$5,$B$1)</f>
        <v>12877.39</v>
      </c>
      <c r="AI93" s="55">
        <f>_xll.EQNXTDZ($A$1,$B93,AI$5,$B$1)</f>
        <v>0</v>
      </c>
      <c r="AJ93" s="55">
        <f>_xll.EQNXTDZ($A$1,$B93,AJ$5,$B$1)</f>
        <v>9214.9699999999993</v>
      </c>
      <c r="AK93" s="55">
        <f>_xll.EQNXTDZ($A$1,$B93,AK$5,$B$1)</f>
        <v>0</v>
      </c>
      <c r="AL93" s="55">
        <f>_xll.EQNXTDZ($A$1,$B93,AL$5,$B$1)</f>
        <v>10009.34</v>
      </c>
      <c r="AM93" s="55">
        <f>_xll.EQNXTDZ($A$1,$B93,AM$5,$B$1)</f>
        <v>0</v>
      </c>
      <c r="AN93" s="55">
        <f>_xll.EQNXTDZ($A$1,$B93,AN$5,$B$1)</f>
        <v>12009.72</v>
      </c>
      <c r="AO93" s="55">
        <f>_xll.EQNXTDZ($A$1,$B93,AO$5,$B$1)</f>
        <v>0</v>
      </c>
      <c r="AP93" s="55">
        <f>_xll.EQNXTDZ($A$1,$B93,AP$5,$B$1)</f>
        <v>9423.4</v>
      </c>
      <c r="AQ93" s="55">
        <f>_xll.EQNXTDZ($A$1,$B93,AQ$5,$B$1)</f>
        <v>0</v>
      </c>
      <c r="AR93" s="55">
        <f>_xll.EQNXTDZ($A$1,$B93,AR$5,$B$1)</f>
        <v>6333.77</v>
      </c>
      <c r="AS93" s="55">
        <f>_xll.EQNXTDZ($A$1,$B93,AS$5,$B$1)</f>
        <v>0</v>
      </c>
      <c r="AT93" s="55">
        <f>_xll.EQNXTDZ($A$1,$B93,AT$5,$B$1)</f>
        <v>10221.39</v>
      </c>
      <c r="AU93" s="55">
        <f>_xll.EQNXTDZ($A$1,$B93,AU$5,$B$1)</f>
        <v>0</v>
      </c>
      <c r="AV93" s="55">
        <f>_xll.EQNXTDZ($A$1,$B93,AV$5,$B$1)</f>
        <v>12417.81</v>
      </c>
      <c r="AW93" s="55">
        <f>_xll.EQNXTDZ($A$1,$B93,AW$5,$B$1)</f>
        <v>0</v>
      </c>
      <c r="AX93" s="55">
        <f>_xll.EQNXTDZ($A$1,$B93,AX$5,$B$1)</f>
        <v>7534.74</v>
      </c>
      <c r="AY93" s="55">
        <f>_xll.EQNXTDZ($A$1,$B93,AY$5,$B$1)</f>
        <v>0</v>
      </c>
      <c r="AZ93" s="55">
        <f>_xll.EQNXTDZ($A$1,$B93,AZ$5,$B$1)</f>
        <v>5924.36</v>
      </c>
      <c r="BA93" s="55">
        <f>_xll.EQNXTDZ($A$1,$B93,BA$5,$B$1)</f>
        <v>0</v>
      </c>
      <c r="BB93" s="55">
        <f>_xll.EQNXTDZ($A$1,$B93,BB$5,$B$1)</f>
        <v>9956.9</v>
      </c>
      <c r="BC93" s="55">
        <f>_xll.EQNXTDZ($A$1,$B93,BC$5,$B$1)</f>
        <v>0</v>
      </c>
      <c r="BD93" s="55">
        <f>_xll.EQNXTDZ($A$1,$B93,BD$5,$B$1)</f>
        <v>11294.1</v>
      </c>
      <c r="BE93" s="55">
        <f>_xll.EQNXTDZ($A$1,$B93,BE$5,$B$1)</f>
        <v>0</v>
      </c>
      <c r="BF93" s="55">
        <f>_xll.EQNXTDZ($A$1,$B93,BF$5,$B$1)</f>
        <v>18184.14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-1744.7</v>
      </c>
      <c r="E94" s="55">
        <f>_xll.EQNXTDZ($A$1,$B94,E$5,$B$1)</f>
        <v>0</v>
      </c>
      <c r="F94" s="55">
        <f>_xll.EQNXTDZ($A$1,$B94,F$5,$B$1)</f>
        <v>-2145.21</v>
      </c>
      <c r="G94" s="55">
        <f>_xll.EQNXTDZ($A$1,$B94,G$5,$B$1)</f>
        <v>0</v>
      </c>
      <c r="H94" s="55">
        <f>_xll.EQNXTDZ($A$1,$B94,H$5,$B$1)</f>
        <v>-2371.29</v>
      </c>
      <c r="I94" s="55">
        <f>_xll.EQNXTDZ($A$1,$B94,I$5,$B$1)</f>
        <v>0</v>
      </c>
      <c r="J94" s="55">
        <f>_xll.EQNXTDZ($A$1,$B94,J$5,$B$1)</f>
        <v>-2799.88</v>
      </c>
      <c r="K94" s="55">
        <f>_xll.EQNXTDZ($A$1,$B94,K$5,$B$1)</f>
        <v>0</v>
      </c>
      <c r="L94" s="55">
        <f>_xll.EQNXTDZ($A$1,$B94,L$5,$B$1)</f>
        <v>-3059.24</v>
      </c>
      <c r="M94" s="55">
        <f>_xll.EQNXTDZ($A$1,$B94,M$5,$B$1)</f>
        <v>0</v>
      </c>
      <c r="N94" s="55">
        <f>_xll.EQNXTDZ($A$1,$B94,N$5,$B$1)</f>
        <v>-3499.21</v>
      </c>
      <c r="O94" s="55">
        <f>_xll.EQNXTDZ($A$1,$B94,O$5,$B$1)</f>
        <v>0</v>
      </c>
      <c r="P94" s="55">
        <f>_xll.EQNXTDZ($A$1,$B94,P$5,$B$1)</f>
        <v>-3447.07</v>
      </c>
      <c r="Q94" s="55">
        <f>_xll.EQNXTDZ($A$1,$B94,Q$5,$B$1)</f>
        <v>0</v>
      </c>
      <c r="R94" s="55">
        <f>_xll.EQNXTDZ($A$1,$B94,R$5,$B$1)</f>
        <v>-4871.3100000000004</v>
      </c>
      <c r="S94" s="55">
        <f>_xll.EQNXTDZ($A$1,$B94,S$5,$B$1)</f>
        <v>0</v>
      </c>
      <c r="T94" s="55">
        <f>_xll.EQNXTDZ($A$1,$B94,T$5,$B$1)</f>
        <v>-3487.9</v>
      </c>
      <c r="U94" s="55">
        <f>_xll.EQNXTDZ($A$1,$B94,U$5,$B$1)</f>
        <v>0</v>
      </c>
      <c r="V94" s="55">
        <f>_xll.EQNXTDZ($A$1,$B94,V$5,$B$1)</f>
        <v>-5898.44</v>
      </c>
      <c r="W94" s="55">
        <f>_xll.EQNXTDZ($A$1,$B94,W$5,$B$1)</f>
        <v>0</v>
      </c>
      <c r="X94" s="55">
        <f>_xll.EQNXTDZ($A$1,$B94,X$5,$B$1)</f>
        <v>-6145.6869999999999</v>
      </c>
      <c r="Y94" s="55">
        <f>_xll.EQNXTDZ($A$1,$B94,Y$5,$B$1)</f>
        <v>0</v>
      </c>
      <c r="Z94" s="55">
        <f>_xll.EQNXTDZ($A$1,$B94,Z$5,$B$1)</f>
        <v>-8668.2999999999993</v>
      </c>
      <c r="AA94" s="55">
        <f>_xll.EQNXTDZ($A$1,$B94,AA$5,$B$1)</f>
        <v>0</v>
      </c>
      <c r="AB94" s="55">
        <f>_xll.EQNXTDZ($A$1,$B94,AB$5,$B$1)</f>
        <v>-8146</v>
      </c>
      <c r="AC94" s="55">
        <f>_xll.EQNXTDZ($A$1,$B94,AC$5,$B$1)</f>
        <v>0</v>
      </c>
      <c r="AD94" s="55">
        <f>_xll.EQNXTDZ($A$1,$B94,AD$5,$B$1)</f>
        <v>-10101.91</v>
      </c>
      <c r="AE94" s="55">
        <f>_xll.EQNXTDZ($A$1,$B94,AE$5,$B$1)</f>
        <v>0</v>
      </c>
      <c r="AF94" s="55">
        <f>_xll.EQNXTDZ($A$1,$B94,AF$5,$B$1)</f>
        <v>-9007.69</v>
      </c>
      <c r="AG94" s="55">
        <f>_xll.EQNXTDZ($A$1,$B94,AG$5,$B$1)</f>
        <v>0</v>
      </c>
      <c r="AH94" s="55">
        <f>_xll.EQNXTDZ($A$1,$B94,AH$5,$B$1)</f>
        <v>-12281.77</v>
      </c>
      <c r="AI94" s="55">
        <f>_xll.EQNXTDZ($A$1,$B94,AI$5,$B$1)</f>
        <v>0</v>
      </c>
      <c r="AJ94" s="55">
        <f>_xll.EQNXTDZ($A$1,$B94,AJ$5,$B$1)</f>
        <v>-8617.57</v>
      </c>
      <c r="AK94" s="55">
        <f>_xll.EQNXTDZ($A$1,$B94,AK$5,$B$1)</f>
        <v>0</v>
      </c>
      <c r="AL94" s="55">
        <f>_xll.EQNXTDZ($A$1,$B94,AL$5,$B$1)</f>
        <v>-9521.35</v>
      </c>
      <c r="AM94" s="55">
        <f>_xll.EQNXTDZ($A$1,$B94,AM$5,$B$1)</f>
        <v>0</v>
      </c>
      <c r="AN94" s="55">
        <f>_xll.EQNXTDZ($A$1,$B94,AN$5,$B$1)</f>
        <v>-11542.74</v>
      </c>
      <c r="AO94" s="55">
        <f>_xll.EQNXTDZ($A$1,$B94,AO$5,$B$1)</f>
        <v>0</v>
      </c>
      <c r="AP94" s="55">
        <f>_xll.EQNXTDZ($A$1,$B94,AP$5,$B$1)</f>
        <v>-9045.1299999999992</v>
      </c>
      <c r="AQ94" s="55">
        <f>_xll.EQNXTDZ($A$1,$B94,AQ$5,$B$1)</f>
        <v>0</v>
      </c>
      <c r="AR94" s="55">
        <f>_xll.EQNXTDZ($A$1,$B94,AR$5,$B$1)</f>
        <v>-5985.38</v>
      </c>
      <c r="AS94" s="55">
        <f>_xll.EQNXTDZ($A$1,$B94,AS$5,$B$1)</f>
        <v>0</v>
      </c>
      <c r="AT94" s="55">
        <f>_xll.EQNXTDZ($A$1,$B94,AT$5,$B$1)</f>
        <v>-9949.92</v>
      </c>
      <c r="AU94" s="55">
        <f>_xll.EQNXTDZ($A$1,$B94,AU$5,$B$1)</f>
        <v>0</v>
      </c>
      <c r="AV94" s="55">
        <f>_xll.EQNXTDZ($A$1,$B94,AV$5,$B$1)</f>
        <v>-12156.04</v>
      </c>
      <c r="AW94" s="55">
        <f>_xll.EQNXTDZ($A$1,$B94,AW$5,$B$1)</f>
        <v>0</v>
      </c>
      <c r="AX94" s="55">
        <f>_xll.EQNXTDZ($A$1,$B94,AX$5,$B$1)</f>
        <v>-7244.25</v>
      </c>
      <c r="AY94" s="55">
        <f>_xll.EQNXTDZ($A$1,$B94,AY$5,$B$1)</f>
        <v>0</v>
      </c>
      <c r="AZ94" s="55">
        <f>_xll.EQNXTDZ($A$1,$B94,AZ$5,$B$1)</f>
        <v>-5628.22</v>
      </c>
      <c r="BA94" s="55">
        <f>_xll.EQNXTDZ($A$1,$B94,BA$5,$B$1)</f>
        <v>0</v>
      </c>
      <c r="BB94" s="55">
        <f>_xll.EQNXTDZ($A$1,$B94,BB$5,$B$1)</f>
        <v>-9662.42</v>
      </c>
      <c r="BC94" s="55">
        <f>_xll.EQNXTDZ($A$1,$B94,BC$5,$B$1)</f>
        <v>0</v>
      </c>
      <c r="BD94" s="55">
        <f>_xll.EQNXTDZ($A$1,$B94,BD$5,$B$1)</f>
        <v>-11040.91</v>
      </c>
      <c r="BE94" s="55">
        <f>_xll.EQNXTDZ($A$1,$B94,BE$5,$B$1)</f>
        <v>0</v>
      </c>
      <c r="BF94" s="55">
        <f>_xll.EQNXTDZ($A$1,$B94,BF$5,$B$1)</f>
        <v>-17999.810000000001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0</v>
      </c>
      <c r="BC96" s="55">
        <f>_xll.EQNXTDZ($A$1,$B96,BC$5,$B$1)</f>
        <v>0</v>
      </c>
      <c r="BD96" s="55">
        <f>_xll.EQNXTDZ($A$1,$B96,BD$5,$B$1)</f>
        <v>0</v>
      </c>
      <c r="BE96" s="55">
        <f>_xll.EQNXTDZ($A$1,$B96,BE$5,$B$1)</f>
        <v>0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3410.91</v>
      </c>
      <c r="E97" s="55">
        <f>_xll.EQNXTDZ($A$1,$B97,E$5,$B$1)</f>
        <v>0</v>
      </c>
      <c r="F97" s="55">
        <f>_xll.EQNXTDZ($A$1,$B97,F$5,$B$1)</f>
        <v>3176.26</v>
      </c>
      <c r="G97" s="55">
        <f>_xll.EQNXTDZ($A$1,$B97,G$5,$B$1)</f>
        <v>0</v>
      </c>
      <c r="H97" s="55">
        <f>_xll.EQNXTDZ($A$1,$B97,H$5,$B$1)</f>
        <v>3067.31</v>
      </c>
      <c r="I97" s="55">
        <f>_xll.EQNXTDZ($A$1,$B97,I$5,$B$1)</f>
        <v>0</v>
      </c>
      <c r="J97" s="55">
        <f>_xll.EQNXTDZ($A$1,$B97,J$5,$B$1)</f>
        <v>2387.81</v>
      </c>
      <c r="K97" s="55">
        <f>_xll.EQNXTDZ($A$1,$B97,K$5,$B$1)</f>
        <v>0</v>
      </c>
      <c r="L97" s="55">
        <f>_xll.EQNXTDZ($A$1,$B97,L$5,$B$1)</f>
        <v>1997.26</v>
      </c>
      <c r="M97" s="55">
        <f>_xll.EQNXTDZ($A$1,$B97,M$5,$B$1)</f>
        <v>0</v>
      </c>
      <c r="N97" s="55">
        <f>_xll.EQNXTDZ($A$1,$B97,N$5,$B$1)</f>
        <v>2057.87</v>
      </c>
      <c r="O97" s="55">
        <f>_xll.EQNXTDZ($A$1,$B97,O$5,$B$1)</f>
        <v>0</v>
      </c>
      <c r="P97" s="55">
        <f>_xll.EQNXTDZ($A$1,$B97,P$5,$B$1)</f>
        <v>5423.36</v>
      </c>
      <c r="Q97" s="55">
        <f>_xll.EQNXTDZ($A$1,$B97,Q$5,$B$1)</f>
        <v>0</v>
      </c>
      <c r="R97" s="55">
        <f>_xll.EQNXTDZ($A$1,$B97,R$5,$B$1)</f>
        <v>3543.24</v>
      </c>
      <c r="S97" s="55">
        <f>_xll.EQNXTDZ($A$1,$B97,S$5,$B$1)</f>
        <v>0</v>
      </c>
      <c r="T97" s="55">
        <f>_xll.EQNXTDZ($A$1,$B97,T$5,$B$1)</f>
        <v>5086.71</v>
      </c>
      <c r="U97" s="55">
        <f>_xll.EQNXTDZ($A$1,$B97,U$5,$B$1)</f>
        <v>0</v>
      </c>
      <c r="V97" s="55">
        <f>_xll.EQNXTDZ($A$1,$B97,V$5,$B$1)</f>
        <v>4755.1499999999996</v>
      </c>
      <c r="W97" s="55">
        <f>_xll.EQNXTDZ($A$1,$B97,W$5,$B$1)</f>
        <v>0</v>
      </c>
      <c r="X97" s="55">
        <f>_xll.EQNXTDZ($A$1,$B97,X$5,$B$1)</f>
        <v>-3671.857</v>
      </c>
      <c r="Y97" s="55">
        <f>_xll.EQNXTDZ($A$1,$B97,Y$5,$B$1)</f>
        <v>0</v>
      </c>
      <c r="Z97" s="55">
        <f>_xll.EQNXTDZ($A$1,$B97,Z$5,$B$1)</f>
        <v>-7172.73</v>
      </c>
      <c r="AA97" s="55">
        <f>_xll.EQNXTDZ($A$1,$B97,AA$5,$B$1)</f>
        <v>0</v>
      </c>
      <c r="AB97" s="55">
        <f>_xll.EQNXTDZ($A$1,$B97,AB$5,$B$1)</f>
        <v>-6657.56</v>
      </c>
      <c r="AC97" s="55">
        <f>_xll.EQNXTDZ($A$1,$B97,AC$5,$B$1)</f>
        <v>0</v>
      </c>
      <c r="AD97" s="55">
        <f>_xll.EQNXTDZ($A$1,$B97,AD$5,$B$1)</f>
        <v>-9089.15</v>
      </c>
      <c r="AE97" s="55">
        <f>_xll.EQNXTDZ($A$1,$B97,AE$5,$B$1)</f>
        <v>0</v>
      </c>
      <c r="AF97" s="55">
        <f>_xll.EQNXTDZ($A$1,$B97,AF$5,$B$1)</f>
        <v>-7680.99</v>
      </c>
      <c r="AG97" s="55">
        <f>_xll.EQNXTDZ($A$1,$B97,AG$5,$B$1)</f>
        <v>0</v>
      </c>
      <c r="AH97" s="55">
        <f>_xll.EQNXTDZ($A$1,$B97,AH$5,$B$1)</f>
        <v>-11163.18</v>
      </c>
      <c r="AI97" s="55">
        <f>_xll.EQNXTDZ($A$1,$B97,AI$5,$B$1)</f>
        <v>0</v>
      </c>
      <c r="AJ97" s="55">
        <f>_xll.EQNXTDZ($A$1,$B97,AJ$5,$B$1)</f>
        <v>-7543.21</v>
      </c>
      <c r="AK97" s="55">
        <f>_xll.EQNXTDZ($A$1,$B97,AK$5,$B$1)</f>
        <v>0</v>
      </c>
      <c r="AL97" s="55">
        <f>_xll.EQNXTDZ($A$1,$B97,AL$5,$B$1)</f>
        <v>-8500.0400000000009</v>
      </c>
      <c r="AM97" s="55">
        <f>_xll.EQNXTDZ($A$1,$B97,AM$5,$B$1)</f>
        <v>0</v>
      </c>
      <c r="AN97" s="55">
        <f>_xll.EQNXTDZ($A$1,$B97,AN$5,$B$1)</f>
        <v>-10554.58</v>
      </c>
      <c r="AO97" s="55">
        <f>_xll.EQNXTDZ($A$1,$B97,AO$5,$B$1)</f>
        <v>0</v>
      </c>
      <c r="AP97" s="55">
        <f>_xll.EQNXTDZ($A$1,$B97,AP$5,$B$1)</f>
        <v>-8058.87</v>
      </c>
      <c r="AQ97" s="55">
        <f>_xll.EQNXTDZ($A$1,$B97,AQ$5,$B$1)</f>
        <v>0</v>
      </c>
      <c r="AR97" s="55">
        <f>_xll.EQNXTDZ($A$1,$B97,AR$5,$B$1)</f>
        <v>-5039.01</v>
      </c>
      <c r="AS97" s="55">
        <f>_xll.EQNXTDZ($A$1,$B97,AS$5,$B$1)</f>
        <v>0</v>
      </c>
      <c r="AT97" s="55">
        <f>_xll.EQNXTDZ($A$1,$B97,AT$5,$B$1)</f>
        <v>-9010.65</v>
      </c>
      <c r="AU97" s="55">
        <f>_xll.EQNXTDZ($A$1,$B97,AU$5,$B$1)</f>
        <v>0</v>
      </c>
      <c r="AV97" s="55">
        <f>_xll.EQNXTDZ($A$1,$B97,AV$5,$B$1)</f>
        <v>-11226.93</v>
      </c>
      <c r="AW97" s="55">
        <f>_xll.EQNXTDZ($A$1,$B97,AW$5,$B$1)</f>
        <v>0</v>
      </c>
      <c r="AX97" s="55">
        <f>_xll.EQNXTDZ($A$1,$B97,AX$5,$B$1)</f>
        <v>-6227.75</v>
      </c>
      <c r="AY97" s="55">
        <f>_xll.EQNXTDZ($A$1,$B97,AY$5,$B$1)</f>
        <v>0</v>
      </c>
      <c r="AZ97" s="55">
        <f>_xll.EQNXTDZ($A$1,$B97,AZ$5,$B$1)</f>
        <v>-4597.33</v>
      </c>
      <c r="BA97" s="55">
        <f>_xll.EQNXTDZ($A$1,$B97,BA$5,$B$1)</f>
        <v>0</v>
      </c>
      <c r="BB97" s="55">
        <f>_xll.EQNXTDZ($A$1,$B97,BB$5,$B$1)</f>
        <v>-8653.11</v>
      </c>
      <c r="BC97" s="55">
        <f>_xll.EQNXTDZ($A$1,$B97,BC$5,$B$1)</f>
        <v>0</v>
      </c>
      <c r="BD97" s="55">
        <f>_xll.EQNXTDZ($A$1,$B97,BD$5,$B$1)</f>
        <v>-10059.39</v>
      </c>
      <c r="BE97" s="55">
        <f>_xll.EQNXTDZ($A$1,$B97,BE$5,$B$1)</f>
        <v>0</v>
      </c>
      <c r="BF97" s="55">
        <f>_xll.EQNXTDZ($A$1,$B97,BF$5,$B$1)</f>
        <v>-16843.11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132371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Teleservices (Maharashtra)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139.22819999999999</v>
      </c>
      <c r="D6" s="100">
        <f>_xll.EQNXTDZ($A$1,$B6,D$1,$B$1)</f>
        <v>252.5</v>
      </c>
      <c r="E6" s="100">
        <f>_xll.EQNXTDZ($A$1,$B6,E$1,$B$1)</f>
        <v>359.59</v>
      </c>
      <c r="F6" s="100">
        <f>_xll.EQNXTDZ($A$1,$B6,F$1,$B$1)</f>
        <v>597.5</v>
      </c>
      <c r="G6" s="100">
        <f>_xll.EQNXTDZ($A$1,$B6,G$1,$B$1)</f>
        <v>807.47</v>
      </c>
      <c r="H6" s="100">
        <f>_xll.EQNXTDZ($A$1,$B6,H$1,$B$1)</f>
        <v>1095.1300000000001</v>
      </c>
      <c r="I6" s="100">
        <f>_xll.EQNXTDZ($A$1,$B6,I$1,$B$1)</f>
        <v>1406.98</v>
      </c>
      <c r="J6" s="100">
        <f>_xll.EQNXTDZ($A$1,$B6,J$1,$B$1)</f>
        <v>1707.19</v>
      </c>
      <c r="K6" s="100">
        <f>_xll.EQNXTDZ($A$1,$B6,K$1,$B$1)</f>
        <v>1950.13</v>
      </c>
      <c r="L6" s="100">
        <f>_xll.EQNXTDZ($A$1,$B6,L$1,$B$1)</f>
        <v>2098.27</v>
      </c>
      <c r="M6" s="100">
        <f>_xll.EQNXTDZ($A$1,$B6,M$1,$B$1)</f>
        <v>2265.59</v>
      </c>
      <c r="N6" s="100">
        <f>_xll.EQNXTDZ($A$1,$B6,N$1,$B$1)</f>
        <v>2488.44</v>
      </c>
      <c r="O6" s="100">
        <f>_xll.EQNXTDZ($A$1,$B6,O$1,$B$1)</f>
        <v>2634.54</v>
      </c>
      <c r="P6" s="100">
        <f>_xll.EQNXTDZ($A$1,$B6,P$1,$B$1)</f>
        <v>2731.18</v>
      </c>
      <c r="Q6" s="100">
        <f>_xll.EQNXTDZ($A$1,$B6,Q$1,$B$1)</f>
        <v>2892.73</v>
      </c>
      <c r="R6" s="100">
        <f>_xll.EQNXTDZ($A$1,$B6,R$1,$B$1)</f>
        <v>2972.09</v>
      </c>
      <c r="S6" s="100">
        <f>_xll.EQNXTDZ($A$1,$B6,S$1,$B$1)</f>
        <v>2702.91</v>
      </c>
      <c r="T6" s="100">
        <f>_xll.EQNXTDZ($A$1,$B6,T$1,$B$1)</f>
        <v>1868.51</v>
      </c>
      <c r="U6" s="100">
        <f>_xll.EQNXTDZ($A$1,$B6,U$1,$B$1)</f>
        <v>1277.2</v>
      </c>
      <c r="V6" s="100">
        <f>_xll.EQNXTDZ($A$1,$B6,V$1,$B$1)</f>
        <v>1077.74</v>
      </c>
      <c r="W6" s="100">
        <f>_xll.EQNXTDZ($A$1,$B6,W$1,$B$1)</f>
        <v>1043.6600000000001</v>
      </c>
      <c r="X6" s="100">
        <f>_xll.EQNXTDZ($A$1,$B6,X$1,$B$1)</f>
        <v>1093.8</v>
      </c>
      <c r="Y6" s="100">
        <f>_xll.EQNXTDZ($A$1,$B6,Y$1,$B$1)</f>
        <v>1106.17</v>
      </c>
      <c r="Z6" s="100">
        <f>_xll.EQNXTDZ($A$1,$B6,Z$1,$B$1)</f>
        <v>1191.6500000000001</v>
      </c>
      <c r="AA6" s="100">
        <f>_xll.EQNXTDZ($A$1,$B6,AA$1,$B$1)</f>
        <v>1308.04</v>
      </c>
      <c r="AB6" s="100">
        <f>_xll.EQNXTDZ($A$1,$B6,AB$1,$B$1)</f>
        <v>1160.23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139.22819999999999</v>
      </c>
      <c r="D10" s="100">
        <f>_xll.EQNXTDZ($A$1,$B10,D$1,$B$1)</f>
        <v>252.5</v>
      </c>
      <c r="E10" s="100">
        <f>_xll.EQNXTDZ($A$1,$B10,E$1,$B$1)</f>
        <v>359.59</v>
      </c>
      <c r="F10" s="100">
        <f>_xll.EQNXTDZ($A$1,$B10,F$1,$B$1)</f>
        <v>597.5</v>
      </c>
      <c r="G10" s="100">
        <f>_xll.EQNXTDZ($A$1,$B10,G$1,$B$1)</f>
        <v>807.47</v>
      </c>
      <c r="H10" s="100">
        <f>_xll.EQNXTDZ($A$1,$B10,H$1,$B$1)</f>
        <v>1095.1300000000001</v>
      </c>
      <c r="I10" s="100">
        <f>_xll.EQNXTDZ($A$1,$B10,I$1,$B$1)</f>
        <v>1406.98</v>
      </c>
      <c r="J10" s="100">
        <f>_xll.EQNXTDZ($A$1,$B10,J$1,$B$1)</f>
        <v>1707.19</v>
      </c>
      <c r="K10" s="100">
        <f>_xll.EQNXTDZ($A$1,$B10,K$1,$B$1)</f>
        <v>1950.13</v>
      </c>
      <c r="L10" s="100">
        <f>_xll.EQNXTDZ($A$1,$B10,L$1,$B$1)</f>
        <v>2098.27</v>
      </c>
      <c r="M10" s="100">
        <f>_xll.EQNXTDZ($A$1,$B10,M$1,$B$1)</f>
        <v>2265.59</v>
      </c>
      <c r="N10" s="100">
        <f>_xll.EQNXTDZ($A$1,$B10,N$1,$B$1)</f>
        <v>2488.44</v>
      </c>
      <c r="O10" s="100">
        <f>_xll.EQNXTDZ($A$1,$B10,O$1,$B$1)</f>
        <v>2634.54</v>
      </c>
      <c r="P10" s="100">
        <f>_xll.EQNXTDZ($A$1,$B10,P$1,$B$1)</f>
        <v>2731.18</v>
      </c>
      <c r="Q10" s="100">
        <f>_xll.EQNXTDZ($A$1,$B10,Q$1,$B$1)</f>
        <v>2892.73</v>
      </c>
      <c r="R10" s="100">
        <f>_xll.EQNXTDZ($A$1,$B10,R$1,$B$1)</f>
        <v>2972.09</v>
      </c>
      <c r="S10" s="100">
        <f>_xll.EQNXTDZ($A$1,$B10,S$1,$B$1)</f>
        <v>2702.91</v>
      </c>
      <c r="T10" s="100">
        <f>_xll.EQNXTDZ($A$1,$B10,T$1,$B$1)</f>
        <v>1868.51</v>
      </c>
      <c r="U10" s="100">
        <f>_xll.EQNXTDZ($A$1,$B10,U$1,$B$1)</f>
        <v>1277.2</v>
      </c>
      <c r="V10" s="100">
        <f>_xll.EQNXTDZ($A$1,$B10,V$1,$B$1)</f>
        <v>1077.74</v>
      </c>
      <c r="W10" s="100">
        <f>_xll.EQNXTDZ($A$1,$B10,W$1,$B$1)</f>
        <v>1043.6600000000001</v>
      </c>
      <c r="X10" s="100">
        <f>_xll.EQNXTDZ($A$1,$B10,X$1,$B$1)</f>
        <v>1093.8</v>
      </c>
      <c r="Y10" s="100">
        <f>_xll.EQNXTDZ($A$1,$B10,Y$1,$B$1)</f>
        <v>1106.17</v>
      </c>
      <c r="Z10" s="100">
        <f>_xll.EQNXTDZ($A$1,$B10,Z$1,$B$1)</f>
        <v>1191.6500000000001</v>
      </c>
      <c r="AA10" s="100">
        <f>_xll.EQNXTDZ($A$1,$B10,AA$1,$B$1)</f>
        <v>1308.04</v>
      </c>
      <c r="AB10" s="100">
        <f>_xll.EQNXTDZ($A$1,$B10,AB$1,$B$1)</f>
        <v>1160.23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-2.2200000000000002</v>
      </c>
      <c r="J11" s="100">
        <f>_xll.EQNXTDZ($A$1,$B11,J$1,$B$1)</f>
        <v>0</v>
      </c>
      <c r="K11" s="100">
        <f>_xll.EQNXTDZ($A$1,$B11,K$1,$B$1)</f>
        <v>0.21</v>
      </c>
      <c r="L11" s="100">
        <f>_xll.EQNXTDZ($A$1,$B11,L$1,$B$1)</f>
        <v>-4.3899999999999997</v>
      </c>
      <c r="M11" s="100">
        <f>_xll.EQNXTDZ($A$1,$B11,M$1,$B$1)</f>
        <v>2.62</v>
      </c>
      <c r="N11" s="100">
        <f>_xll.EQNXTDZ($A$1,$B11,N$1,$B$1)</f>
        <v>-0.03</v>
      </c>
      <c r="O11" s="100">
        <f>_xll.EQNXTDZ($A$1,$B11,O$1,$B$1)</f>
        <v>0.62</v>
      </c>
      <c r="P11" s="100">
        <f>_xll.EQNXTDZ($A$1,$B11,P$1,$B$1)</f>
        <v>-1.25</v>
      </c>
      <c r="Q11" s="100">
        <f>_xll.EQNXTDZ($A$1,$B11,Q$1,$B$1)</f>
        <v>-7.98</v>
      </c>
      <c r="R11" s="100">
        <f>_xll.EQNXTDZ($A$1,$B11,R$1,$B$1)</f>
        <v>7.74</v>
      </c>
      <c r="S11" s="100">
        <f>_xll.EQNXTDZ($A$1,$B11,S$1,$B$1)</f>
        <v>2.6</v>
      </c>
      <c r="T11" s="100">
        <f>_xll.EQNXTDZ($A$1,$B11,T$1,$B$1)</f>
        <v>1.1000000000000001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5.58</v>
      </c>
      <c r="J12" s="100">
        <f>_xll.EQNXTDZ($A$1,$B12,J$1,$B$1)</f>
        <v>7.8</v>
      </c>
      <c r="K12" s="100">
        <f>_xll.EQNXTDZ($A$1,$B12,K$1,$B$1)</f>
        <v>9.15</v>
      </c>
      <c r="L12" s="100">
        <f>_xll.EQNXTDZ($A$1,$B12,L$1,$B$1)</f>
        <v>27.37</v>
      </c>
      <c r="M12" s="100">
        <f>_xll.EQNXTDZ($A$1,$B12,M$1,$B$1)</f>
        <v>19.579999999999998</v>
      </c>
      <c r="N12" s="100">
        <f>_xll.EQNXTDZ($A$1,$B12,N$1,$B$1)</f>
        <v>13.91</v>
      </c>
      <c r="O12" s="100">
        <f>_xll.EQNXTDZ($A$1,$B12,O$1,$B$1)</f>
        <v>11.45</v>
      </c>
      <c r="P12" s="100">
        <f>_xll.EQNXTDZ($A$1,$B12,P$1,$B$1)</f>
        <v>19.27</v>
      </c>
      <c r="Q12" s="100">
        <f>_xll.EQNXTDZ($A$1,$B12,Q$1,$B$1)</f>
        <v>53.54</v>
      </c>
      <c r="R12" s="100">
        <f>_xll.EQNXTDZ($A$1,$B12,R$1,$B$1)</f>
        <v>24.66</v>
      </c>
      <c r="S12" s="100">
        <f>_xll.EQNXTDZ($A$1,$B12,S$1,$B$1)</f>
        <v>5.67</v>
      </c>
      <c r="T12" s="100">
        <f>_xll.EQNXTDZ($A$1,$B12,T$1,$B$1)</f>
        <v>1.21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5.8960999999999997</v>
      </c>
      <c r="D13" s="100">
        <f>_xll.EQNXTDZ($A$1,$B13,D$1,$B$1)</f>
        <v>8.6999999999999993</v>
      </c>
      <c r="E13" s="100">
        <f>_xll.EQNXTDZ($A$1,$B13,E$1,$B$1)</f>
        <v>10.01</v>
      </c>
      <c r="F13" s="100">
        <f>_xll.EQNXTDZ($A$1,$B13,F$1,$B$1)</f>
        <v>16.5</v>
      </c>
      <c r="G13" s="100">
        <f>_xll.EQNXTDZ($A$1,$B13,G$1,$B$1)</f>
        <v>24.58</v>
      </c>
      <c r="H13" s="100">
        <f>_xll.EQNXTDZ($A$1,$B13,H$1,$B$1)</f>
        <v>30.17</v>
      </c>
      <c r="I13" s="100">
        <f>_xll.EQNXTDZ($A$1,$B13,I$1,$B$1)</f>
        <v>36.76</v>
      </c>
      <c r="J13" s="100">
        <f>_xll.EQNXTDZ($A$1,$B13,J$1,$B$1)</f>
        <v>52.27</v>
      </c>
      <c r="K13" s="100">
        <f>_xll.EQNXTDZ($A$1,$B13,K$1,$B$1)</f>
        <v>59.15</v>
      </c>
      <c r="L13" s="100">
        <f>_xll.EQNXTDZ($A$1,$B13,L$1,$B$1)</f>
        <v>107.96</v>
      </c>
      <c r="M13" s="100">
        <f>_xll.EQNXTDZ($A$1,$B13,M$1,$B$1)</f>
        <v>150.19</v>
      </c>
      <c r="N13" s="100">
        <f>_xll.EQNXTDZ($A$1,$B13,N$1,$B$1)</f>
        <v>159.28</v>
      </c>
      <c r="O13" s="100">
        <f>_xll.EQNXTDZ($A$1,$B13,O$1,$B$1)</f>
        <v>189.84</v>
      </c>
      <c r="P13" s="100">
        <f>_xll.EQNXTDZ($A$1,$B13,P$1,$B$1)</f>
        <v>200.65</v>
      </c>
      <c r="Q13" s="100">
        <f>_xll.EQNXTDZ($A$1,$B13,Q$1,$B$1)</f>
        <v>205.57</v>
      </c>
      <c r="R13" s="100">
        <f>_xll.EQNXTDZ($A$1,$B13,R$1,$B$1)</f>
        <v>194.4</v>
      </c>
      <c r="S13" s="100">
        <f>_xll.EQNXTDZ($A$1,$B13,S$1,$B$1)</f>
        <v>216.93</v>
      </c>
      <c r="T13" s="100">
        <f>_xll.EQNXTDZ($A$1,$B13,T$1,$B$1)</f>
        <v>215.69</v>
      </c>
      <c r="U13" s="100">
        <f>_xll.EQNXTDZ($A$1,$B13,U$1,$B$1)</f>
        <v>74.069999999999993</v>
      </c>
      <c r="V13" s="100">
        <f>_xll.EQNXTDZ($A$1,$B13,V$1,$B$1)</f>
        <v>46.6</v>
      </c>
      <c r="W13" s="100">
        <f>_xll.EQNXTDZ($A$1,$B13,W$1,$B$1)</f>
        <v>33.76</v>
      </c>
      <c r="X13" s="100">
        <f>_xll.EQNXTDZ($A$1,$B13,X$1,$B$1)</f>
        <v>31.71</v>
      </c>
      <c r="Y13" s="100">
        <f>_xll.EQNXTDZ($A$1,$B13,Y$1,$B$1)</f>
        <v>29.95</v>
      </c>
      <c r="Z13" s="100">
        <f>_xll.EQNXTDZ($A$1,$B13,Z$1,$B$1)</f>
        <v>32.299999999999997</v>
      </c>
      <c r="AA13" s="100">
        <f>_xll.EQNXTDZ($A$1,$B13,AA$1,$B$1)</f>
        <v>33.229999999999997</v>
      </c>
      <c r="AB13" s="100">
        <f>_xll.EQNXTDZ($A$1,$B13,AB$1,$B$1)</f>
        <v>32.74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20.511600000000001</v>
      </c>
      <c r="D14" s="100">
        <f>_xll.EQNXTDZ($A$1,$B14,D$1,$B$1)</f>
        <v>33.46</v>
      </c>
      <c r="E14" s="100">
        <f>_xll.EQNXTDZ($A$1,$B14,E$1,$B$1)</f>
        <v>38.92</v>
      </c>
      <c r="F14" s="100">
        <f>_xll.EQNXTDZ($A$1,$B14,F$1,$B$1)</f>
        <v>39.68</v>
      </c>
      <c r="G14" s="100">
        <f>_xll.EQNXTDZ($A$1,$B14,G$1,$B$1)</f>
        <v>40.86</v>
      </c>
      <c r="H14" s="100">
        <f>_xll.EQNXTDZ($A$1,$B14,H$1,$B$1)</f>
        <v>47.44</v>
      </c>
      <c r="I14" s="100">
        <f>_xll.EQNXTDZ($A$1,$B14,I$1,$B$1)</f>
        <v>69.739999999999995</v>
      </c>
      <c r="J14" s="100">
        <f>_xll.EQNXTDZ($A$1,$B14,J$1,$B$1)</f>
        <v>92.15</v>
      </c>
      <c r="K14" s="100">
        <f>_xll.EQNXTDZ($A$1,$B14,K$1,$B$1)</f>
        <v>111.1</v>
      </c>
      <c r="L14" s="100">
        <f>_xll.EQNXTDZ($A$1,$B14,L$1,$B$1)</f>
        <v>147.06</v>
      </c>
      <c r="M14" s="100">
        <f>_xll.EQNXTDZ($A$1,$B14,M$1,$B$1)</f>
        <v>164.56</v>
      </c>
      <c r="N14" s="100">
        <f>_xll.EQNXTDZ($A$1,$B14,N$1,$B$1)</f>
        <v>174.46</v>
      </c>
      <c r="O14" s="100">
        <f>_xll.EQNXTDZ($A$1,$B14,O$1,$B$1)</f>
        <v>159.81</v>
      </c>
      <c r="P14" s="100">
        <f>_xll.EQNXTDZ($A$1,$B14,P$1,$B$1)</f>
        <v>172.67</v>
      </c>
      <c r="Q14" s="100">
        <f>_xll.EQNXTDZ($A$1,$B14,Q$1,$B$1)</f>
        <v>158.53</v>
      </c>
      <c r="R14" s="100">
        <f>_xll.EQNXTDZ($A$1,$B14,R$1,$B$1)</f>
        <v>119.9</v>
      </c>
      <c r="S14" s="100">
        <f>_xll.EQNXTDZ($A$1,$B14,S$1,$B$1)</f>
        <v>125.9</v>
      </c>
      <c r="T14" s="100">
        <f>_xll.EQNXTDZ($A$1,$B14,T$1,$B$1)</f>
        <v>103</v>
      </c>
      <c r="U14" s="100">
        <f>_xll.EQNXTDZ($A$1,$B14,U$1,$B$1)</f>
        <v>64.790000000000006</v>
      </c>
      <c r="V14" s="100">
        <f>_xll.EQNXTDZ($A$1,$B14,V$1,$B$1)</f>
        <v>59.12</v>
      </c>
      <c r="W14" s="100">
        <f>_xll.EQNXTDZ($A$1,$B14,W$1,$B$1)</f>
        <v>49.37</v>
      </c>
      <c r="X14" s="100">
        <f>_xll.EQNXTDZ($A$1,$B14,X$1,$B$1)</f>
        <v>55.04</v>
      </c>
      <c r="Y14" s="100">
        <f>_xll.EQNXTDZ($A$1,$B14,Y$1,$B$1)</f>
        <v>61.9</v>
      </c>
      <c r="Z14" s="100">
        <f>_xll.EQNXTDZ($A$1,$B14,Z$1,$B$1)</f>
        <v>70.599999999999994</v>
      </c>
      <c r="AA14" s="100">
        <f>_xll.EQNXTDZ($A$1,$B14,AA$1,$B$1)</f>
        <v>83.09</v>
      </c>
      <c r="AB14" s="100">
        <f>_xll.EQNXTDZ($A$1,$B14,AB$1,$B$1)</f>
        <v>86.48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85.879800000000003</v>
      </c>
      <c r="D15" s="100">
        <f>_xll.EQNXTDZ($A$1,$B15,D$1,$B$1)</f>
        <v>147.59</v>
      </c>
      <c r="E15" s="100">
        <f>_xll.EQNXTDZ($A$1,$B15,E$1,$B$1)</f>
        <v>185.76</v>
      </c>
      <c r="F15" s="100">
        <f>_xll.EQNXTDZ($A$1,$B15,F$1,$B$1)</f>
        <v>349.19</v>
      </c>
      <c r="G15" s="100">
        <f>_xll.EQNXTDZ($A$1,$B15,G$1,$B$1)</f>
        <v>421.03</v>
      </c>
      <c r="H15" s="100">
        <f>_xll.EQNXTDZ($A$1,$B15,H$1,$B$1)</f>
        <v>545.69000000000005</v>
      </c>
      <c r="I15" s="100">
        <f>_xll.EQNXTDZ($A$1,$B15,I$1,$B$1)</f>
        <v>620.01</v>
      </c>
      <c r="J15" s="100">
        <f>_xll.EQNXTDZ($A$1,$B15,J$1,$B$1)</f>
        <v>714.2</v>
      </c>
      <c r="K15" s="100">
        <f>_xll.EQNXTDZ($A$1,$B15,K$1,$B$1)</f>
        <v>751.9</v>
      </c>
      <c r="L15" s="100">
        <f>_xll.EQNXTDZ($A$1,$B15,L$1,$B$1)</f>
        <v>778.83</v>
      </c>
      <c r="M15" s="100">
        <f>_xll.EQNXTDZ($A$1,$B15,M$1,$B$1)</f>
        <v>879.26</v>
      </c>
      <c r="N15" s="100">
        <f>_xll.EQNXTDZ($A$1,$B15,N$1,$B$1)</f>
        <v>1138.17</v>
      </c>
      <c r="O15" s="100">
        <f>_xll.EQNXTDZ($A$1,$B15,O$1,$B$1)</f>
        <v>1271.81</v>
      </c>
      <c r="P15" s="100">
        <f>_xll.EQNXTDZ($A$1,$B15,P$1,$B$1)</f>
        <v>1411.4</v>
      </c>
      <c r="Q15" s="100">
        <f>_xll.EQNXTDZ($A$1,$B15,Q$1,$B$1)</f>
        <v>1527.3</v>
      </c>
      <c r="R15" s="100">
        <f>_xll.EQNXTDZ($A$1,$B15,R$1,$B$1)</f>
        <v>1479.82</v>
      </c>
      <c r="S15" s="100">
        <f>_xll.EQNXTDZ($A$1,$B15,S$1,$B$1)</f>
        <v>973.66</v>
      </c>
      <c r="T15" s="100">
        <f>_xll.EQNXTDZ($A$1,$B15,T$1,$B$1)</f>
        <v>663.26</v>
      </c>
      <c r="U15" s="100">
        <f>_xll.EQNXTDZ($A$1,$B15,U$1,$B$1)</f>
        <v>600.52</v>
      </c>
      <c r="V15" s="100">
        <f>_xll.EQNXTDZ($A$1,$B15,V$1,$B$1)</f>
        <v>456.69</v>
      </c>
      <c r="W15" s="100">
        <f>_xll.EQNXTDZ($A$1,$B15,W$1,$B$1)</f>
        <v>413.73</v>
      </c>
      <c r="X15" s="100">
        <f>_xll.EQNXTDZ($A$1,$B15,X$1,$B$1)</f>
        <v>452.65</v>
      </c>
      <c r="Y15" s="100">
        <f>_xll.EQNXTDZ($A$1,$B15,Y$1,$B$1)</f>
        <v>471.99</v>
      </c>
      <c r="Z15" s="100">
        <f>_xll.EQNXTDZ($A$1,$B15,Z$1,$B$1)</f>
        <v>503.04</v>
      </c>
      <c r="AA15" s="100">
        <f>_xll.EQNXTDZ($A$1,$B15,AA$1,$B$1)</f>
        <v>570.75</v>
      </c>
      <c r="AB15" s="100">
        <f>_xll.EQNXTDZ($A$1,$B15,AB$1,$B$1)</f>
        <v>375.86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24.247599999999998</v>
      </c>
      <c r="D17" s="100">
        <f>_xll.EQNXTDZ($A$1,$B17,D$1,$B$1)</f>
        <v>31.34</v>
      </c>
      <c r="E17" s="100">
        <f>_xll.EQNXTDZ($A$1,$B17,E$1,$B$1)</f>
        <v>34.979999999999997</v>
      </c>
      <c r="F17" s="100">
        <f>_xll.EQNXTDZ($A$1,$B17,F$1,$B$1)</f>
        <v>47.61</v>
      </c>
      <c r="G17" s="100">
        <f>_xll.EQNXTDZ($A$1,$B17,G$1,$B$1)</f>
        <v>64.16</v>
      </c>
      <c r="H17" s="100">
        <f>_xll.EQNXTDZ($A$1,$B17,H$1,$B$1)</f>
        <v>69.680000000000007</v>
      </c>
      <c r="I17" s="100">
        <f>_xll.EQNXTDZ($A$1,$B17,I$1,$B$1)</f>
        <v>79.72</v>
      </c>
      <c r="J17" s="100">
        <f>_xll.EQNXTDZ($A$1,$B17,J$1,$B$1)</f>
        <v>72.739999999999995</v>
      </c>
      <c r="K17" s="100">
        <f>_xll.EQNXTDZ($A$1,$B17,K$1,$B$1)</f>
        <v>163.99</v>
      </c>
      <c r="L17" s="100">
        <f>_xll.EQNXTDZ($A$1,$B17,L$1,$B$1)</f>
        <v>235.65</v>
      </c>
      <c r="M17" s="100">
        <f>_xll.EQNXTDZ($A$1,$B17,M$1,$B$1)</f>
        <v>231.45</v>
      </c>
      <c r="N17" s="100">
        <f>_xll.EQNXTDZ($A$1,$B17,N$1,$B$1)</f>
        <v>147.84</v>
      </c>
      <c r="O17" s="100">
        <f>_xll.EQNXTDZ($A$1,$B17,O$1,$B$1)</f>
        <v>183.81</v>
      </c>
      <c r="P17" s="100">
        <f>_xll.EQNXTDZ($A$1,$B17,P$1,$B$1)</f>
        <v>78.13</v>
      </c>
      <c r="Q17" s="100">
        <f>_xll.EQNXTDZ($A$1,$B17,Q$1,$B$1)</f>
        <v>86.25</v>
      </c>
      <c r="R17" s="100">
        <f>_xll.EQNXTDZ($A$1,$B17,R$1,$B$1)</f>
        <v>100.82</v>
      </c>
      <c r="S17" s="100">
        <f>_xll.EQNXTDZ($A$1,$B17,S$1,$B$1)</f>
        <v>462.22</v>
      </c>
      <c r="T17" s="100">
        <f>_xll.EQNXTDZ($A$1,$B17,T$1,$B$1)</f>
        <v>427.27</v>
      </c>
      <c r="U17" s="100">
        <f>_xll.EQNXTDZ($A$1,$B17,U$1,$B$1)</f>
        <v>213.47</v>
      </c>
      <c r="V17" s="100">
        <f>_xll.EQNXTDZ($A$1,$B17,V$1,$B$1)</f>
        <v>20.7</v>
      </c>
      <c r="W17" s="100">
        <f>_xll.EQNXTDZ($A$1,$B17,W$1,$B$1)</f>
        <v>10.029999999999999</v>
      </c>
      <c r="X17" s="100">
        <f>_xll.EQNXTDZ($A$1,$B17,X$1,$B$1)</f>
        <v>28.98</v>
      </c>
      <c r="Y17" s="100">
        <f>_xll.EQNXTDZ($A$1,$B17,Y$1,$B$1)</f>
        <v>24.39</v>
      </c>
      <c r="Z17" s="100">
        <f>_xll.EQNXTDZ($A$1,$B17,Z$1,$B$1)</f>
        <v>34.83</v>
      </c>
      <c r="AA17" s="100">
        <f>_xll.EQNXTDZ($A$1,$B17,AA$1,$B$1)</f>
        <v>25.76</v>
      </c>
      <c r="AB17" s="100">
        <f>_xll.EQNXTDZ($A$1,$B17,AB$1,$B$1)</f>
        <v>25.19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1.9917</v>
      </c>
      <c r="D18" s="100">
        <f>_xll.EQNXTDZ($A$1,$B18,D$1,$B$1)</f>
        <v>5.56</v>
      </c>
      <c r="E18" s="100">
        <f>_xll.EQNXTDZ($A$1,$B18,E$1,$B$1)</f>
        <v>8.82</v>
      </c>
      <c r="F18" s="100">
        <f>_xll.EQNXTDZ($A$1,$B18,F$1,$B$1)</f>
        <v>45.6</v>
      </c>
      <c r="G18" s="100">
        <f>_xll.EQNXTDZ($A$1,$B18,G$1,$B$1)</f>
        <v>121.67</v>
      </c>
      <c r="H18" s="100">
        <f>_xll.EQNXTDZ($A$1,$B18,H$1,$B$1)</f>
        <v>184.39</v>
      </c>
      <c r="I18" s="100">
        <f>_xll.EQNXTDZ($A$1,$B18,I$1,$B$1)</f>
        <v>233.59</v>
      </c>
      <c r="J18" s="100">
        <f>_xll.EQNXTDZ($A$1,$B18,J$1,$B$1)</f>
        <v>304.66000000000003</v>
      </c>
      <c r="K18" s="100">
        <f>_xll.EQNXTDZ($A$1,$B18,K$1,$B$1)</f>
        <v>296.14999999999998</v>
      </c>
      <c r="L18" s="100">
        <f>_xll.EQNXTDZ($A$1,$B18,L$1,$B$1)</f>
        <v>352.49</v>
      </c>
      <c r="M18" s="100">
        <f>_xll.EQNXTDZ($A$1,$B18,M$1,$B$1)</f>
        <v>306.38</v>
      </c>
      <c r="N18" s="100">
        <f>_xll.EQNXTDZ($A$1,$B18,N$1,$B$1)</f>
        <v>245.85</v>
      </c>
      <c r="O18" s="100">
        <f>_xll.EQNXTDZ($A$1,$B18,O$1,$B$1)</f>
        <v>163.31</v>
      </c>
      <c r="P18" s="100">
        <f>_xll.EQNXTDZ($A$1,$B18,P$1,$B$1)</f>
        <v>120.45</v>
      </c>
      <c r="Q18" s="100">
        <f>_xll.EQNXTDZ($A$1,$B18,Q$1,$B$1)</f>
        <v>126.36</v>
      </c>
      <c r="R18" s="100">
        <f>_xll.EQNXTDZ($A$1,$B18,R$1,$B$1)</f>
        <v>118.47</v>
      </c>
      <c r="S18" s="100">
        <f>_xll.EQNXTDZ($A$1,$B18,S$1,$B$1)</f>
        <v>87.44</v>
      </c>
      <c r="T18" s="100">
        <f>_xll.EQNXTDZ($A$1,$B18,T$1,$B$1)</f>
        <v>49.68</v>
      </c>
      <c r="U18" s="100">
        <f>_xll.EQNXTDZ($A$1,$B18,U$1,$B$1)</f>
        <v>52.28</v>
      </c>
      <c r="V18" s="100">
        <f>_xll.EQNXTDZ($A$1,$B18,V$1,$B$1)</f>
        <v>58.22</v>
      </c>
      <c r="W18" s="100">
        <f>_xll.EQNXTDZ($A$1,$B18,W$1,$B$1)</f>
        <v>45.38</v>
      </c>
      <c r="X18" s="100">
        <f>_xll.EQNXTDZ($A$1,$B18,X$1,$B$1)</f>
        <v>49.04</v>
      </c>
      <c r="Y18" s="100">
        <f>_xll.EQNXTDZ($A$1,$B18,Y$1,$B$1)</f>
        <v>17.54</v>
      </c>
      <c r="Z18" s="100">
        <f>_xll.EQNXTDZ($A$1,$B18,Z$1,$B$1)</f>
        <v>14.59</v>
      </c>
      <c r="AA18" s="100">
        <f>_xll.EQNXTDZ($A$1,$B18,AA$1,$B$1)</f>
        <v>13.69</v>
      </c>
      <c r="AB18" s="100">
        <f>_xll.EQNXTDZ($A$1,$B18,AB$1,$B$1)</f>
        <v>12.36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64.2517</v>
      </c>
      <c r="D19" s="100">
        <f>_xll.EQNXTDZ($A$1,$B19,D$1,$B$1)</f>
        <v>12.34</v>
      </c>
      <c r="E19" s="100">
        <f>_xll.EQNXTDZ($A$1,$B19,E$1,$B$1)</f>
        <v>17.75</v>
      </c>
      <c r="F19" s="100">
        <f>_xll.EQNXTDZ($A$1,$B19,F$1,$B$1)</f>
        <v>99.34</v>
      </c>
      <c r="G19" s="100">
        <f>_xll.EQNXTDZ($A$1,$B19,G$1,$B$1)</f>
        <v>230.3</v>
      </c>
      <c r="H19" s="100">
        <f>_xll.EQNXTDZ($A$1,$B19,H$1,$B$1)</f>
        <v>95.06</v>
      </c>
      <c r="I19" s="100">
        <f>_xll.EQNXTDZ($A$1,$B19,I$1,$B$1)</f>
        <v>78.64</v>
      </c>
      <c r="J19" s="100">
        <f>_xll.EQNXTDZ($A$1,$B19,J$1,$B$1)</f>
        <v>71.959999999999994</v>
      </c>
      <c r="K19" s="100">
        <f>_xll.EQNXTDZ($A$1,$B19,K$1,$B$1)</f>
        <v>73.97</v>
      </c>
      <c r="L19" s="100">
        <f>_xll.EQNXTDZ($A$1,$B19,L$1,$B$1)</f>
        <v>71.55</v>
      </c>
      <c r="M19" s="100">
        <f>_xll.EQNXTDZ($A$1,$B19,M$1,$B$1)</f>
        <v>496.89</v>
      </c>
      <c r="N19" s="100">
        <f>_xll.EQNXTDZ($A$1,$B19,N$1,$B$1)</f>
        <v>79.16</v>
      </c>
      <c r="O19" s="100">
        <f>_xll.EQNXTDZ($A$1,$B19,O$1,$B$1)</f>
        <v>204.27</v>
      </c>
      <c r="P19" s="100">
        <f>_xll.EQNXTDZ($A$1,$B19,P$1,$B$1)</f>
        <v>319.02</v>
      </c>
      <c r="Q19" s="100">
        <f>_xll.EQNXTDZ($A$1,$B19,Q$1,$B$1)</f>
        <v>150.22999999999999</v>
      </c>
      <c r="R19" s="100">
        <f>_xll.EQNXTDZ($A$1,$B19,R$1,$B$1)</f>
        <v>210.44</v>
      </c>
      <c r="S19" s="100">
        <f>_xll.EQNXTDZ($A$1,$B19,S$1,$B$1)</f>
        <v>252.05</v>
      </c>
      <c r="T19" s="100">
        <f>_xll.EQNXTDZ($A$1,$B19,T$1,$B$1)</f>
        <v>416.31</v>
      </c>
      <c r="U19" s="100">
        <f>_xll.EQNXTDZ($A$1,$B19,U$1,$B$1)</f>
        <v>72.930000000000007</v>
      </c>
      <c r="V19" s="100">
        <f>_xll.EQNXTDZ($A$1,$B19,V$1,$B$1)</f>
        <v>14.71</v>
      </c>
      <c r="W19" s="100">
        <f>_xll.EQNXTDZ($A$1,$B19,W$1,$B$1)</f>
        <v>2.5</v>
      </c>
      <c r="X19" s="100">
        <f>_xll.EQNXTDZ($A$1,$B19,X$1,$B$1)</f>
        <v>8.75</v>
      </c>
      <c r="Y19" s="100">
        <f>_xll.EQNXTDZ($A$1,$B19,Y$1,$B$1)</f>
        <v>7.9</v>
      </c>
      <c r="Z19" s="100">
        <f>_xll.EQNXTDZ($A$1,$B19,Z$1,$B$1)</f>
        <v>8.8699999999999992</v>
      </c>
      <c r="AA19" s="100">
        <f>_xll.EQNXTDZ($A$1,$B19,AA$1,$B$1)</f>
        <v>10.74</v>
      </c>
      <c r="AB19" s="100">
        <f>_xll.EQNXTDZ($A$1,$B19,AB$1,$B$1)</f>
        <v>10.19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202.77850000000001</v>
      </c>
      <c r="D21" s="100">
        <f>_xll.EQNXTDZ($A$1,$B21,D$1,$B$1)</f>
        <v>238.99</v>
      </c>
      <c r="E21" s="100">
        <f>_xll.EQNXTDZ($A$1,$B21,E$1,$B$1)</f>
        <v>296.24</v>
      </c>
      <c r="F21" s="100">
        <f>_xll.EQNXTDZ($A$1,$B21,F$1,$B$1)</f>
        <v>597.91999999999996</v>
      </c>
      <c r="G21" s="100">
        <f>_xll.EQNXTDZ($A$1,$B21,G$1,$B$1)</f>
        <v>902.6</v>
      </c>
      <c r="H21" s="100">
        <f>_xll.EQNXTDZ($A$1,$B21,H$1,$B$1)</f>
        <v>972.43</v>
      </c>
      <c r="I21" s="100">
        <f>_xll.EQNXTDZ($A$1,$B21,I$1,$B$1)</f>
        <v>1121.82</v>
      </c>
      <c r="J21" s="100">
        <f>_xll.EQNXTDZ($A$1,$B21,J$1,$B$1)</f>
        <v>1315.78</v>
      </c>
      <c r="K21" s="100">
        <f>_xll.EQNXTDZ($A$1,$B21,K$1,$B$1)</f>
        <v>1465.62</v>
      </c>
      <c r="L21" s="100">
        <f>_xll.EQNXTDZ($A$1,$B21,L$1,$B$1)</f>
        <v>1716.52</v>
      </c>
      <c r="M21" s="100">
        <f>_xll.EQNXTDZ($A$1,$B21,M$1,$B$1)</f>
        <v>2250.9299999999998</v>
      </c>
      <c r="N21" s="100">
        <f>_xll.EQNXTDZ($A$1,$B21,N$1,$B$1)</f>
        <v>1958.64</v>
      </c>
      <c r="O21" s="100">
        <f>_xll.EQNXTDZ($A$1,$B21,O$1,$B$1)</f>
        <v>2184.92</v>
      </c>
      <c r="P21" s="100">
        <f>_xll.EQNXTDZ($A$1,$B21,P$1,$B$1)</f>
        <v>2320.34</v>
      </c>
      <c r="Q21" s="100">
        <f>_xll.EQNXTDZ($A$1,$B21,Q$1,$B$1)</f>
        <v>2299.8000000000002</v>
      </c>
      <c r="R21" s="100">
        <f>_xll.EQNXTDZ($A$1,$B21,R$1,$B$1)</f>
        <v>2256.25</v>
      </c>
      <c r="S21" s="100">
        <f>_xll.EQNXTDZ($A$1,$B21,S$1,$B$1)</f>
        <v>2126.4699999999998</v>
      </c>
      <c r="T21" s="100">
        <f>_xll.EQNXTDZ($A$1,$B21,T$1,$B$1)</f>
        <v>1877.52</v>
      </c>
      <c r="U21" s="100">
        <f>_xll.EQNXTDZ($A$1,$B21,U$1,$B$1)</f>
        <v>1078.06</v>
      </c>
      <c r="V21" s="100">
        <f>_xll.EQNXTDZ($A$1,$B21,V$1,$B$1)</f>
        <v>656.04</v>
      </c>
      <c r="W21" s="100">
        <f>_xll.EQNXTDZ($A$1,$B21,W$1,$B$1)</f>
        <v>554.77</v>
      </c>
      <c r="X21" s="100">
        <f>_xll.EQNXTDZ($A$1,$B21,X$1,$B$1)</f>
        <v>626.16999999999996</v>
      </c>
      <c r="Y21" s="100">
        <f>_xll.EQNXTDZ($A$1,$B21,Y$1,$B$1)</f>
        <v>613.66999999999996</v>
      </c>
      <c r="Z21" s="100">
        <f>_xll.EQNXTDZ($A$1,$B21,Z$1,$B$1)</f>
        <v>664.23</v>
      </c>
      <c r="AA21" s="100">
        <f>_xll.EQNXTDZ($A$1,$B21,AA$1,$B$1)</f>
        <v>737.26</v>
      </c>
      <c r="AB21" s="100">
        <f>_xll.EQNXTDZ($A$1,$B21,AB$1,$B$1)</f>
        <v>542.82000000000005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-63.5503</v>
      </c>
      <c r="D22" s="100">
        <f>_xll.EQNXTDZ($A$1,$B22,D$1,$B$1)</f>
        <v>13.51</v>
      </c>
      <c r="E22" s="100">
        <f>_xll.EQNXTDZ($A$1,$B22,E$1,$B$1)</f>
        <v>63.35</v>
      </c>
      <c r="F22" s="100">
        <f>_xll.EQNXTDZ($A$1,$B22,F$1,$B$1)</f>
        <v>-0.41999999999995902</v>
      </c>
      <c r="G22" s="100">
        <f>_xll.EQNXTDZ($A$1,$B22,G$1,$B$1)</f>
        <v>-95.13</v>
      </c>
      <c r="H22" s="100">
        <f>_xll.EQNXTDZ($A$1,$B22,H$1,$B$1)</f>
        <v>122.7</v>
      </c>
      <c r="I22" s="100">
        <f>_xll.EQNXTDZ($A$1,$B22,I$1,$B$1)</f>
        <v>285.16000000000003</v>
      </c>
      <c r="J22" s="100">
        <f>_xll.EQNXTDZ($A$1,$B22,J$1,$B$1)</f>
        <v>391.41</v>
      </c>
      <c r="K22" s="100">
        <f>_xll.EQNXTDZ($A$1,$B22,K$1,$B$1)</f>
        <v>484.51</v>
      </c>
      <c r="L22" s="100">
        <f>_xll.EQNXTDZ($A$1,$B22,L$1,$B$1)</f>
        <v>381.75</v>
      </c>
      <c r="M22" s="100">
        <f>_xll.EQNXTDZ($A$1,$B22,M$1,$B$1)</f>
        <v>14.6600000000003</v>
      </c>
      <c r="N22" s="100">
        <f>_xll.EQNXTDZ($A$1,$B22,N$1,$B$1)</f>
        <v>529.79999999999995</v>
      </c>
      <c r="O22" s="100">
        <f>_xll.EQNXTDZ($A$1,$B22,O$1,$B$1)</f>
        <v>449.62</v>
      </c>
      <c r="P22" s="100">
        <f>_xll.EQNXTDZ($A$1,$B22,P$1,$B$1)</f>
        <v>410.84</v>
      </c>
      <c r="Q22" s="100">
        <f>_xll.EQNXTDZ($A$1,$B22,Q$1,$B$1)</f>
        <v>592.92999999999995</v>
      </c>
      <c r="R22" s="100">
        <f>_xll.EQNXTDZ($A$1,$B22,R$1,$B$1)</f>
        <v>715.84</v>
      </c>
      <c r="S22" s="100">
        <f>_xll.EQNXTDZ($A$1,$B22,S$1,$B$1)</f>
        <v>576.44000000000005</v>
      </c>
      <c r="T22" s="100">
        <f>_xll.EQNXTDZ($A$1,$B22,T$1,$B$1)</f>
        <v>-9.0099999999999891</v>
      </c>
      <c r="U22" s="100">
        <f>_xll.EQNXTDZ($A$1,$B22,U$1,$B$1)</f>
        <v>199.14</v>
      </c>
      <c r="V22" s="100">
        <f>_xll.EQNXTDZ($A$1,$B22,V$1,$B$1)</f>
        <v>421.7</v>
      </c>
      <c r="W22" s="100">
        <f>_xll.EQNXTDZ($A$1,$B22,W$1,$B$1)</f>
        <v>488.89</v>
      </c>
      <c r="X22" s="100">
        <f>_xll.EQNXTDZ($A$1,$B22,X$1,$B$1)</f>
        <v>467.63</v>
      </c>
      <c r="Y22" s="100">
        <f>_xll.EQNXTDZ($A$1,$B22,Y$1,$B$1)</f>
        <v>492.5</v>
      </c>
      <c r="Z22" s="100">
        <f>_xll.EQNXTDZ($A$1,$B22,Z$1,$B$1)</f>
        <v>527.41999999999996</v>
      </c>
      <c r="AA22" s="100">
        <f>_xll.EQNXTDZ($A$1,$B22,AA$1,$B$1)</f>
        <v>570.78</v>
      </c>
      <c r="AB22" s="100">
        <f>_xll.EQNXTDZ($A$1,$B22,AB$1,$B$1)</f>
        <v>617.41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55.7883</v>
      </c>
      <c r="D23" s="100">
        <f>_xll.EQNXTDZ($A$1,$B23,D$1,$B$1)</f>
        <v>24</v>
      </c>
      <c r="E23" s="100">
        <f>_xll.EQNXTDZ($A$1,$B23,E$1,$B$1)</f>
        <v>46.87</v>
      </c>
      <c r="F23" s="100">
        <f>_xll.EQNXTDZ($A$1,$B23,F$1,$B$1)</f>
        <v>53.14</v>
      </c>
      <c r="G23" s="100">
        <f>_xll.EQNXTDZ($A$1,$B23,G$1,$B$1)</f>
        <v>36.28</v>
      </c>
      <c r="H23" s="100">
        <f>_xll.EQNXTDZ($A$1,$B23,H$1,$B$1)</f>
        <v>2.46</v>
      </c>
      <c r="I23" s="100">
        <f>_xll.EQNXTDZ($A$1,$B23,I$1,$B$1)</f>
        <v>19.84</v>
      </c>
      <c r="J23" s="100">
        <f>_xll.EQNXTDZ($A$1,$B23,J$1,$B$1)</f>
        <v>95.42</v>
      </c>
      <c r="K23" s="100">
        <f>_xll.EQNXTDZ($A$1,$B23,K$1,$B$1)</f>
        <v>115.57</v>
      </c>
      <c r="L23" s="100">
        <f>_xll.EQNXTDZ($A$1,$B23,L$1,$B$1)</f>
        <v>214.82</v>
      </c>
      <c r="M23" s="100">
        <f>_xll.EQNXTDZ($A$1,$B23,M$1,$B$1)</f>
        <v>1182.57</v>
      </c>
      <c r="N23" s="100">
        <f>_xll.EQNXTDZ($A$1,$B23,N$1,$B$1)</f>
        <v>19.03</v>
      </c>
      <c r="O23" s="100">
        <f>_xll.EQNXTDZ($A$1,$B23,O$1,$B$1)</f>
        <v>51.01</v>
      </c>
      <c r="P23" s="100">
        <f>_xll.EQNXTDZ($A$1,$B23,P$1,$B$1)</f>
        <v>203.46</v>
      </c>
      <c r="Q23" s="100">
        <f>_xll.EQNXTDZ($A$1,$B23,Q$1,$B$1)</f>
        <v>53.53</v>
      </c>
      <c r="R23" s="100">
        <f>_xll.EQNXTDZ($A$1,$B23,R$1,$B$1)</f>
        <v>69.11</v>
      </c>
      <c r="S23" s="100">
        <f>_xll.EQNXTDZ($A$1,$B23,S$1,$B$1)</f>
        <v>104.1</v>
      </c>
      <c r="T23" s="100">
        <f>_xll.EQNXTDZ($A$1,$B23,T$1,$B$1)</f>
        <v>210.57</v>
      </c>
      <c r="U23" s="100">
        <f>_xll.EQNXTDZ($A$1,$B23,U$1,$B$1)</f>
        <v>533.47</v>
      </c>
      <c r="V23" s="100">
        <f>_xll.EQNXTDZ($A$1,$B23,V$1,$B$1)</f>
        <v>34.520000000000003</v>
      </c>
      <c r="W23" s="100">
        <f>_xll.EQNXTDZ($A$1,$B23,W$1,$B$1)</f>
        <v>24.1</v>
      </c>
      <c r="X23" s="100">
        <f>_xll.EQNXTDZ($A$1,$B23,X$1,$B$1)</f>
        <v>16.920000000000002</v>
      </c>
      <c r="Y23" s="100">
        <f>_xll.EQNXTDZ($A$1,$B23,Y$1,$B$1)</f>
        <v>16.760000000000002</v>
      </c>
      <c r="Z23" s="100">
        <f>_xll.EQNXTDZ($A$1,$B23,Z$1,$B$1)</f>
        <v>16.16</v>
      </c>
      <c r="AA23" s="100">
        <f>_xll.EQNXTDZ($A$1,$B23,AA$1,$B$1)</f>
        <v>15.87</v>
      </c>
      <c r="AB23" s="100">
        <f>_xll.EQNXTDZ($A$1,$B23,AB$1,$B$1)</f>
        <v>15.15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-7.7619999999999996</v>
      </c>
      <c r="D24" s="100">
        <f>_xll.EQNXTDZ($A$1,$B24,D$1,$B$1)</f>
        <v>37.51</v>
      </c>
      <c r="E24" s="100">
        <f>_xll.EQNXTDZ($A$1,$B24,E$1,$B$1)</f>
        <v>110.22</v>
      </c>
      <c r="F24" s="100">
        <f>_xll.EQNXTDZ($A$1,$B24,F$1,$B$1)</f>
        <v>52.72</v>
      </c>
      <c r="G24" s="100">
        <f>_xll.EQNXTDZ($A$1,$B24,G$1,$B$1)</f>
        <v>-58.85</v>
      </c>
      <c r="H24" s="100">
        <f>_xll.EQNXTDZ($A$1,$B24,H$1,$B$1)</f>
        <v>125.16</v>
      </c>
      <c r="I24" s="100">
        <f>_xll.EQNXTDZ($A$1,$B24,I$1,$B$1)</f>
        <v>305</v>
      </c>
      <c r="J24" s="100">
        <f>_xll.EQNXTDZ($A$1,$B24,J$1,$B$1)</f>
        <v>486.83</v>
      </c>
      <c r="K24" s="100">
        <f>_xll.EQNXTDZ($A$1,$B24,K$1,$B$1)</f>
        <v>600.08000000000004</v>
      </c>
      <c r="L24" s="100">
        <f>_xll.EQNXTDZ($A$1,$B24,L$1,$B$1)</f>
        <v>596.57000000000005</v>
      </c>
      <c r="M24" s="100">
        <f>_xll.EQNXTDZ($A$1,$B24,M$1,$B$1)</f>
        <v>1197.23</v>
      </c>
      <c r="N24" s="100">
        <f>_xll.EQNXTDZ($A$1,$B24,N$1,$B$1)</f>
        <v>548.83000000000004</v>
      </c>
      <c r="O24" s="100">
        <f>_xll.EQNXTDZ($A$1,$B24,O$1,$B$1)</f>
        <v>500.63</v>
      </c>
      <c r="P24" s="100">
        <f>_xll.EQNXTDZ($A$1,$B24,P$1,$B$1)</f>
        <v>614.29999999999995</v>
      </c>
      <c r="Q24" s="100">
        <f>_xll.EQNXTDZ($A$1,$B24,Q$1,$B$1)</f>
        <v>646.46</v>
      </c>
      <c r="R24" s="100">
        <f>_xll.EQNXTDZ($A$1,$B24,R$1,$B$1)</f>
        <v>784.95</v>
      </c>
      <c r="S24" s="100">
        <f>_xll.EQNXTDZ($A$1,$B24,S$1,$B$1)</f>
        <v>680.54</v>
      </c>
      <c r="T24" s="100">
        <f>_xll.EQNXTDZ($A$1,$B24,T$1,$B$1)</f>
        <v>201.56</v>
      </c>
      <c r="U24" s="100">
        <f>_xll.EQNXTDZ($A$1,$B24,U$1,$B$1)</f>
        <v>732.61</v>
      </c>
      <c r="V24" s="100">
        <f>_xll.EQNXTDZ($A$1,$B24,V$1,$B$1)</f>
        <v>456.22</v>
      </c>
      <c r="W24" s="100">
        <f>_xll.EQNXTDZ($A$1,$B24,W$1,$B$1)</f>
        <v>512.99</v>
      </c>
      <c r="X24" s="100">
        <f>_xll.EQNXTDZ($A$1,$B24,X$1,$B$1)</f>
        <v>484.55</v>
      </c>
      <c r="Y24" s="100">
        <f>_xll.EQNXTDZ($A$1,$B24,Y$1,$B$1)</f>
        <v>509.26</v>
      </c>
      <c r="Z24" s="100">
        <f>_xll.EQNXTDZ($A$1,$B24,Z$1,$B$1)</f>
        <v>543.58000000000004</v>
      </c>
      <c r="AA24" s="100">
        <f>_xll.EQNXTDZ($A$1,$B24,AA$1,$B$1)</f>
        <v>586.65</v>
      </c>
      <c r="AB24" s="100">
        <f>_xll.EQNXTDZ($A$1,$B24,AB$1,$B$1)</f>
        <v>632.55999999999995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128.4306</v>
      </c>
      <c r="D25" s="100">
        <f>_xll.EQNXTDZ($A$1,$B25,D$1,$B$1)</f>
        <v>72.290000000000006</v>
      </c>
      <c r="E25" s="100">
        <f>_xll.EQNXTDZ($A$1,$B25,E$1,$B$1)</f>
        <v>97.92</v>
      </c>
      <c r="F25" s="100">
        <f>_xll.EQNXTDZ($A$1,$B25,F$1,$B$1)</f>
        <v>119.87</v>
      </c>
      <c r="G25" s="100">
        <f>_xll.EQNXTDZ($A$1,$B25,G$1,$B$1)</f>
        <v>152</v>
      </c>
      <c r="H25" s="100">
        <f>_xll.EQNXTDZ($A$1,$B25,H$1,$B$1)</f>
        <v>146.22</v>
      </c>
      <c r="I25" s="100">
        <f>_xll.EQNXTDZ($A$1,$B25,I$1,$B$1)</f>
        <v>174.16</v>
      </c>
      <c r="J25" s="100">
        <f>_xll.EQNXTDZ($A$1,$B25,J$1,$B$1)</f>
        <v>172.29</v>
      </c>
      <c r="K25" s="100">
        <f>_xll.EQNXTDZ($A$1,$B25,K$1,$B$1)</f>
        <v>305.68</v>
      </c>
      <c r="L25" s="100">
        <f>_xll.EQNXTDZ($A$1,$B25,L$1,$B$1)</f>
        <v>350.58</v>
      </c>
      <c r="M25" s="100">
        <f>_xll.EQNXTDZ($A$1,$B25,M$1,$B$1)</f>
        <v>359.35</v>
      </c>
      <c r="N25" s="100">
        <f>_xll.EQNXTDZ($A$1,$B25,N$1,$B$1)</f>
        <v>522.98</v>
      </c>
      <c r="O25" s="100">
        <f>_xll.EQNXTDZ($A$1,$B25,O$1,$B$1)</f>
        <v>564.35</v>
      </c>
      <c r="P25" s="100">
        <f>_xll.EQNXTDZ($A$1,$B25,P$1,$B$1)</f>
        <v>565.04999999999995</v>
      </c>
      <c r="Q25" s="100">
        <f>_xll.EQNXTDZ($A$1,$B25,Q$1,$B$1)</f>
        <v>650.78</v>
      </c>
      <c r="R25" s="100">
        <f>_xll.EQNXTDZ($A$1,$B25,R$1,$B$1)</f>
        <v>683.63</v>
      </c>
      <c r="S25" s="100">
        <f>_xll.EQNXTDZ($A$1,$B25,S$1,$B$1)</f>
        <v>1282.3699999999999</v>
      </c>
      <c r="T25" s="100">
        <f>_xll.EQNXTDZ($A$1,$B25,T$1,$B$1)</f>
        <v>1568.97</v>
      </c>
      <c r="U25" s="100">
        <f>_xll.EQNXTDZ($A$1,$B25,U$1,$B$1)</f>
        <v>1553.74</v>
      </c>
      <c r="V25" s="100">
        <f>_xll.EQNXTDZ($A$1,$B25,V$1,$B$1)</f>
        <v>1545.07</v>
      </c>
      <c r="W25" s="100">
        <f>_xll.EQNXTDZ($A$1,$B25,W$1,$B$1)</f>
        <v>1561.14</v>
      </c>
      <c r="X25" s="100">
        <f>_xll.EQNXTDZ($A$1,$B25,X$1,$B$1)</f>
        <v>1539.34</v>
      </c>
      <c r="Y25" s="100">
        <f>_xll.EQNXTDZ($A$1,$B25,Y$1,$B$1)</f>
        <v>1501.55</v>
      </c>
      <c r="Z25" s="100">
        <f>_xll.EQNXTDZ($A$1,$B25,Z$1,$B$1)</f>
        <v>1621.58</v>
      </c>
      <c r="AA25" s="100">
        <f>_xll.EQNXTDZ($A$1,$B25,AA$1,$B$1)</f>
        <v>1694.04</v>
      </c>
      <c r="AB25" s="100">
        <f>_xll.EQNXTDZ($A$1,$B25,AB$1,$B$1)</f>
        <v>1360.98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-136.1926</v>
      </c>
      <c r="D26" s="100">
        <f>_xll.EQNXTDZ($A$1,$B26,D$1,$B$1)</f>
        <v>-34.78</v>
      </c>
      <c r="E26" s="100">
        <f>_xll.EQNXTDZ($A$1,$B26,E$1,$B$1)</f>
        <v>12.3</v>
      </c>
      <c r="F26" s="100">
        <f>_xll.EQNXTDZ($A$1,$B26,F$1,$B$1)</f>
        <v>-67.150000000000006</v>
      </c>
      <c r="G26" s="100">
        <f>_xll.EQNXTDZ($A$1,$B26,G$1,$B$1)</f>
        <v>-210.85</v>
      </c>
      <c r="H26" s="100">
        <f>_xll.EQNXTDZ($A$1,$B26,H$1,$B$1)</f>
        <v>-21.06</v>
      </c>
      <c r="I26" s="100">
        <f>_xll.EQNXTDZ($A$1,$B26,I$1,$B$1)</f>
        <v>130.84</v>
      </c>
      <c r="J26" s="100">
        <f>_xll.EQNXTDZ($A$1,$B26,J$1,$B$1)</f>
        <v>314.54000000000002</v>
      </c>
      <c r="K26" s="100">
        <f>_xll.EQNXTDZ($A$1,$B26,K$1,$B$1)</f>
        <v>294.39999999999998</v>
      </c>
      <c r="L26" s="100">
        <f>_xll.EQNXTDZ($A$1,$B26,L$1,$B$1)</f>
        <v>245.99</v>
      </c>
      <c r="M26" s="100">
        <f>_xll.EQNXTDZ($A$1,$B26,M$1,$B$1)</f>
        <v>837.88</v>
      </c>
      <c r="N26" s="100">
        <f>_xll.EQNXTDZ($A$1,$B26,N$1,$B$1)</f>
        <v>25.85</v>
      </c>
      <c r="O26" s="100">
        <f>_xll.EQNXTDZ($A$1,$B26,O$1,$B$1)</f>
        <v>-63.72</v>
      </c>
      <c r="P26" s="100">
        <f>_xll.EQNXTDZ($A$1,$B26,P$1,$B$1)</f>
        <v>49.25</v>
      </c>
      <c r="Q26" s="100">
        <f>_xll.EQNXTDZ($A$1,$B26,Q$1,$B$1)</f>
        <v>-4.32</v>
      </c>
      <c r="R26" s="100">
        <f>_xll.EQNXTDZ($A$1,$B26,R$1,$B$1)</f>
        <v>101.32</v>
      </c>
      <c r="S26" s="100">
        <f>_xll.EQNXTDZ($A$1,$B26,S$1,$B$1)</f>
        <v>-601.83000000000004</v>
      </c>
      <c r="T26" s="100">
        <f>_xll.EQNXTDZ($A$1,$B26,T$1,$B$1)</f>
        <v>-1367.41</v>
      </c>
      <c r="U26" s="100">
        <f>_xll.EQNXTDZ($A$1,$B26,U$1,$B$1)</f>
        <v>-821.13</v>
      </c>
      <c r="V26" s="100">
        <f>_xll.EQNXTDZ($A$1,$B26,V$1,$B$1)</f>
        <v>-1088.8499999999999</v>
      </c>
      <c r="W26" s="100">
        <f>_xll.EQNXTDZ($A$1,$B26,W$1,$B$1)</f>
        <v>-1048.1500000000001</v>
      </c>
      <c r="X26" s="100">
        <f>_xll.EQNXTDZ($A$1,$B26,X$1,$B$1)</f>
        <v>-1054.79</v>
      </c>
      <c r="Y26" s="100">
        <f>_xll.EQNXTDZ($A$1,$B26,Y$1,$B$1)</f>
        <v>-992.29</v>
      </c>
      <c r="Z26" s="100">
        <f>_xll.EQNXTDZ($A$1,$B26,Z$1,$B$1)</f>
        <v>-1078</v>
      </c>
      <c r="AA26" s="100">
        <f>_xll.EQNXTDZ($A$1,$B26,AA$1,$B$1)</f>
        <v>-1107.3900000000001</v>
      </c>
      <c r="AB26" s="100">
        <f>_xll.EQNXTDZ($A$1,$B26,AB$1,$B$1)</f>
        <v>-728.42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72.714600000000004</v>
      </c>
      <c r="D27" s="100">
        <f>_xll.EQNXTDZ($A$1,$B27,D$1,$B$1)</f>
        <v>113.71</v>
      </c>
      <c r="E27" s="100">
        <f>_xll.EQNXTDZ($A$1,$B27,E$1,$B$1)</f>
        <v>217.3</v>
      </c>
      <c r="F27" s="100">
        <f>_xll.EQNXTDZ($A$1,$B27,F$1,$B$1)</f>
        <v>202.53</v>
      </c>
      <c r="G27" s="100">
        <f>_xll.EQNXTDZ($A$1,$B27,G$1,$B$1)</f>
        <v>317.01</v>
      </c>
      <c r="H27" s="100">
        <f>_xll.EQNXTDZ($A$1,$B27,H$1,$B$1)</f>
        <v>471.9</v>
      </c>
      <c r="I27" s="100">
        <f>_xll.EQNXTDZ($A$1,$B27,I$1,$B$1)</f>
        <v>446.23</v>
      </c>
      <c r="J27" s="100">
        <f>_xll.EQNXTDZ($A$1,$B27,J$1,$B$1)</f>
        <v>439.35</v>
      </c>
      <c r="K27" s="100">
        <f>_xll.EQNXTDZ($A$1,$B27,K$1,$B$1)</f>
        <v>463.13</v>
      </c>
      <c r="L27" s="100">
        <f>_xll.EQNXTDZ($A$1,$B27,L$1,$B$1)</f>
        <v>563.98</v>
      </c>
      <c r="M27" s="100">
        <f>_xll.EQNXTDZ($A$1,$B27,M$1,$B$1)</f>
        <v>757.64</v>
      </c>
      <c r="N27" s="100">
        <f>_xll.EQNXTDZ($A$1,$B27,N$1,$B$1)</f>
        <v>543.4</v>
      </c>
      <c r="O27" s="100">
        <f>_xll.EQNXTDZ($A$1,$B27,O$1,$B$1)</f>
        <v>595.04999999999995</v>
      </c>
      <c r="P27" s="100">
        <f>_xll.EQNXTDZ($A$1,$B27,P$1,$B$1)</f>
        <v>609.33000000000004</v>
      </c>
      <c r="Q27" s="100">
        <f>_xll.EQNXTDZ($A$1,$B27,Q$1,$B$1)</f>
        <v>610.92999999999995</v>
      </c>
      <c r="R27" s="100">
        <f>_xll.EQNXTDZ($A$1,$B27,R$1,$B$1)</f>
        <v>459.66</v>
      </c>
      <c r="S27" s="100">
        <f>_xll.EQNXTDZ($A$1,$B27,S$1,$B$1)</f>
        <v>795.82</v>
      </c>
      <c r="T27" s="100">
        <f>_xll.EQNXTDZ($A$1,$B27,T$1,$B$1)</f>
        <v>532.91</v>
      </c>
      <c r="U27" s="100">
        <f>_xll.EQNXTDZ($A$1,$B27,U$1,$B$1)</f>
        <v>177.58</v>
      </c>
      <c r="V27" s="100">
        <f>_xll.EQNXTDZ($A$1,$B27,V$1,$B$1)</f>
        <v>194.98</v>
      </c>
      <c r="W27" s="100">
        <f>_xll.EQNXTDZ($A$1,$B27,W$1,$B$1)</f>
        <v>168.73</v>
      </c>
      <c r="X27" s="100">
        <f>_xll.EQNXTDZ($A$1,$B27,X$1,$B$1)</f>
        <v>160.21</v>
      </c>
      <c r="Y27" s="100">
        <f>_xll.EQNXTDZ($A$1,$B27,Y$1,$B$1)</f>
        <v>147.16</v>
      </c>
      <c r="Z27" s="100">
        <f>_xll.EQNXTDZ($A$1,$B27,Z$1,$B$1)</f>
        <v>150.44</v>
      </c>
      <c r="AA27" s="100">
        <f>_xll.EQNXTDZ($A$1,$B27,AA$1,$B$1)</f>
        <v>167.93</v>
      </c>
      <c r="AB27" s="100">
        <f>_xll.EQNXTDZ($A$1,$B27,AB$1,$B$1)</f>
        <v>141.83000000000001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-47.25</v>
      </c>
      <c r="I29" s="100">
        <f>_xll.EQNXTDZ($A$1,$B29,I$1,$B$1)</f>
        <v>5.48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-958.82</v>
      </c>
      <c r="T29" s="100">
        <f>_xll.EQNXTDZ($A$1,$B29,T$1,$B$1)</f>
        <v>-7941.67</v>
      </c>
      <c r="U29" s="100">
        <f>_xll.EQNXTDZ($A$1,$B29,U$1,$B$1)</f>
        <v>331.11</v>
      </c>
      <c r="V29" s="100">
        <f>_xll.EQNXTDZ($A$1,$B29,V$1,$B$1)</f>
        <v>-2430.2800000000002</v>
      </c>
      <c r="W29" s="100">
        <f>_xll.EQNXTDZ($A$1,$B29,W$1,$B$1)</f>
        <v>-779.81</v>
      </c>
      <c r="X29" s="100">
        <f>_xll.EQNXTDZ($A$1,$B29,X$1,$B$1)</f>
        <v>0</v>
      </c>
      <c r="Y29" s="100">
        <f>_xll.EQNXTDZ($A$1,$B29,Y$1,$B$1)</f>
        <v>-5.27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654.95000000000005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-0.1152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0.85</v>
      </c>
      <c r="I30" s="100">
        <f>_xll.EQNXTDZ($A$1,$B30,I$1,$B$1)</f>
        <v>0.7</v>
      </c>
      <c r="J30" s="100">
        <f>_xll.EQNXTDZ($A$1,$B30,J$1,$B$1)</f>
        <v>0.93</v>
      </c>
      <c r="K30" s="100">
        <f>_xll.EQNXTDZ($A$1,$B30,K$1,$B$1)</f>
        <v>1.21</v>
      </c>
      <c r="L30" s="100">
        <f>_xll.EQNXTDZ($A$1,$B30,L$1,$B$1)</f>
        <v>0.01</v>
      </c>
      <c r="M30" s="100">
        <f>_xll.EQNXTDZ($A$1,$B30,M$1,$B$1)</f>
        <v>0.01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0</v>
      </c>
      <c r="AA30" s="100">
        <f>_xll.EQNXTDZ($A$1,$B30,AA$1,$B$1)</f>
        <v>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-208.792</v>
      </c>
      <c r="D35" s="100">
        <f>_xll.EQNXTDZ($A$1,$B35,D$1,$B$1)</f>
        <v>-148.49</v>
      </c>
      <c r="E35" s="100">
        <f>_xll.EQNXTDZ($A$1,$B35,E$1,$B$1)</f>
        <v>-205</v>
      </c>
      <c r="F35" s="100">
        <f>_xll.EQNXTDZ($A$1,$B35,F$1,$B$1)</f>
        <v>-269.68</v>
      </c>
      <c r="G35" s="100">
        <f>_xll.EQNXTDZ($A$1,$B35,G$1,$B$1)</f>
        <v>-527.86</v>
      </c>
      <c r="H35" s="100">
        <f>_xll.EQNXTDZ($A$1,$B35,H$1,$B$1)</f>
        <v>-541.05999999999995</v>
      </c>
      <c r="I35" s="100">
        <f>_xll.EQNXTDZ($A$1,$B35,I$1,$B$1)</f>
        <v>-310.61</v>
      </c>
      <c r="J35" s="100">
        <f>_xll.EQNXTDZ($A$1,$B35,J$1,$B$1)</f>
        <v>-125.74</v>
      </c>
      <c r="K35" s="100">
        <f>_xll.EQNXTDZ($A$1,$B35,K$1,$B$1)</f>
        <v>-169.94</v>
      </c>
      <c r="L35" s="100">
        <f>_xll.EQNXTDZ($A$1,$B35,L$1,$B$1)</f>
        <v>-318</v>
      </c>
      <c r="M35" s="100">
        <f>_xll.EQNXTDZ($A$1,$B35,M$1,$B$1)</f>
        <v>80.23</v>
      </c>
      <c r="N35" s="100">
        <f>_xll.EQNXTDZ($A$1,$B35,N$1,$B$1)</f>
        <v>-517.54999999999995</v>
      </c>
      <c r="O35" s="100">
        <f>_xll.EQNXTDZ($A$1,$B35,O$1,$B$1)</f>
        <v>-658.77</v>
      </c>
      <c r="P35" s="100">
        <f>_xll.EQNXTDZ($A$1,$B35,P$1,$B$1)</f>
        <v>-560.08000000000004</v>
      </c>
      <c r="Q35" s="100">
        <f>_xll.EQNXTDZ($A$1,$B35,Q$1,$B$1)</f>
        <v>-615.25</v>
      </c>
      <c r="R35" s="100">
        <f>_xll.EQNXTDZ($A$1,$B35,R$1,$B$1)</f>
        <v>-358.34</v>
      </c>
      <c r="S35" s="100">
        <f>_xll.EQNXTDZ($A$1,$B35,S$1,$B$1)</f>
        <v>-2356.4699999999998</v>
      </c>
      <c r="T35" s="100">
        <f>_xll.EQNXTDZ($A$1,$B35,T$1,$B$1)</f>
        <v>-9841.99</v>
      </c>
      <c r="U35" s="100">
        <f>_xll.EQNXTDZ($A$1,$B35,U$1,$B$1)</f>
        <v>-667.6</v>
      </c>
      <c r="V35" s="100">
        <f>_xll.EQNXTDZ($A$1,$B35,V$1,$B$1)</f>
        <v>-3714.11</v>
      </c>
      <c r="W35" s="100">
        <f>_xll.EQNXTDZ($A$1,$B35,W$1,$B$1)</f>
        <v>-1996.69</v>
      </c>
      <c r="X35" s="100">
        <f>_xll.EQNXTDZ($A$1,$B35,X$1,$B$1)</f>
        <v>-1215</v>
      </c>
      <c r="Y35" s="100">
        <f>_xll.EQNXTDZ($A$1,$B35,Y$1,$B$1)</f>
        <v>-1144.72</v>
      </c>
      <c r="Z35" s="100">
        <f>_xll.EQNXTDZ($A$1,$B35,Z$1,$B$1)</f>
        <v>-1228.44</v>
      </c>
      <c r="AA35" s="100">
        <f>_xll.EQNXTDZ($A$1,$B35,AA$1,$B$1)</f>
        <v>-1275.32</v>
      </c>
      <c r="AB35" s="100">
        <f>_xll.EQNXTDZ($A$1,$B35,AB$1,$B$1)</f>
        <v>-215.3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1405.3267000000001</v>
      </c>
      <c r="D41" s="55">
        <f>_xll.EQNXTDZ($A$1,$B41,D$1,$B$1)</f>
        <v>1405.33</v>
      </c>
      <c r="E41" s="55">
        <f>_xll.EQNXTDZ($A$1,$B41,E$1,$B$1)</f>
        <v>1405.33</v>
      </c>
      <c r="F41" s="55">
        <f>_xll.EQNXTDZ($A$1,$B41,F$1,$B$1)</f>
        <v>1406.98</v>
      </c>
      <c r="G41" s="55">
        <f>_xll.EQNXTDZ($A$1,$B41,G$1,$B$1)</f>
        <v>1490.97</v>
      </c>
      <c r="H41" s="55">
        <f>_xll.EQNXTDZ($A$1,$B41,H$1,$B$1)</f>
        <v>1520.59</v>
      </c>
      <c r="I41" s="55">
        <f>_xll.EQNXTDZ($A$1,$B41,I$1,$B$1)</f>
        <v>1809.5</v>
      </c>
      <c r="J41" s="55">
        <f>_xll.EQNXTDZ($A$1,$B41,J$1,$B$1)</f>
        <v>1893.56</v>
      </c>
      <c r="K41" s="55">
        <f>_xll.EQNXTDZ($A$1,$B41,K$1,$B$1)</f>
        <v>1897.19</v>
      </c>
      <c r="L41" s="55">
        <f>_xll.EQNXTDZ($A$1,$B41,L$1,$B$1)</f>
        <v>1897.2</v>
      </c>
      <c r="M41" s="55">
        <f>_xll.EQNXTDZ($A$1,$B41,M$1,$B$1)</f>
        <v>1897.2</v>
      </c>
      <c r="N41" s="55">
        <f>_xll.EQNXTDZ($A$1,$B41,N$1,$B$1)</f>
        <v>1897.2</v>
      </c>
      <c r="O41" s="55">
        <f>_xll.EQNXTDZ($A$1,$B41,O$1,$B$1)</f>
        <v>1897.2</v>
      </c>
      <c r="P41" s="55">
        <f>_xll.EQNXTDZ($A$1,$B41,P$1,$B$1)</f>
        <v>1954.93</v>
      </c>
      <c r="Q41" s="55">
        <f>_xll.EQNXTDZ($A$1,$B41,Q$1,$B$1)</f>
        <v>1954.93</v>
      </c>
      <c r="R41" s="55">
        <f>_xll.EQNXTDZ($A$1,$B41,R$1,$B$1)</f>
        <v>1954.93</v>
      </c>
      <c r="S41" s="55">
        <f>_xll.EQNXTDZ($A$1,$B41,S$1,$B$1)</f>
        <v>1954.93</v>
      </c>
      <c r="T41" s="55">
        <f>_xll.EQNXTDZ($A$1,$B41,T$1,$B$1)</f>
        <v>1954.93</v>
      </c>
      <c r="U41" s="55">
        <f>_xll.EQNXTDZ($A$1,$B41,U$1,$B$1)</f>
        <v>1954.93</v>
      </c>
      <c r="V41" s="55">
        <f>_xll.EQNXTDZ($A$1,$B41,V$1,$B$1)</f>
        <v>1954.93</v>
      </c>
      <c r="W41" s="55">
        <f>_xll.EQNXTDZ($A$1,$B41,W$1,$B$1)</f>
        <v>1954.93</v>
      </c>
      <c r="X41" s="55">
        <f>_xll.EQNXTDZ($A$1,$B41,X$1,$B$1)</f>
        <v>1954.93</v>
      </c>
      <c r="Y41" s="55">
        <f>_xll.EQNXTDZ($A$1,$B41,Y$1,$B$1)</f>
        <v>1954.93</v>
      </c>
      <c r="Z41" s="55">
        <f>_xll.EQNXTDZ($A$1,$B41,Z$1,$B$1)</f>
        <v>1954.93</v>
      </c>
      <c r="AA41" s="55">
        <f>_xll.EQNXTDZ($A$1,$B41,AA$1,$B$1)</f>
        <v>1954.93</v>
      </c>
      <c r="AB41" s="55">
        <f>_xll.EQNXTDZ($A$1,$B41,AB$1,$B$1)</f>
        <v>1954.93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-426.60359999999997</v>
      </c>
      <c r="D43" s="55">
        <f>_xll.EQNXTDZ($A$1,$B43,D$1,$B$1)</f>
        <v>-575.1</v>
      </c>
      <c r="E43" s="55">
        <f>_xll.EQNXTDZ($A$1,$B43,E$1,$B$1)</f>
        <v>-780.1</v>
      </c>
      <c r="F43" s="55">
        <f>_xll.EQNXTDZ($A$1,$B43,F$1,$B$1)</f>
        <v>-1049.78</v>
      </c>
      <c r="G43" s="55">
        <f>_xll.EQNXTDZ($A$1,$B43,G$1,$B$1)</f>
        <v>-1534.67</v>
      </c>
      <c r="H43" s="55">
        <f>_xll.EQNXTDZ($A$1,$B43,H$1,$B$1)</f>
        <v>-2018.2</v>
      </c>
      <c r="I43" s="55">
        <f>_xll.EQNXTDZ($A$1,$B43,I$1,$B$1)</f>
        <v>-2130.71</v>
      </c>
      <c r="J43" s="55">
        <f>_xll.EQNXTDZ($A$1,$B43,J$1,$B$1)</f>
        <v>-2094.15</v>
      </c>
      <c r="K43" s="55">
        <f>_xll.EQNXTDZ($A$1,$B43,K$1,$B$1)</f>
        <v>-2275.86</v>
      </c>
      <c r="L43" s="55">
        <f>_xll.EQNXTDZ($A$1,$B43,L$1,$B$1)</f>
        <v>-2593.86</v>
      </c>
      <c r="M43" s="55">
        <f>_xll.EQNXTDZ($A$1,$B43,M$1,$B$1)</f>
        <v>-2513.63</v>
      </c>
      <c r="N43" s="55">
        <f>_xll.EQNXTDZ($A$1,$B43,N$1,$B$1)</f>
        <v>-3031.18</v>
      </c>
      <c r="O43" s="55">
        <f>_xll.EQNXTDZ($A$1,$B43,O$1,$B$1)</f>
        <v>-3689.95</v>
      </c>
      <c r="P43" s="55">
        <f>_xll.EQNXTDZ($A$1,$B43,P$1,$B$1)</f>
        <v>-4307.76</v>
      </c>
      <c r="Q43" s="55">
        <f>_xll.EQNXTDZ($A$1,$B43,Q$1,$B$1)</f>
        <v>-4923.01</v>
      </c>
      <c r="R43" s="55">
        <f>_xll.EQNXTDZ($A$1,$B43,R$1,$B$1)</f>
        <v>-5941.12</v>
      </c>
      <c r="S43" s="55">
        <f>_xll.EQNXTDZ($A$1,$B43,S$1,$B$1)</f>
        <v>-7863.77</v>
      </c>
      <c r="T43" s="55">
        <f>_xll.EQNXTDZ($A$1,$B43,T$1,$B$1)</f>
        <v>-17114.080000000002</v>
      </c>
      <c r="U43" s="55">
        <f>_xll.EQNXTDZ($A$1,$B43,U$1,$B$1)</f>
        <v>-16774.759999999998</v>
      </c>
      <c r="V43" s="55">
        <f>_xll.EQNXTDZ($A$1,$B43,V$1,$B$1)</f>
        <v>-19434.09</v>
      </c>
      <c r="W43" s="55">
        <f>_xll.EQNXTDZ($A$1,$B43,W$1,$B$1)</f>
        <v>-20445.810000000001</v>
      </c>
      <c r="X43" s="55">
        <f>_xll.EQNXTDZ($A$1,$B43,X$1,$B$1)</f>
        <v>-20787.41</v>
      </c>
      <c r="Y43" s="55">
        <f>_xll.EQNXTDZ($A$1,$B43,Y$1,$B$1)</f>
        <v>-21009.46</v>
      </c>
      <c r="Z43" s="55">
        <f>_xll.EQNXTDZ($A$1,$B43,Z$1,$B$1)</f>
        <v>-21207.88</v>
      </c>
      <c r="AA43" s="55">
        <f>_xll.EQNXTDZ($A$1,$B43,AA$1,$B$1)</f>
        <v>-21525.22</v>
      </c>
      <c r="AB43" s="55">
        <f>_xll.EQNXTDZ($A$1,$B43,AB$1,$B$1)</f>
        <v>-21938.31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978.72310000000004</v>
      </c>
      <c r="D44" s="55">
        <f>_xll.EQNXTDZ($A$1,$B44,D$1,$B$1)</f>
        <v>830.23</v>
      </c>
      <c r="E44" s="55">
        <f>_xll.EQNXTDZ($A$1,$B44,E$1,$B$1)</f>
        <v>625.23</v>
      </c>
      <c r="F44" s="55">
        <f>_xll.EQNXTDZ($A$1,$B44,F$1,$B$1)</f>
        <v>357.2</v>
      </c>
      <c r="G44" s="55">
        <f>_xll.EQNXTDZ($A$1,$B44,G$1,$B$1)</f>
        <v>-43.7</v>
      </c>
      <c r="H44" s="55">
        <f>_xll.EQNXTDZ($A$1,$B44,H$1,$B$1)</f>
        <v>-497.61</v>
      </c>
      <c r="I44" s="55">
        <f>_xll.EQNXTDZ($A$1,$B44,I$1,$B$1)</f>
        <v>-321.20999999999998</v>
      </c>
      <c r="J44" s="55">
        <f>_xll.EQNXTDZ($A$1,$B44,J$1,$B$1)</f>
        <v>-200.59</v>
      </c>
      <c r="K44" s="55">
        <f>_xll.EQNXTDZ($A$1,$B44,K$1,$B$1)</f>
        <v>-378.67</v>
      </c>
      <c r="L44" s="55">
        <f>_xll.EQNXTDZ($A$1,$B44,L$1,$B$1)</f>
        <v>-696.66</v>
      </c>
      <c r="M44" s="55">
        <f>_xll.EQNXTDZ($A$1,$B44,M$1,$B$1)</f>
        <v>-616.42999999999995</v>
      </c>
      <c r="N44" s="55">
        <f>_xll.EQNXTDZ($A$1,$B44,N$1,$B$1)</f>
        <v>-1133.98</v>
      </c>
      <c r="O44" s="55">
        <f>_xll.EQNXTDZ($A$1,$B44,O$1,$B$1)</f>
        <v>-1792.75</v>
      </c>
      <c r="P44" s="55">
        <f>_xll.EQNXTDZ($A$1,$B44,P$1,$B$1)</f>
        <v>-2352.83</v>
      </c>
      <c r="Q44" s="55">
        <f>_xll.EQNXTDZ($A$1,$B44,Q$1,$B$1)</f>
        <v>-2968.08</v>
      </c>
      <c r="R44" s="55">
        <f>_xll.EQNXTDZ($A$1,$B44,R$1,$B$1)</f>
        <v>-3986.19</v>
      </c>
      <c r="S44" s="55">
        <f>_xll.EQNXTDZ($A$1,$B44,S$1,$B$1)</f>
        <v>-5908.84</v>
      </c>
      <c r="T44" s="55">
        <f>_xll.EQNXTDZ($A$1,$B44,T$1,$B$1)</f>
        <v>-15159.15</v>
      </c>
      <c r="U44" s="55">
        <f>_xll.EQNXTDZ($A$1,$B44,U$1,$B$1)</f>
        <v>-14819.83</v>
      </c>
      <c r="V44" s="55">
        <f>_xll.EQNXTDZ($A$1,$B44,V$1,$B$1)</f>
        <v>-17479.16</v>
      </c>
      <c r="W44" s="55">
        <f>_xll.EQNXTDZ($A$1,$B44,W$1,$B$1)</f>
        <v>-18490.88</v>
      </c>
      <c r="X44" s="55">
        <f>_xll.EQNXTDZ($A$1,$B44,X$1,$B$1)</f>
        <v>-18832.48</v>
      </c>
      <c r="Y44" s="55">
        <f>_xll.EQNXTDZ($A$1,$B44,Y$1,$B$1)</f>
        <v>-19054.53</v>
      </c>
      <c r="Z44" s="55">
        <f>_xll.EQNXTDZ($A$1,$B44,Z$1,$B$1)</f>
        <v>-19252.95</v>
      </c>
      <c r="AA44" s="55">
        <f>_xll.EQNXTDZ($A$1,$B44,AA$1,$B$1)</f>
        <v>-19570.29</v>
      </c>
      <c r="AB44" s="55">
        <f>_xll.EQNXTDZ($A$1,$B44,AB$1,$B$1)</f>
        <v>-19983.38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272.21640000000002</v>
      </c>
      <c r="D47" s="55">
        <f>_xll.EQNXTDZ($A$1,$B47,D$1,$B$1)</f>
        <v>272.02999999999997</v>
      </c>
      <c r="E47" s="55">
        <f>_xll.EQNXTDZ($A$1,$B47,E$1,$B$1)</f>
        <v>476.15</v>
      </c>
      <c r="F47" s="55">
        <f>_xll.EQNXTDZ($A$1,$B47,F$1,$B$1)</f>
        <v>1218.53</v>
      </c>
      <c r="G47" s="55">
        <f>_xll.EQNXTDZ($A$1,$B47,G$1,$B$1)</f>
        <v>1136.48</v>
      </c>
      <c r="H47" s="55">
        <f>_xll.EQNXTDZ($A$1,$B47,H$1,$B$1)</f>
        <v>1080.1199999999999</v>
      </c>
      <c r="I47" s="55">
        <f>_xll.EQNXTDZ($A$1,$B47,I$1,$B$1)</f>
        <v>1696.26</v>
      </c>
      <c r="J47" s="55">
        <f>_xll.EQNXTDZ($A$1,$B47,J$1,$B$1)</f>
        <v>2098.09</v>
      </c>
      <c r="K47" s="55">
        <f>_xll.EQNXTDZ($A$1,$B47,K$1,$B$1)</f>
        <v>2166.13</v>
      </c>
      <c r="L47" s="55">
        <f>_xll.EQNXTDZ($A$1,$B47,L$1,$B$1)</f>
        <v>2630.96</v>
      </c>
      <c r="M47" s="55">
        <f>_xll.EQNXTDZ($A$1,$B47,M$1,$B$1)</f>
        <v>2669.78</v>
      </c>
      <c r="N47" s="55">
        <f>_xll.EQNXTDZ($A$1,$B47,N$1,$B$1)</f>
        <v>4595.6899999999996</v>
      </c>
      <c r="O47" s="55">
        <f>_xll.EQNXTDZ($A$1,$B47,O$1,$B$1)</f>
        <v>4897</v>
      </c>
      <c r="P47" s="55">
        <f>_xll.EQNXTDZ($A$1,$B47,P$1,$B$1)</f>
        <v>4713.79</v>
      </c>
      <c r="Q47" s="55">
        <f>_xll.EQNXTDZ($A$1,$B47,Q$1,$B$1)</f>
        <v>4909.8500000000004</v>
      </c>
      <c r="R47" s="55">
        <f>_xll.EQNXTDZ($A$1,$B47,R$1,$B$1)</f>
        <v>3641.71</v>
      </c>
      <c r="S47" s="55">
        <f>_xll.EQNXTDZ($A$1,$B47,S$1,$B$1)</f>
        <v>2723.17</v>
      </c>
      <c r="T47" s="55">
        <f>_xll.EQNXTDZ($A$1,$B47,T$1,$B$1)</f>
        <v>0</v>
      </c>
      <c r="U47" s="55">
        <f>_xll.EQNXTDZ($A$1,$B47,U$1,$B$1)</f>
        <v>739.92</v>
      </c>
      <c r="V47" s="55">
        <f>_xll.EQNXTDZ($A$1,$B47,V$1,$B$1)</f>
        <v>444.4</v>
      </c>
      <c r="W47" s="55">
        <f>_xll.EQNXTDZ($A$1,$B47,W$1,$B$1)</f>
        <v>1994.22</v>
      </c>
      <c r="X47" s="55">
        <f>_xll.EQNXTDZ($A$1,$B47,X$1,$B$1)</f>
        <v>1996.09</v>
      </c>
      <c r="Y47" s="55">
        <f>_xll.EQNXTDZ($A$1,$B47,Y$1,$B$1)</f>
        <v>1464.21</v>
      </c>
      <c r="Z47" s="55">
        <f>_xll.EQNXTDZ($A$1,$B47,Z$1,$B$1)</f>
        <v>3845.63</v>
      </c>
      <c r="AA47" s="55">
        <f>_xll.EQNXTDZ($A$1,$B47,AA$1,$B$1)</f>
        <v>2584.6799999999998</v>
      </c>
      <c r="AB47" s="55">
        <f>_xll.EQNXTDZ($A$1,$B47,AB$1,$B$1)</f>
        <v>965.58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79.510000000000005</v>
      </c>
      <c r="D48" s="55">
        <f>_xll.EQNXTDZ($A$1,$B48,D$1,$B$1)</f>
        <v>79.510000000000005</v>
      </c>
      <c r="E48" s="55">
        <f>_xll.EQNXTDZ($A$1,$B48,E$1,$B$1)</f>
        <v>234.92</v>
      </c>
      <c r="F48" s="55">
        <f>_xll.EQNXTDZ($A$1,$B48,F$1,$B$1)</f>
        <v>259.93</v>
      </c>
      <c r="G48" s="55">
        <f>_xll.EQNXTDZ($A$1,$B48,G$1,$B$1)</f>
        <v>746.36</v>
      </c>
      <c r="H48" s="55">
        <f>_xll.EQNXTDZ($A$1,$B48,H$1,$B$1)</f>
        <v>1031.73</v>
      </c>
      <c r="I48" s="55">
        <f>_xll.EQNXTDZ($A$1,$B48,I$1,$B$1)</f>
        <v>332.61</v>
      </c>
      <c r="J48" s="55">
        <f>_xll.EQNXTDZ($A$1,$B48,J$1,$B$1)</f>
        <v>528.78</v>
      </c>
      <c r="K48" s="55">
        <f>_xll.EQNXTDZ($A$1,$B48,K$1,$B$1)</f>
        <v>1178.1600000000001</v>
      </c>
      <c r="L48" s="55">
        <f>_xll.EQNXTDZ($A$1,$B48,L$1,$B$1)</f>
        <v>1309</v>
      </c>
      <c r="M48" s="55">
        <f>_xll.EQNXTDZ($A$1,$B48,M$1,$B$1)</f>
        <v>1982.82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100</v>
      </c>
      <c r="R48" s="55">
        <f>_xll.EQNXTDZ($A$1,$B48,R$1,$B$1)</f>
        <v>3603.64</v>
      </c>
      <c r="S48" s="55">
        <f>_xll.EQNXTDZ($A$1,$B48,S$1,$B$1)</f>
        <v>7939.25</v>
      </c>
      <c r="T48" s="55">
        <f>_xll.EQNXTDZ($A$1,$B48,T$1,$B$1)</f>
        <v>7862.21</v>
      </c>
      <c r="U48" s="55">
        <f>_xll.EQNXTDZ($A$1,$B48,U$1,$B$1)</f>
        <v>4968.41</v>
      </c>
      <c r="V48" s="55">
        <f>_xll.EQNXTDZ($A$1,$B48,V$1,$B$1)</f>
        <v>5694.04</v>
      </c>
      <c r="W48" s="55">
        <f>_xll.EQNXTDZ($A$1,$B48,W$1,$B$1)</f>
        <v>7874.64</v>
      </c>
      <c r="X48" s="55">
        <f>_xll.EQNXTDZ($A$1,$B48,X$1,$B$1)</f>
        <v>8714.7199999999993</v>
      </c>
      <c r="Y48" s="55">
        <f>_xll.EQNXTDZ($A$1,$B48,Y$1,$B$1)</f>
        <v>8562.91</v>
      </c>
      <c r="Z48" s="55">
        <f>_xll.EQNXTDZ($A$1,$B48,Z$1,$B$1)</f>
        <v>9111.01</v>
      </c>
      <c r="AA48" s="55">
        <f>_xll.EQNXTDZ($A$1,$B48,AA$1,$B$1)</f>
        <v>8280.4</v>
      </c>
      <c r="AB48" s="55">
        <f>_xll.EQNXTDZ($A$1,$B48,AB$1,$B$1)</f>
        <v>1954.19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235.65</v>
      </c>
      <c r="O50" s="55">
        <f>_xll.EQNXTDZ($A$1,$B50,O$1,$B$1)</f>
        <v>66.86</v>
      </c>
      <c r="P50" s="55">
        <f>_xll.EQNXTDZ($A$1,$B50,P$1,$B$1)</f>
        <v>22.63</v>
      </c>
      <c r="Q50" s="55">
        <f>_xll.EQNXTDZ($A$1,$B50,Q$1,$B$1)</f>
        <v>11.77</v>
      </c>
      <c r="R50" s="55">
        <f>_xll.EQNXTDZ($A$1,$B50,R$1,$B$1)</f>
        <v>280.82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20.49</v>
      </c>
      <c r="V50" s="55">
        <f>_xll.EQNXTDZ($A$1,$B50,V$1,$B$1)</f>
        <v>172.97</v>
      </c>
      <c r="W50" s="55">
        <f>_xll.EQNXTDZ($A$1,$B50,W$1,$B$1)</f>
        <v>119.23</v>
      </c>
      <c r="X50" s="55">
        <f>_xll.EQNXTDZ($A$1,$B50,X$1,$B$1)</f>
        <v>62.34</v>
      </c>
      <c r="Y50" s="55">
        <f>_xll.EQNXTDZ($A$1,$B50,Y$1,$B$1)</f>
        <v>15.54</v>
      </c>
      <c r="Z50" s="55">
        <f>_xll.EQNXTDZ($A$1,$B50,Z$1,$B$1)</f>
        <v>65.59</v>
      </c>
      <c r="AA50" s="55">
        <f>_xll.EQNXTDZ($A$1,$B50,AA$1,$B$1)</f>
        <v>51.21</v>
      </c>
      <c r="AB50" s="55">
        <f>_xll.EQNXTDZ($A$1,$B50,AB$1,$B$1)</f>
        <v>215.31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4.5199999999999996</v>
      </c>
      <c r="O52" s="55">
        <f>_xll.EQNXTDZ($A$1,$B52,O$1,$B$1)</f>
        <v>5.15</v>
      </c>
      <c r="P52" s="55">
        <f>_xll.EQNXTDZ($A$1,$B52,P$1,$B$1)</f>
        <v>4.22</v>
      </c>
      <c r="Q52" s="55">
        <f>_xll.EQNXTDZ($A$1,$B52,Q$1,$B$1)</f>
        <v>4.33</v>
      </c>
      <c r="R52" s="55">
        <f>_xll.EQNXTDZ($A$1,$B52,R$1,$B$1)</f>
        <v>3.26</v>
      </c>
      <c r="S52" s="55">
        <f>_xll.EQNXTDZ($A$1,$B52,S$1,$B$1)</f>
        <v>1.58</v>
      </c>
      <c r="T52" s="55">
        <f>_xll.EQNXTDZ($A$1,$B52,T$1,$B$1)</f>
        <v>124.21</v>
      </c>
      <c r="U52" s="55">
        <f>_xll.EQNXTDZ($A$1,$B52,U$1,$B$1)</f>
        <v>1.86</v>
      </c>
      <c r="V52" s="55">
        <f>_xll.EQNXTDZ($A$1,$B52,V$1,$B$1)</f>
        <v>4.57</v>
      </c>
      <c r="W52" s="55">
        <f>_xll.EQNXTDZ($A$1,$B52,W$1,$B$1)</f>
        <v>2.75</v>
      </c>
      <c r="X52" s="55">
        <f>_xll.EQNXTDZ($A$1,$B52,X$1,$B$1)</f>
        <v>0.46</v>
      </c>
      <c r="Y52" s="55">
        <f>_xll.EQNXTDZ($A$1,$B52,Y$1,$B$1)</f>
        <v>1.22</v>
      </c>
      <c r="Z52" s="55">
        <f>_xll.EQNXTDZ($A$1,$B52,Z$1,$B$1)</f>
        <v>2.97</v>
      </c>
      <c r="AA52" s="55">
        <f>_xll.EQNXTDZ($A$1,$B52,AA$1,$B$1)</f>
        <v>0.89</v>
      </c>
      <c r="AB52" s="55">
        <f>_xll.EQNXTDZ($A$1,$B52,AB$1,$B$1)</f>
        <v>5.19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351.72640000000001</v>
      </c>
      <c r="D53" s="55">
        <f>_xll.EQNXTDZ($A$1,$B53,D$1,$B$1)</f>
        <v>351.54</v>
      </c>
      <c r="E53" s="55">
        <f>_xll.EQNXTDZ($A$1,$B53,E$1,$B$1)</f>
        <v>711.07</v>
      </c>
      <c r="F53" s="55">
        <f>_xll.EQNXTDZ($A$1,$B53,F$1,$B$1)</f>
        <v>1478.46</v>
      </c>
      <c r="G53" s="55">
        <f>_xll.EQNXTDZ($A$1,$B53,G$1,$B$1)</f>
        <v>1882.84</v>
      </c>
      <c r="H53" s="55">
        <f>_xll.EQNXTDZ($A$1,$B53,H$1,$B$1)</f>
        <v>2111.85</v>
      </c>
      <c r="I53" s="55">
        <f>_xll.EQNXTDZ($A$1,$B53,I$1,$B$1)</f>
        <v>2028.87</v>
      </c>
      <c r="J53" s="55">
        <f>_xll.EQNXTDZ($A$1,$B53,J$1,$B$1)</f>
        <v>2626.87</v>
      </c>
      <c r="K53" s="55">
        <f>_xll.EQNXTDZ($A$1,$B53,K$1,$B$1)</f>
        <v>3344.29</v>
      </c>
      <c r="L53" s="55">
        <f>_xll.EQNXTDZ($A$1,$B53,L$1,$B$1)</f>
        <v>3939.96</v>
      </c>
      <c r="M53" s="55">
        <f>_xll.EQNXTDZ($A$1,$B53,M$1,$B$1)</f>
        <v>4652.6000000000004</v>
      </c>
      <c r="N53" s="55">
        <f>_xll.EQNXTDZ($A$1,$B53,N$1,$B$1)</f>
        <v>4835.8599999999997</v>
      </c>
      <c r="O53" s="55">
        <f>_xll.EQNXTDZ($A$1,$B53,O$1,$B$1)</f>
        <v>4969.01</v>
      </c>
      <c r="P53" s="55">
        <f>_xll.EQNXTDZ($A$1,$B53,P$1,$B$1)</f>
        <v>4740.6400000000003</v>
      </c>
      <c r="Q53" s="55">
        <f>_xll.EQNXTDZ($A$1,$B53,Q$1,$B$1)</f>
        <v>5025.95</v>
      </c>
      <c r="R53" s="55">
        <f>_xll.EQNXTDZ($A$1,$B53,R$1,$B$1)</f>
        <v>7529.43</v>
      </c>
      <c r="S53" s="55">
        <f>_xll.EQNXTDZ($A$1,$B53,S$1,$B$1)</f>
        <v>10664</v>
      </c>
      <c r="T53" s="55">
        <f>_xll.EQNXTDZ($A$1,$B53,T$1,$B$1)</f>
        <v>7986.42</v>
      </c>
      <c r="U53" s="55">
        <f>_xll.EQNXTDZ($A$1,$B53,U$1,$B$1)</f>
        <v>5730.68</v>
      </c>
      <c r="V53" s="55">
        <f>_xll.EQNXTDZ($A$1,$B53,V$1,$B$1)</f>
        <v>6315.98</v>
      </c>
      <c r="W53" s="55">
        <f>_xll.EQNXTDZ($A$1,$B53,W$1,$B$1)</f>
        <v>9990.84</v>
      </c>
      <c r="X53" s="55">
        <f>_xll.EQNXTDZ($A$1,$B53,X$1,$B$1)</f>
        <v>10773.61</v>
      </c>
      <c r="Y53" s="55">
        <f>_xll.EQNXTDZ($A$1,$B53,Y$1,$B$1)</f>
        <v>10043.879999999999</v>
      </c>
      <c r="Z53" s="55">
        <f>_xll.EQNXTDZ($A$1,$B53,Z$1,$B$1)</f>
        <v>13025.2</v>
      </c>
      <c r="AA53" s="55">
        <f>_xll.EQNXTDZ($A$1,$B53,AA$1,$B$1)</f>
        <v>10917.18</v>
      </c>
      <c r="AB53" s="55">
        <f>_xll.EQNXTDZ($A$1,$B53,AB$1,$B$1)</f>
        <v>3140.27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760.84910000000002</v>
      </c>
      <c r="D54" s="55">
        <f>_xll.EQNXTDZ($A$1,$B54,D$1,$B$1)</f>
        <v>955.45</v>
      </c>
      <c r="E54" s="55">
        <f>_xll.EQNXTDZ($A$1,$B54,E$1,$B$1)</f>
        <v>707.45</v>
      </c>
      <c r="F54" s="55">
        <f>_xll.EQNXTDZ($A$1,$B54,F$1,$B$1)</f>
        <v>561.91999999999996</v>
      </c>
      <c r="G54" s="55">
        <f>_xll.EQNXTDZ($A$1,$B54,G$1,$B$1)</f>
        <v>758.69</v>
      </c>
      <c r="H54" s="55">
        <f>_xll.EQNXTDZ($A$1,$B54,H$1,$B$1)</f>
        <v>877.8</v>
      </c>
      <c r="I54" s="55">
        <f>_xll.EQNXTDZ($A$1,$B54,I$1,$B$1)</f>
        <v>975.74</v>
      </c>
      <c r="J54" s="55">
        <f>_xll.EQNXTDZ($A$1,$B54,J$1,$B$1)</f>
        <v>844.67</v>
      </c>
      <c r="K54" s="55">
        <f>_xll.EQNXTDZ($A$1,$B54,K$1,$B$1)</f>
        <v>872.21</v>
      </c>
      <c r="L54" s="55">
        <f>_xll.EQNXTDZ($A$1,$B54,L$1,$B$1)</f>
        <v>1416.3</v>
      </c>
      <c r="M54" s="55">
        <f>_xll.EQNXTDZ($A$1,$B54,M$1,$B$1)</f>
        <v>1449.61</v>
      </c>
      <c r="N54" s="55">
        <f>_xll.EQNXTDZ($A$1,$B54,N$1,$B$1)</f>
        <v>766.58</v>
      </c>
      <c r="O54" s="55">
        <f>_xll.EQNXTDZ($A$1,$B54,O$1,$B$1)</f>
        <v>692.48</v>
      </c>
      <c r="P54" s="55">
        <f>_xll.EQNXTDZ($A$1,$B54,P$1,$B$1)</f>
        <v>711.53</v>
      </c>
      <c r="Q54" s="55">
        <f>_xll.EQNXTDZ($A$1,$B54,Q$1,$B$1)</f>
        <v>704.23</v>
      </c>
      <c r="R54" s="55">
        <f>_xll.EQNXTDZ($A$1,$B54,R$1,$B$1)</f>
        <v>608.11</v>
      </c>
      <c r="S54" s="55">
        <f>_xll.EQNXTDZ($A$1,$B54,S$1,$B$1)</f>
        <v>521.25</v>
      </c>
      <c r="T54" s="55">
        <f>_xll.EQNXTDZ($A$1,$B54,T$1,$B$1)</f>
        <v>482.19</v>
      </c>
      <c r="U54" s="55">
        <f>_xll.EQNXTDZ($A$1,$B54,U$1,$B$1)</f>
        <v>208.66</v>
      </c>
      <c r="V54" s="55">
        <f>_xll.EQNXTDZ($A$1,$B54,V$1,$B$1)</f>
        <v>291.07</v>
      </c>
      <c r="W54" s="55">
        <f>_xll.EQNXTDZ($A$1,$B54,W$1,$B$1)</f>
        <v>258.7</v>
      </c>
      <c r="X54" s="55">
        <f>_xll.EQNXTDZ($A$1,$B54,X$1,$B$1)</f>
        <v>224.21</v>
      </c>
      <c r="Y54" s="55">
        <f>_xll.EQNXTDZ($A$1,$B54,Y$1,$B$1)</f>
        <v>209.09</v>
      </c>
      <c r="Z54" s="55">
        <f>_xll.EQNXTDZ($A$1,$B54,Z$1,$B$1)</f>
        <v>267.14</v>
      </c>
      <c r="AA54" s="55">
        <f>_xll.EQNXTDZ($A$1,$B54,AA$1,$B$1)</f>
        <v>210.58</v>
      </c>
      <c r="AB54" s="55">
        <f>_xll.EQNXTDZ($A$1,$B54,AB$1,$B$1)</f>
        <v>239.14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16.061199999999999</v>
      </c>
      <c r="D55" s="55">
        <f>_xll.EQNXTDZ($A$1,$B55,D$1,$B$1)</f>
        <v>8.24</v>
      </c>
      <c r="E55" s="55">
        <f>_xll.EQNXTDZ($A$1,$B55,E$1,$B$1)</f>
        <v>16.16</v>
      </c>
      <c r="F55" s="55">
        <f>_xll.EQNXTDZ($A$1,$B55,F$1,$B$1)</f>
        <v>115.59</v>
      </c>
      <c r="G55" s="55">
        <f>_xll.EQNXTDZ($A$1,$B55,G$1,$B$1)</f>
        <v>169.8</v>
      </c>
      <c r="H55" s="55">
        <f>_xll.EQNXTDZ($A$1,$B55,H$1,$B$1)</f>
        <v>196.39</v>
      </c>
      <c r="I55" s="55">
        <f>_xll.EQNXTDZ($A$1,$B55,I$1,$B$1)</f>
        <v>96.05</v>
      </c>
      <c r="J55" s="55">
        <f>_xll.EQNXTDZ($A$1,$B55,J$1,$B$1)</f>
        <v>137.24</v>
      </c>
      <c r="K55" s="55">
        <f>_xll.EQNXTDZ($A$1,$B55,K$1,$B$1)</f>
        <v>151.93</v>
      </c>
      <c r="L55" s="55">
        <f>_xll.EQNXTDZ($A$1,$B55,L$1,$B$1)</f>
        <v>136.63999999999999</v>
      </c>
      <c r="M55" s="55">
        <f>_xll.EQNXTDZ($A$1,$B55,M$1,$B$1)</f>
        <v>169.44</v>
      </c>
      <c r="N55" s="55">
        <f>_xll.EQNXTDZ($A$1,$B55,N$1,$B$1)</f>
        <v>756.83</v>
      </c>
      <c r="O55" s="55">
        <f>_xll.EQNXTDZ($A$1,$B55,O$1,$B$1)</f>
        <v>759.82</v>
      </c>
      <c r="P55" s="55">
        <f>_xll.EQNXTDZ($A$1,$B55,P$1,$B$1)</f>
        <v>669.9</v>
      </c>
      <c r="Q55" s="55">
        <f>_xll.EQNXTDZ($A$1,$B55,Q$1,$B$1)</f>
        <v>985.25</v>
      </c>
      <c r="R55" s="55">
        <f>_xll.EQNXTDZ($A$1,$B55,R$1,$B$1)</f>
        <v>1350.05</v>
      </c>
      <c r="S55" s="55">
        <f>_xll.EQNXTDZ($A$1,$B55,S$1,$B$1)</f>
        <v>1640.87</v>
      </c>
      <c r="T55" s="55">
        <f>_xll.EQNXTDZ($A$1,$B55,T$1,$B$1)</f>
        <v>2550.4899999999998</v>
      </c>
      <c r="U55" s="55">
        <f>_xll.EQNXTDZ($A$1,$B55,U$1,$B$1)</f>
        <v>4236.16</v>
      </c>
      <c r="V55" s="55">
        <f>_xll.EQNXTDZ($A$1,$B55,V$1,$B$1)</f>
        <v>6381.24</v>
      </c>
      <c r="W55" s="55">
        <f>_xll.EQNXTDZ($A$1,$B55,W$1,$B$1)</f>
        <v>6577.12</v>
      </c>
      <c r="X55" s="55">
        <f>_xll.EQNXTDZ($A$1,$B55,X$1,$B$1)</f>
        <v>6073.74</v>
      </c>
      <c r="Y55" s="55">
        <f>_xll.EQNXTDZ($A$1,$B55,Y$1,$B$1)</f>
        <v>8452.16</v>
      </c>
      <c r="Z55" s="55">
        <f>_xll.EQNXTDZ($A$1,$B55,Z$1,$B$1)</f>
        <v>6131.3</v>
      </c>
      <c r="AA55" s="55">
        <f>_xll.EQNXTDZ($A$1,$B55,AA$1,$B$1)</f>
        <v>8734.26</v>
      </c>
      <c r="AB55" s="55">
        <f>_xll.EQNXTDZ($A$1,$B55,AB$1,$B$1)</f>
        <v>5230.18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703.8</v>
      </c>
      <c r="O56" s="55">
        <f>_xll.EQNXTDZ($A$1,$B56,O$1,$B$1)</f>
        <v>1071.9100000000001</v>
      </c>
      <c r="P56" s="55">
        <f>_xll.EQNXTDZ($A$1,$B56,P$1,$B$1)</f>
        <v>1422.43</v>
      </c>
      <c r="Q56" s="55">
        <f>_xll.EQNXTDZ($A$1,$B56,Q$1,$B$1)</f>
        <v>1761.37</v>
      </c>
      <c r="R56" s="55">
        <f>_xll.EQNXTDZ($A$1,$B56,R$1,$B$1)</f>
        <v>3414.11</v>
      </c>
      <c r="S56" s="55">
        <f>_xll.EQNXTDZ($A$1,$B56,S$1,$B$1)</f>
        <v>4305.3599999999997</v>
      </c>
      <c r="T56" s="55">
        <f>_xll.EQNXTDZ($A$1,$B56,T$1,$B$1)</f>
        <v>5306.44</v>
      </c>
      <c r="U56" s="55">
        <f>_xll.EQNXTDZ($A$1,$B56,U$1,$B$1)</f>
        <v>6931.1</v>
      </c>
      <c r="V56" s="55">
        <f>_xll.EQNXTDZ($A$1,$B56,V$1,$B$1)</f>
        <v>4338.1400000000003</v>
      </c>
      <c r="W56" s="55">
        <f>_xll.EQNXTDZ($A$1,$B56,W$1,$B$1)</f>
        <v>3117.78</v>
      </c>
      <c r="X56" s="55">
        <f>_xll.EQNXTDZ($A$1,$B56,X$1,$B$1)</f>
        <v>3068.76</v>
      </c>
      <c r="Y56" s="55">
        <f>_xll.EQNXTDZ($A$1,$B56,Y$1,$B$1)</f>
        <v>1504.21</v>
      </c>
      <c r="Z56" s="55">
        <f>_xll.EQNXTDZ($A$1,$B56,Z$1,$B$1)</f>
        <v>1078.3</v>
      </c>
      <c r="AA56" s="55">
        <f>_xll.EQNXTDZ($A$1,$B56,AA$1,$B$1)</f>
        <v>956.2</v>
      </c>
      <c r="AB56" s="55">
        <f>_xll.EQNXTDZ($A$1,$B56,AB$1,$B$1)</f>
        <v>12664.73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50</v>
      </c>
      <c r="D57" s="55">
        <f>_xll.EQNXTDZ($A$1,$B57,D$1,$B$1)</f>
        <v>52.66</v>
      </c>
      <c r="E57" s="55">
        <f>_xll.EQNXTDZ($A$1,$B57,E$1,$B$1)</f>
        <v>102.06</v>
      </c>
      <c r="F57" s="55">
        <f>_xll.EQNXTDZ($A$1,$B57,F$1,$B$1)</f>
        <v>18.03</v>
      </c>
      <c r="G57" s="55">
        <f>_xll.EQNXTDZ($A$1,$B57,G$1,$B$1)</f>
        <v>91.35</v>
      </c>
      <c r="H57" s="55">
        <f>_xll.EQNXTDZ($A$1,$B57,H$1,$B$1)</f>
        <v>77.94</v>
      </c>
      <c r="I57" s="55">
        <f>_xll.EQNXTDZ($A$1,$B57,I$1,$B$1)</f>
        <v>77.91</v>
      </c>
      <c r="J57" s="55">
        <f>_xll.EQNXTDZ($A$1,$B57,J$1,$B$1)</f>
        <v>33.090000000000003</v>
      </c>
      <c r="K57" s="55">
        <f>_xll.EQNXTDZ($A$1,$B57,K$1,$B$1)</f>
        <v>36.71</v>
      </c>
      <c r="L57" s="55">
        <f>_xll.EQNXTDZ($A$1,$B57,L$1,$B$1)</f>
        <v>12.65</v>
      </c>
      <c r="M57" s="55">
        <f>_xll.EQNXTDZ($A$1,$B57,M$1,$B$1)</f>
        <v>191.56</v>
      </c>
      <c r="N57" s="55">
        <f>_xll.EQNXTDZ($A$1,$B57,N$1,$B$1)</f>
        <v>169.95</v>
      </c>
      <c r="O57" s="55">
        <f>_xll.EQNXTDZ($A$1,$B57,O$1,$B$1)</f>
        <v>411.04</v>
      </c>
      <c r="P57" s="55">
        <f>_xll.EQNXTDZ($A$1,$B57,P$1,$B$1)</f>
        <v>474.72</v>
      </c>
      <c r="Q57" s="55">
        <f>_xll.EQNXTDZ($A$1,$B57,Q$1,$B$1)</f>
        <v>535.22</v>
      </c>
      <c r="R57" s="55">
        <f>_xll.EQNXTDZ($A$1,$B57,R$1,$B$1)</f>
        <v>546.37</v>
      </c>
      <c r="S57" s="55">
        <f>_xll.EQNXTDZ($A$1,$B57,S$1,$B$1)</f>
        <v>683.29</v>
      </c>
      <c r="T57" s="55">
        <f>_xll.EQNXTDZ($A$1,$B57,T$1,$B$1)</f>
        <v>890.92</v>
      </c>
      <c r="U57" s="55">
        <f>_xll.EQNXTDZ($A$1,$B57,U$1,$B$1)</f>
        <v>55.12</v>
      </c>
      <c r="V57" s="55">
        <f>_xll.EQNXTDZ($A$1,$B57,V$1,$B$1)</f>
        <v>1866.94</v>
      </c>
      <c r="W57" s="55">
        <f>_xll.EQNXTDZ($A$1,$B57,W$1,$B$1)</f>
        <v>55.74</v>
      </c>
      <c r="X57" s="55">
        <f>_xll.EQNXTDZ($A$1,$B57,X$1,$B$1)</f>
        <v>56.69</v>
      </c>
      <c r="Y57" s="55">
        <f>_xll.EQNXTDZ($A$1,$B57,Y$1,$B$1)</f>
        <v>55.93</v>
      </c>
      <c r="Z57" s="55">
        <f>_xll.EQNXTDZ($A$1,$B57,Z$1,$B$1)</f>
        <v>58</v>
      </c>
      <c r="AA57" s="55">
        <f>_xll.EQNXTDZ($A$1,$B57,AA$1,$B$1)</f>
        <v>55.86</v>
      </c>
      <c r="AB57" s="55">
        <f>_xll.EQNXTDZ($A$1,$B57,AB$1,$B$1)</f>
        <v>50.09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1322.85</v>
      </c>
      <c r="U58" s="55">
        <f>_xll.EQNXTDZ($A$1,$B58,U$1,$B$1)</f>
        <v>2188.71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826.91030000000001</v>
      </c>
      <c r="D59" s="55">
        <f>_xll.EQNXTDZ($A$1,$B59,D$1,$B$1)</f>
        <v>1016.35</v>
      </c>
      <c r="E59" s="55">
        <f>_xll.EQNXTDZ($A$1,$B59,E$1,$B$1)</f>
        <v>825.67</v>
      </c>
      <c r="F59" s="55">
        <f>_xll.EQNXTDZ($A$1,$B59,F$1,$B$1)</f>
        <v>695.54</v>
      </c>
      <c r="G59" s="55">
        <f>_xll.EQNXTDZ($A$1,$B59,G$1,$B$1)</f>
        <v>1019.84</v>
      </c>
      <c r="H59" s="55">
        <f>_xll.EQNXTDZ($A$1,$B59,H$1,$B$1)</f>
        <v>1152.1300000000001</v>
      </c>
      <c r="I59" s="55">
        <f>_xll.EQNXTDZ($A$1,$B59,I$1,$B$1)</f>
        <v>1149.7</v>
      </c>
      <c r="J59" s="55">
        <f>_xll.EQNXTDZ($A$1,$B59,J$1,$B$1)</f>
        <v>1015</v>
      </c>
      <c r="K59" s="55">
        <f>_xll.EQNXTDZ($A$1,$B59,K$1,$B$1)</f>
        <v>1060.8499999999999</v>
      </c>
      <c r="L59" s="55">
        <f>_xll.EQNXTDZ($A$1,$B59,L$1,$B$1)</f>
        <v>1565.59</v>
      </c>
      <c r="M59" s="55">
        <f>_xll.EQNXTDZ($A$1,$B59,M$1,$B$1)</f>
        <v>1810.61</v>
      </c>
      <c r="N59" s="55">
        <f>_xll.EQNXTDZ($A$1,$B59,N$1,$B$1)</f>
        <v>2397.16</v>
      </c>
      <c r="O59" s="55">
        <f>_xll.EQNXTDZ($A$1,$B59,O$1,$B$1)</f>
        <v>2935.25</v>
      </c>
      <c r="P59" s="55">
        <f>_xll.EQNXTDZ($A$1,$B59,P$1,$B$1)</f>
        <v>3278.58</v>
      </c>
      <c r="Q59" s="55">
        <f>_xll.EQNXTDZ($A$1,$B59,Q$1,$B$1)</f>
        <v>3986.07</v>
      </c>
      <c r="R59" s="55">
        <f>_xll.EQNXTDZ($A$1,$B59,R$1,$B$1)</f>
        <v>5918.64</v>
      </c>
      <c r="S59" s="55">
        <f>_xll.EQNXTDZ($A$1,$B59,S$1,$B$1)</f>
        <v>7150.77</v>
      </c>
      <c r="T59" s="55">
        <f>_xll.EQNXTDZ($A$1,$B59,T$1,$B$1)</f>
        <v>9230.0400000000009</v>
      </c>
      <c r="U59" s="55">
        <f>_xll.EQNXTDZ($A$1,$B59,U$1,$B$1)</f>
        <v>11431.04</v>
      </c>
      <c r="V59" s="55">
        <f>_xll.EQNXTDZ($A$1,$B59,V$1,$B$1)</f>
        <v>12877.39</v>
      </c>
      <c r="W59" s="55">
        <f>_xll.EQNXTDZ($A$1,$B59,W$1,$B$1)</f>
        <v>10009.34</v>
      </c>
      <c r="X59" s="55">
        <f>_xll.EQNXTDZ($A$1,$B59,X$1,$B$1)</f>
        <v>9423.4</v>
      </c>
      <c r="Y59" s="55">
        <f>_xll.EQNXTDZ($A$1,$B59,Y$1,$B$1)</f>
        <v>10221.39</v>
      </c>
      <c r="Z59" s="55">
        <f>_xll.EQNXTDZ($A$1,$B59,Z$1,$B$1)</f>
        <v>7534.74</v>
      </c>
      <c r="AA59" s="55">
        <f>_xll.EQNXTDZ($A$1,$B59,AA$1,$B$1)</f>
        <v>9956.9</v>
      </c>
      <c r="AB59" s="55">
        <f>_xll.EQNXTDZ($A$1,$B59,AB$1,$B$1)</f>
        <v>18184.14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2157.3598000000002</v>
      </c>
      <c r="D60" s="55">
        <f>_xll.EQNXTDZ($A$1,$B60,D$1,$B$1)</f>
        <v>2198.12</v>
      </c>
      <c r="E60" s="55">
        <f>_xll.EQNXTDZ($A$1,$B60,E$1,$B$1)</f>
        <v>2161.9699999999998</v>
      </c>
      <c r="F60" s="55">
        <f>_xll.EQNXTDZ($A$1,$B60,F$1,$B$1)</f>
        <v>2531.1999999999998</v>
      </c>
      <c r="G60" s="55">
        <f>_xll.EQNXTDZ($A$1,$B60,G$1,$B$1)</f>
        <v>2858.98</v>
      </c>
      <c r="H60" s="55">
        <f>_xll.EQNXTDZ($A$1,$B60,H$1,$B$1)</f>
        <v>2766.37</v>
      </c>
      <c r="I60" s="55">
        <f>_xll.EQNXTDZ($A$1,$B60,I$1,$B$1)</f>
        <v>2857.36</v>
      </c>
      <c r="J60" s="55">
        <f>_xll.EQNXTDZ($A$1,$B60,J$1,$B$1)</f>
        <v>3441.28</v>
      </c>
      <c r="K60" s="55">
        <f>_xll.EQNXTDZ($A$1,$B60,K$1,$B$1)</f>
        <v>4026.47</v>
      </c>
      <c r="L60" s="55">
        <f>_xll.EQNXTDZ($A$1,$B60,L$1,$B$1)</f>
        <v>4808.8900000000003</v>
      </c>
      <c r="M60" s="55">
        <f>_xll.EQNXTDZ($A$1,$B60,M$1,$B$1)</f>
        <v>5846.78</v>
      </c>
      <c r="N60" s="55">
        <f>_xll.EQNXTDZ($A$1,$B60,N$1,$B$1)</f>
        <v>6099.04</v>
      </c>
      <c r="O60" s="55">
        <f>_xll.EQNXTDZ($A$1,$B60,O$1,$B$1)</f>
        <v>6111.51</v>
      </c>
      <c r="P60" s="55">
        <f>_xll.EQNXTDZ($A$1,$B60,P$1,$B$1)</f>
        <v>5666.39</v>
      </c>
      <c r="Q60" s="55">
        <f>_xll.EQNXTDZ($A$1,$B60,Q$1,$B$1)</f>
        <v>6043.94</v>
      </c>
      <c r="R60" s="55">
        <f>_xll.EQNXTDZ($A$1,$B60,R$1,$B$1)</f>
        <v>9461.8799999999992</v>
      </c>
      <c r="S60" s="55">
        <f>_xll.EQNXTDZ($A$1,$B60,S$1,$B$1)</f>
        <v>11905.93</v>
      </c>
      <c r="T60" s="55">
        <f>_xll.EQNXTDZ($A$1,$B60,T$1,$B$1)</f>
        <v>3380.16</v>
      </c>
      <c r="U60" s="55">
        <f>_xll.EQNXTDZ($A$1,$B60,U$1,$B$1)</f>
        <v>4530.6000000000004</v>
      </c>
      <c r="V60" s="55">
        <f>_xll.EQNXTDZ($A$1,$B60,V$1,$B$1)</f>
        <v>1714.21</v>
      </c>
      <c r="W60" s="55">
        <f>_xll.EQNXTDZ($A$1,$B60,W$1,$B$1)</f>
        <v>1509.3</v>
      </c>
      <c r="X60" s="55">
        <f>_xll.EQNXTDZ($A$1,$B60,X$1,$B$1)</f>
        <v>1364.53</v>
      </c>
      <c r="Y60" s="55">
        <f>_xll.EQNXTDZ($A$1,$B60,Y$1,$B$1)</f>
        <v>1210.74</v>
      </c>
      <c r="Z60" s="55">
        <f>_xll.EQNXTDZ($A$1,$B60,Z$1,$B$1)</f>
        <v>1306.99</v>
      </c>
      <c r="AA60" s="55">
        <f>_xll.EQNXTDZ($A$1,$B60,AA$1,$B$1)</f>
        <v>1303.79</v>
      </c>
      <c r="AB60" s="55">
        <f>_xll.EQNXTDZ($A$1,$B60,AB$1,$B$1)</f>
        <v>1341.03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1625.7170000000001</v>
      </c>
      <c r="D62" s="55">
        <f>_xll.EQNXTDZ($A$1,$B62,D$1,$B$1)</f>
        <v>2151.39</v>
      </c>
      <c r="E62" s="55">
        <f>_xll.EQNXTDZ($A$1,$B62,E$1,$B$1)</f>
        <v>2158.1799999999998</v>
      </c>
      <c r="F62" s="55">
        <f>_xll.EQNXTDZ($A$1,$B62,F$1,$B$1)</f>
        <v>2494.91</v>
      </c>
      <c r="G62" s="55">
        <f>_xll.EQNXTDZ($A$1,$B62,G$1,$B$1)</f>
        <v>3232.8</v>
      </c>
      <c r="H62" s="55">
        <f>_xll.EQNXTDZ($A$1,$B62,H$1,$B$1)</f>
        <v>3646.17</v>
      </c>
      <c r="I62" s="55">
        <f>_xll.EQNXTDZ($A$1,$B62,I$1,$B$1)</f>
        <v>4053.52</v>
      </c>
      <c r="J62" s="55">
        <f>_xll.EQNXTDZ($A$1,$B62,J$1,$B$1)</f>
        <v>4524.71</v>
      </c>
      <c r="K62" s="55">
        <f>_xll.EQNXTDZ($A$1,$B62,K$1,$B$1)</f>
        <v>4948.8</v>
      </c>
      <c r="L62" s="55">
        <f>_xll.EQNXTDZ($A$1,$B62,L$1,$B$1)</f>
        <v>6163.58</v>
      </c>
      <c r="M62" s="55">
        <f>_xll.EQNXTDZ($A$1,$B62,M$1,$B$1)</f>
        <v>7621.16</v>
      </c>
      <c r="N62" s="55">
        <f>_xll.EQNXTDZ($A$1,$B62,N$1,$B$1)</f>
        <v>8344.44</v>
      </c>
      <c r="O62" s="55">
        <f>_xll.EQNXTDZ($A$1,$B62,O$1,$B$1)</f>
        <v>8737.83</v>
      </c>
      <c r="P62" s="55">
        <f>_xll.EQNXTDZ($A$1,$B62,P$1,$B$1)</f>
        <v>8792.57</v>
      </c>
      <c r="Q62" s="55">
        <f>_xll.EQNXTDZ($A$1,$B62,Q$1,$B$1)</f>
        <v>9070.86</v>
      </c>
      <c r="R62" s="55">
        <f>_xll.EQNXTDZ($A$1,$B62,R$1,$B$1)</f>
        <v>10098.17</v>
      </c>
      <c r="S62" s="55">
        <f>_xll.EQNXTDZ($A$1,$B62,S$1,$B$1)</f>
        <v>16360.92</v>
      </c>
      <c r="T62" s="55">
        <f>_xll.EQNXTDZ($A$1,$B62,T$1,$B$1)</f>
        <v>3760.66</v>
      </c>
      <c r="U62" s="55">
        <f>_xll.EQNXTDZ($A$1,$B62,U$1,$B$1)</f>
        <v>3556.1</v>
      </c>
      <c r="V62" s="55">
        <f>_xll.EQNXTDZ($A$1,$B62,V$1,$B$1)</f>
        <v>3913.88</v>
      </c>
      <c r="W62" s="55">
        <f>_xll.EQNXTDZ($A$1,$B62,W$1,$B$1)</f>
        <v>3987.23</v>
      </c>
      <c r="X62" s="55">
        <f>_xll.EQNXTDZ($A$1,$B62,X$1,$B$1)</f>
        <v>3958.4</v>
      </c>
      <c r="Y62" s="55">
        <f>_xll.EQNXTDZ($A$1,$B62,Y$1,$B$1)</f>
        <v>3862.6</v>
      </c>
      <c r="Z62" s="55">
        <f>_xll.EQNXTDZ($A$1,$B62,Z$1,$B$1)</f>
        <v>3875.13</v>
      </c>
      <c r="AA62" s="55">
        <f>_xll.EQNXTDZ($A$1,$B62,AA$1,$B$1)</f>
        <v>4026.36</v>
      </c>
      <c r="AB62" s="55">
        <f>_xll.EQNXTDZ($A$1,$B62,AB$1,$B$1)</f>
        <v>4185.43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180.7724</v>
      </c>
      <c r="D63" s="55">
        <f>_xll.EQNXTDZ($A$1,$B63,D$1,$B$1)</f>
        <v>288.23</v>
      </c>
      <c r="E63" s="55">
        <f>_xll.EQNXTDZ($A$1,$B63,E$1,$B$1)</f>
        <v>493.24</v>
      </c>
      <c r="F63" s="55">
        <f>_xll.EQNXTDZ($A$1,$B63,F$1,$B$1)</f>
        <v>694.76</v>
      </c>
      <c r="G63" s="55">
        <f>_xll.EQNXTDZ($A$1,$B63,G$1,$B$1)</f>
        <v>980.79</v>
      </c>
      <c r="H63" s="55">
        <f>_xll.EQNXTDZ($A$1,$B63,H$1,$B$1)</f>
        <v>1384.66</v>
      </c>
      <c r="I63" s="55">
        <f>_xll.EQNXTDZ($A$1,$B63,I$1,$B$1)</f>
        <v>1826.85</v>
      </c>
      <c r="J63" s="55">
        <f>_xll.EQNXTDZ($A$1,$B63,J$1,$B$1)</f>
        <v>1663.58</v>
      </c>
      <c r="K63" s="55">
        <f>_xll.EQNXTDZ($A$1,$B63,K$1,$B$1)</f>
        <v>1753.12</v>
      </c>
      <c r="L63" s="55">
        <f>_xll.EQNXTDZ($A$1,$B63,L$1,$B$1)</f>
        <v>2212.38</v>
      </c>
      <c r="M63" s="55">
        <f>_xll.EQNXTDZ($A$1,$B63,M$1,$B$1)</f>
        <v>2818.33</v>
      </c>
      <c r="N63" s="55">
        <f>_xll.EQNXTDZ($A$1,$B63,N$1,$B$1)</f>
        <v>3358.19</v>
      </c>
      <c r="O63" s="55">
        <f>_xll.EQNXTDZ($A$1,$B63,O$1,$B$1)</f>
        <v>3948.1</v>
      </c>
      <c r="P63" s="55">
        <f>_xll.EQNXTDZ($A$1,$B63,P$1,$B$1)</f>
        <v>4274.68</v>
      </c>
      <c r="Q63" s="55">
        <f>_xll.EQNXTDZ($A$1,$B63,Q$1,$B$1)</f>
        <v>4882.7299999999996</v>
      </c>
      <c r="R63" s="55">
        <f>_xll.EQNXTDZ($A$1,$B63,R$1,$B$1)</f>
        <v>4705.1000000000004</v>
      </c>
      <c r="S63" s="55">
        <f>_xll.EQNXTDZ($A$1,$B63,S$1,$B$1)</f>
        <v>6424.31</v>
      </c>
      <c r="T63" s="55">
        <f>_xll.EQNXTDZ($A$1,$B63,T$1,$B$1)</f>
        <v>2913.73</v>
      </c>
      <c r="U63" s="55">
        <f>_xll.EQNXTDZ($A$1,$B63,U$1,$B$1)</f>
        <v>2838.03</v>
      </c>
      <c r="V63" s="55">
        <f>_xll.EQNXTDZ($A$1,$B63,V$1,$B$1)</f>
        <v>3020.12</v>
      </c>
      <c r="W63" s="55">
        <f>_xll.EQNXTDZ($A$1,$B63,W$1,$B$1)</f>
        <v>3157.11</v>
      </c>
      <c r="X63" s="55">
        <f>_xll.EQNXTDZ($A$1,$B63,X$1,$B$1)</f>
        <v>3179.3</v>
      </c>
      <c r="Y63" s="55">
        <f>_xll.EQNXTDZ($A$1,$B63,Y$1,$B$1)</f>
        <v>3122.11</v>
      </c>
      <c r="Z63" s="55">
        <f>_xll.EQNXTDZ($A$1,$B63,Z$1,$B$1)</f>
        <v>3086.99</v>
      </c>
      <c r="AA63" s="55">
        <f>_xll.EQNXTDZ($A$1,$B63,AA$1,$B$1)</f>
        <v>3228.17</v>
      </c>
      <c r="AB63" s="55">
        <f>_xll.EQNXTDZ($A$1,$B63,AB$1,$B$1)</f>
        <v>3246.56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29.45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1444.9446</v>
      </c>
      <c r="D65" s="55">
        <f>_xll.EQNXTDZ($A$1,$B65,D$1,$B$1)</f>
        <v>1863.16</v>
      </c>
      <c r="E65" s="55">
        <f>_xll.EQNXTDZ($A$1,$B65,E$1,$B$1)</f>
        <v>1664.94</v>
      </c>
      <c r="F65" s="55">
        <f>_xll.EQNXTDZ($A$1,$B65,F$1,$B$1)</f>
        <v>1800.15</v>
      </c>
      <c r="G65" s="55">
        <f>_xll.EQNXTDZ($A$1,$B65,G$1,$B$1)</f>
        <v>2252.0100000000002</v>
      </c>
      <c r="H65" s="55">
        <f>_xll.EQNXTDZ($A$1,$B65,H$1,$B$1)</f>
        <v>2261.5100000000002</v>
      </c>
      <c r="I65" s="55">
        <f>_xll.EQNXTDZ($A$1,$B65,I$1,$B$1)</f>
        <v>2226.67</v>
      </c>
      <c r="J65" s="55">
        <f>_xll.EQNXTDZ($A$1,$B65,J$1,$B$1)</f>
        <v>2861.13</v>
      </c>
      <c r="K65" s="55">
        <f>_xll.EQNXTDZ($A$1,$B65,K$1,$B$1)</f>
        <v>3195.68</v>
      </c>
      <c r="L65" s="55">
        <f>_xll.EQNXTDZ($A$1,$B65,L$1,$B$1)</f>
        <v>3951.2</v>
      </c>
      <c r="M65" s="55">
        <f>_xll.EQNXTDZ($A$1,$B65,M$1,$B$1)</f>
        <v>4802.83</v>
      </c>
      <c r="N65" s="55">
        <f>_xll.EQNXTDZ($A$1,$B65,N$1,$B$1)</f>
        <v>4986.25</v>
      </c>
      <c r="O65" s="55">
        <f>_xll.EQNXTDZ($A$1,$B65,O$1,$B$1)</f>
        <v>4789.7299999999996</v>
      </c>
      <c r="P65" s="55">
        <f>_xll.EQNXTDZ($A$1,$B65,P$1,$B$1)</f>
        <v>4517.8900000000003</v>
      </c>
      <c r="Q65" s="55">
        <f>_xll.EQNXTDZ($A$1,$B65,Q$1,$B$1)</f>
        <v>4188.13</v>
      </c>
      <c r="R65" s="55">
        <f>_xll.EQNXTDZ($A$1,$B65,R$1,$B$1)</f>
        <v>5363.62</v>
      </c>
      <c r="S65" s="55">
        <f>_xll.EQNXTDZ($A$1,$B65,S$1,$B$1)</f>
        <v>9936.61</v>
      </c>
      <c r="T65" s="55">
        <f>_xll.EQNXTDZ($A$1,$B65,T$1,$B$1)</f>
        <v>846.93</v>
      </c>
      <c r="U65" s="55">
        <f>_xll.EQNXTDZ($A$1,$B65,U$1,$B$1)</f>
        <v>718.07</v>
      </c>
      <c r="V65" s="55">
        <f>_xll.EQNXTDZ($A$1,$B65,V$1,$B$1)</f>
        <v>893.76</v>
      </c>
      <c r="W65" s="55">
        <f>_xll.EQNXTDZ($A$1,$B65,W$1,$B$1)</f>
        <v>830.12</v>
      </c>
      <c r="X65" s="55">
        <f>_xll.EQNXTDZ($A$1,$B65,X$1,$B$1)</f>
        <v>779.1</v>
      </c>
      <c r="Y65" s="55">
        <f>_xll.EQNXTDZ($A$1,$B65,Y$1,$B$1)</f>
        <v>740.49</v>
      </c>
      <c r="Z65" s="55">
        <f>_xll.EQNXTDZ($A$1,$B65,Z$1,$B$1)</f>
        <v>788.14</v>
      </c>
      <c r="AA65" s="55">
        <f>_xll.EQNXTDZ($A$1,$B65,AA$1,$B$1)</f>
        <v>798.19</v>
      </c>
      <c r="AB65" s="55">
        <f>_xll.EQNXTDZ($A$1,$B65,AB$1,$B$1)</f>
        <v>938.87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274.8252</v>
      </c>
      <c r="D67" s="55">
        <f>_xll.EQNXTDZ($A$1,$B67,D$1,$B$1)</f>
        <v>133.38</v>
      </c>
      <c r="E67" s="55">
        <f>_xll.EQNXTDZ($A$1,$B67,E$1,$B$1)</f>
        <v>240.91</v>
      </c>
      <c r="F67" s="55">
        <f>_xll.EQNXTDZ($A$1,$B67,F$1,$B$1)</f>
        <v>314.98</v>
      </c>
      <c r="G67" s="55">
        <f>_xll.EQNXTDZ($A$1,$B67,G$1,$B$1)</f>
        <v>240.37</v>
      </c>
      <c r="H67" s="55">
        <f>_xll.EQNXTDZ($A$1,$B67,H$1,$B$1)</f>
        <v>175.08</v>
      </c>
      <c r="I67" s="55">
        <f>_xll.EQNXTDZ($A$1,$B67,I$1,$B$1)</f>
        <v>203.17</v>
      </c>
      <c r="J67" s="55">
        <f>_xll.EQNXTDZ($A$1,$B67,J$1,$B$1)</f>
        <v>125</v>
      </c>
      <c r="K67" s="55">
        <f>_xll.EQNXTDZ($A$1,$B67,K$1,$B$1)</f>
        <v>229.87</v>
      </c>
      <c r="L67" s="55">
        <f>_xll.EQNXTDZ($A$1,$B67,L$1,$B$1)</f>
        <v>204.71</v>
      </c>
      <c r="M67" s="55">
        <f>_xll.EQNXTDZ($A$1,$B67,M$1,$B$1)</f>
        <v>153.05000000000001</v>
      </c>
      <c r="N67" s="55">
        <f>_xll.EQNXTDZ($A$1,$B67,N$1,$B$1)</f>
        <v>64.39</v>
      </c>
      <c r="O67" s="55">
        <f>_xll.EQNXTDZ($A$1,$B67,O$1,$B$1)</f>
        <v>26.72</v>
      </c>
      <c r="P67" s="55">
        <f>_xll.EQNXTDZ($A$1,$B67,P$1,$B$1)</f>
        <v>37.619999999999997</v>
      </c>
      <c r="Q67" s="55">
        <f>_xll.EQNXTDZ($A$1,$B67,Q$1,$B$1)</f>
        <v>46.4</v>
      </c>
      <c r="R67" s="55">
        <f>_xll.EQNXTDZ($A$1,$B67,R$1,$B$1)</f>
        <v>47.59</v>
      </c>
      <c r="S67" s="55">
        <f>_xll.EQNXTDZ($A$1,$B67,S$1,$B$1)</f>
        <v>26.87</v>
      </c>
      <c r="T67" s="55">
        <f>_xll.EQNXTDZ($A$1,$B67,T$1,$B$1)</f>
        <v>26.59</v>
      </c>
      <c r="U67" s="55">
        <f>_xll.EQNXTDZ($A$1,$B67,U$1,$B$1)</f>
        <v>26.31</v>
      </c>
      <c r="V67" s="55">
        <f>_xll.EQNXTDZ($A$1,$B67,V$1,$B$1)</f>
        <v>39.18</v>
      </c>
      <c r="W67" s="55">
        <f>_xll.EQNXTDZ($A$1,$B67,W$1,$B$1)</f>
        <v>29.3</v>
      </c>
      <c r="X67" s="55">
        <f>_xll.EQNXTDZ($A$1,$B67,X$1,$B$1)</f>
        <v>28.16</v>
      </c>
      <c r="Y67" s="55">
        <f>_xll.EQNXTDZ($A$1,$B67,Y$1,$B$1)</f>
        <v>29.48</v>
      </c>
      <c r="Z67" s="55">
        <f>_xll.EQNXTDZ($A$1,$B67,Z$1,$B$1)</f>
        <v>59.21</v>
      </c>
      <c r="AA67" s="55">
        <f>_xll.EQNXTDZ($A$1,$B67,AA$1,$B$1)</f>
        <v>34.76</v>
      </c>
      <c r="AB67" s="55">
        <f>_xll.EQNXTDZ($A$1,$B67,AB$1,$B$1)</f>
        <v>27.59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2198.23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4.87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201.53</v>
      </c>
      <c r="O72" s="55">
        <f>_xll.EQNXTDZ($A$1,$B72,O$1,$B$1)</f>
        <v>502.32</v>
      </c>
      <c r="P72" s="55">
        <f>_xll.EQNXTDZ($A$1,$B72,P$1,$B$1)</f>
        <v>630.9</v>
      </c>
      <c r="Q72" s="55">
        <f>_xll.EQNXTDZ($A$1,$B72,Q$1,$B$1)</f>
        <v>1321.58</v>
      </c>
      <c r="R72" s="55">
        <f>_xll.EQNXTDZ($A$1,$B72,R$1,$B$1)</f>
        <v>788.39</v>
      </c>
      <c r="S72" s="55">
        <f>_xll.EQNXTDZ($A$1,$B72,S$1,$B$1)</f>
        <v>676.56</v>
      </c>
      <c r="T72" s="55">
        <f>_xll.EQNXTDZ($A$1,$B72,T$1,$B$1)</f>
        <v>610.91999999999996</v>
      </c>
      <c r="U72" s="55">
        <f>_xll.EQNXTDZ($A$1,$B72,U$1,$B$1)</f>
        <v>249.27</v>
      </c>
      <c r="V72" s="55">
        <f>_xll.EQNXTDZ($A$1,$B72,V$1,$B$1)</f>
        <v>170.9</v>
      </c>
      <c r="W72" s="55">
        <f>_xll.EQNXTDZ($A$1,$B72,W$1,$B$1)</f>
        <v>146.28</v>
      </c>
      <c r="X72" s="55">
        <f>_xll.EQNXTDZ($A$1,$B72,X$1,$B$1)</f>
        <v>166.33</v>
      </c>
      <c r="Y72" s="55">
        <f>_xll.EQNXTDZ($A$1,$B72,Y$1,$B$1)</f>
        <v>148.87</v>
      </c>
      <c r="Z72" s="55">
        <f>_xll.EQNXTDZ($A$1,$B72,Z$1,$B$1)</f>
        <v>154.19</v>
      </c>
      <c r="AA72" s="55">
        <f>_xll.EQNXTDZ($A$1,$B72,AA$1,$B$1)</f>
        <v>158.88</v>
      </c>
      <c r="AB72" s="55">
        <f>_xll.EQNXTDZ($A$1,$B72,AB$1,$B$1)</f>
        <v>168.77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7.22</v>
      </c>
      <c r="O73" s="55">
        <f>_xll.EQNXTDZ($A$1,$B73,O$1,$B$1)</f>
        <v>2.7</v>
      </c>
      <c r="P73" s="55">
        <f>_xll.EQNXTDZ($A$1,$B73,P$1,$B$1)</f>
        <v>1.28</v>
      </c>
      <c r="Q73" s="55">
        <f>_xll.EQNXTDZ($A$1,$B73,Q$1,$B$1)</f>
        <v>0.97</v>
      </c>
      <c r="R73" s="55">
        <f>_xll.EQNXTDZ($A$1,$B73,R$1,$B$1)</f>
        <v>16.72</v>
      </c>
      <c r="S73" s="55">
        <f>_xll.EQNXTDZ($A$1,$B73,S$1,$B$1)</f>
        <v>13.55</v>
      </c>
      <c r="T73" s="55">
        <f>_xll.EQNXTDZ($A$1,$B73,T$1,$B$1)</f>
        <v>11.13</v>
      </c>
      <c r="U73" s="55">
        <f>_xll.EQNXTDZ($A$1,$B73,U$1,$B$1)</f>
        <v>19.11</v>
      </c>
      <c r="V73" s="55">
        <f>_xll.EQNXTDZ($A$1,$B73,V$1,$B$1)</f>
        <v>14.75</v>
      </c>
      <c r="W73" s="55">
        <f>_xll.EQNXTDZ($A$1,$B73,W$1,$B$1)</f>
        <v>15.61</v>
      </c>
      <c r="X73" s="55">
        <f>_xll.EQNXTDZ($A$1,$B73,X$1,$B$1)</f>
        <v>12.67</v>
      </c>
      <c r="Y73" s="55">
        <f>_xll.EQNXTDZ($A$1,$B73,Y$1,$B$1)</f>
        <v>15.56</v>
      </c>
      <c r="Z73" s="55">
        <f>_xll.EQNXTDZ($A$1,$B73,Z$1,$B$1)</f>
        <v>14.96</v>
      </c>
      <c r="AA73" s="55">
        <f>_xll.EQNXTDZ($A$1,$B73,AA$1,$B$1)</f>
        <v>17.48</v>
      </c>
      <c r="AB73" s="55">
        <f>_xll.EQNXTDZ($A$1,$B73,AB$1,$B$1)</f>
        <v>21.47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1719.7698</v>
      </c>
      <c r="D74" s="55">
        <f>_xll.EQNXTDZ($A$1,$B74,D$1,$B$1)</f>
        <v>1996.54</v>
      </c>
      <c r="E74" s="55">
        <f>_xll.EQNXTDZ($A$1,$B74,E$1,$B$1)</f>
        <v>1905.85</v>
      </c>
      <c r="F74" s="55">
        <f>_xll.EQNXTDZ($A$1,$B74,F$1,$B$1)</f>
        <v>2115.13</v>
      </c>
      <c r="G74" s="55">
        <f>_xll.EQNXTDZ($A$1,$B74,G$1,$B$1)</f>
        <v>2492.38</v>
      </c>
      <c r="H74" s="55">
        <f>_xll.EQNXTDZ($A$1,$B74,H$1,$B$1)</f>
        <v>2436.59</v>
      </c>
      <c r="I74" s="55">
        <f>_xll.EQNXTDZ($A$1,$B74,I$1,$B$1)</f>
        <v>2429.84</v>
      </c>
      <c r="J74" s="55">
        <f>_xll.EQNXTDZ($A$1,$B74,J$1,$B$1)</f>
        <v>2986.13</v>
      </c>
      <c r="K74" s="55">
        <f>_xll.EQNXTDZ($A$1,$B74,K$1,$B$1)</f>
        <v>3425.55</v>
      </c>
      <c r="L74" s="55">
        <f>_xll.EQNXTDZ($A$1,$B74,L$1,$B$1)</f>
        <v>4155.91</v>
      </c>
      <c r="M74" s="55">
        <f>_xll.EQNXTDZ($A$1,$B74,M$1,$B$1)</f>
        <v>4955.88</v>
      </c>
      <c r="N74" s="55">
        <f>_xll.EQNXTDZ($A$1,$B74,N$1,$B$1)</f>
        <v>5259.39</v>
      </c>
      <c r="O74" s="55">
        <f>_xll.EQNXTDZ($A$1,$B74,O$1,$B$1)</f>
        <v>5321.47</v>
      </c>
      <c r="P74" s="55">
        <f>_xll.EQNXTDZ($A$1,$B74,P$1,$B$1)</f>
        <v>5187.6899999999996</v>
      </c>
      <c r="Q74" s="55">
        <f>_xll.EQNXTDZ($A$1,$B74,Q$1,$B$1)</f>
        <v>5557.08</v>
      </c>
      <c r="R74" s="55">
        <f>_xll.EQNXTDZ($A$1,$B74,R$1,$B$1)</f>
        <v>8414.5499999999993</v>
      </c>
      <c r="S74" s="55">
        <f>_xll.EQNXTDZ($A$1,$B74,S$1,$B$1)</f>
        <v>10653.59</v>
      </c>
      <c r="T74" s="55">
        <f>_xll.EQNXTDZ($A$1,$B74,T$1,$B$1)</f>
        <v>1495.57</v>
      </c>
      <c r="U74" s="55">
        <f>_xll.EQNXTDZ($A$1,$B74,U$1,$B$1)</f>
        <v>1012.76</v>
      </c>
      <c r="V74" s="55">
        <f>_xll.EQNXTDZ($A$1,$B74,V$1,$B$1)</f>
        <v>1118.5899999999999</v>
      </c>
      <c r="W74" s="55">
        <f>_xll.EQNXTDZ($A$1,$B74,W$1,$B$1)</f>
        <v>1021.31</v>
      </c>
      <c r="X74" s="55">
        <f>_xll.EQNXTDZ($A$1,$B74,X$1,$B$1)</f>
        <v>986.26</v>
      </c>
      <c r="Y74" s="55">
        <f>_xll.EQNXTDZ($A$1,$B74,Y$1,$B$1)</f>
        <v>939.27</v>
      </c>
      <c r="Z74" s="55">
        <f>_xll.EQNXTDZ($A$1,$B74,Z$1,$B$1)</f>
        <v>1016.5</v>
      </c>
      <c r="AA74" s="55">
        <f>_xll.EQNXTDZ($A$1,$B74,AA$1,$B$1)</f>
        <v>1009.31</v>
      </c>
      <c r="AB74" s="55">
        <f>_xll.EQNXTDZ($A$1,$B74,AB$1,$B$1)</f>
        <v>1156.7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17.5167</v>
      </c>
      <c r="D75" s="55">
        <f>_xll.EQNXTDZ($A$1,$B75,D$1,$B$1)</f>
        <v>11.6</v>
      </c>
      <c r="E75" s="55">
        <f>_xll.EQNXTDZ($A$1,$B75,E$1,$B$1)</f>
        <v>56.76</v>
      </c>
      <c r="F75" s="55">
        <f>_xll.EQNXTDZ($A$1,$B75,F$1,$B$1)</f>
        <v>45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10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50.35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592.08000000000004</v>
      </c>
      <c r="S75" s="55">
        <f>_xll.EQNXTDZ($A$1,$B75,S$1,$B$1)</f>
        <v>679.62</v>
      </c>
      <c r="T75" s="55">
        <f>_xll.EQNXTDZ($A$1,$B75,T$1,$B$1)</f>
        <v>377.79</v>
      </c>
      <c r="U75" s="55">
        <f>_xll.EQNXTDZ($A$1,$B75,U$1,$B$1)</f>
        <v>608.63</v>
      </c>
      <c r="V75" s="55">
        <f>_xll.EQNXTDZ($A$1,$B75,V$1,$B$1)</f>
        <v>0</v>
      </c>
      <c r="W75" s="55">
        <f>_xll.EQNXTDZ($A$1,$B75,W$1,$B$1)</f>
        <v>70.23</v>
      </c>
      <c r="X75" s="55">
        <f>_xll.EQNXTDZ($A$1,$B75,X$1,$B$1)</f>
        <v>100.5</v>
      </c>
      <c r="Y75" s="55">
        <f>_xll.EQNXTDZ($A$1,$B75,Y$1,$B$1)</f>
        <v>66.41</v>
      </c>
      <c r="Z75" s="55">
        <f>_xll.EQNXTDZ($A$1,$B75,Z$1,$B$1)</f>
        <v>34.35</v>
      </c>
      <c r="AA75" s="55">
        <f>_xll.EQNXTDZ($A$1,$B75,AA$1,$B$1)</f>
        <v>57.98</v>
      </c>
      <c r="AB75" s="55">
        <f>_xll.EQNXTDZ($A$1,$B75,AB$1,$B$1)</f>
        <v>23.13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2.2200000000000002</v>
      </c>
      <c r="J76" s="55">
        <f>_xll.EQNXTDZ($A$1,$B76,J$1,$B$1)</f>
        <v>2.2200000000000002</v>
      </c>
      <c r="K76" s="55">
        <f>_xll.EQNXTDZ($A$1,$B76,K$1,$B$1)</f>
        <v>2.0099999999999998</v>
      </c>
      <c r="L76" s="55">
        <f>_xll.EQNXTDZ($A$1,$B76,L$1,$B$1)</f>
        <v>6.4</v>
      </c>
      <c r="M76" s="55">
        <f>_xll.EQNXTDZ($A$1,$B76,M$1,$B$1)</f>
        <v>3.78</v>
      </c>
      <c r="N76" s="55">
        <f>_xll.EQNXTDZ($A$1,$B76,N$1,$B$1)</f>
        <v>3.81</v>
      </c>
      <c r="O76" s="55">
        <f>_xll.EQNXTDZ($A$1,$B76,O$1,$B$1)</f>
        <v>3.19</v>
      </c>
      <c r="P76" s="55">
        <f>_xll.EQNXTDZ($A$1,$B76,P$1,$B$1)</f>
        <v>4.4400000000000004</v>
      </c>
      <c r="Q76" s="55">
        <f>_xll.EQNXTDZ($A$1,$B76,Q$1,$B$1)</f>
        <v>12.42</v>
      </c>
      <c r="R76" s="55">
        <f>_xll.EQNXTDZ($A$1,$B76,R$1,$B$1)</f>
        <v>4.68</v>
      </c>
      <c r="S76" s="55">
        <f>_xll.EQNXTDZ($A$1,$B76,S$1,$B$1)</f>
        <v>2.04</v>
      </c>
      <c r="T76" s="55">
        <f>_xll.EQNXTDZ($A$1,$B76,T$1,$B$1)</f>
        <v>0.13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23.816700000000001</v>
      </c>
      <c r="D77" s="55">
        <f>_xll.EQNXTDZ($A$1,$B77,D$1,$B$1)</f>
        <v>34.83</v>
      </c>
      <c r="E77" s="55">
        <f>_xll.EQNXTDZ($A$1,$B77,E$1,$B$1)</f>
        <v>46.41</v>
      </c>
      <c r="F77" s="55">
        <f>_xll.EQNXTDZ($A$1,$B77,F$1,$B$1)</f>
        <v>221.25</v>
      </c>
      <c r="G77" s="55">
        <f>_xll.EQNXTDZ($A$1,$B77,G$1,$B$1)</f>
        <v>142.29</v>
      </c>
      <c r="H77" s="55">
        <f>_xll.EQNXTDZ($A$1,$B77,H$1,$B$1)</f>
        <v>155.80000000000001</v>
      </c>
      <c r="I77" s="55">
        <f>_xll.EQNXTDZ($A$1,$B77,I$1,$B$1)</f>
        <v>170.32</v>
      </c>
      <c r="J77" s="55">
        <f>_xll.EQNXTDZ($A$1,$B77,J$1,$B$1)</f>
        <v>201.48</v>
      </c>
      <c r="K77" s="55">
        <f>_xll.EQNXTDZ($A$1,$B77,K$1,$B$1)</f>
        <v>252.67</v>
      </c>
      <c r="L77" s="55">
        <f>_xll.EQNXTDZ($A$1,$B77,L$1,$B$1)</f>
        <v>292.43</v>
      </c>
      <c r="M77" s="55">
        <f>_xll.EQNXTDZ($A$1,$B77,M$1,$B$1)</f>
        <v>294.98</v>
      </c>
      <c r="N77" s="55">
        <f>_xll.EQNXTDZ($A$1,$B77,N$1,$B$1)</f>
        <v>304.76</v>
      </c>
      <c r="O77" s="55">
        <f>_xll.EQNXTDZ($A$1,$B77,O$1,$B$1)</f>
        <v>291.68</v>
      </c>
      <c r="P77" s="55">
        <f>_xll.EQNXTDZ($A$1,$B77,P$1,$B$1)</f>
        <v>257.68</v>
      </c>
      <c r="Q77" s="55">
        <f>_xll.EQNXTDZ($A$1,$B77,Q$1,$B$1)</f>
        <v>199.95</v>
      </c>
      <c r="R77" s="55">
        <f>_xll.EQNXTDZ($A$1,$B77,R$1,$B$1)</f>
        <v>290.88</v>
      </c>
      <c r="S77" s="55">
        <f>_xll.EQNXTDZ($A$1,$B77,S$1,$B$1)</f>
        <v>226.91</v>
      </c>
      <c r="T77" s="55">
        <f>_xll.EQNXTDZ($A$1,$B77,T$1,$B$1)</f>
        <v>157.88</v>
      </c>
      <c r="U77" s="55">
        <f>_xll.EQNXTDZ($A$1,$B77,U$1,$B$1)</f>
        <v>89.32</v>
      </c>
      <c r="V77" s="55">
        <f>_xll.EQNXTDZ($A$1,$B77,V$1,$B$1)</f>
        <v>121.72</v>
      </c>
      <c r="W77" s="55">
        <f>_xll.EQNXTDZ($A$1,$B77,W$1,$B$1)</f>
        <v>78.22</v>
      </c>
      <c r="X77" s="55">
        <f>_xll.EQNXTDZ($A$1,$B77,X$1,$B$1)</f>
        <v>121.24</v>
      </c>
      <c r="Y77" s="55">
        <f>_xll.EQNXTDZ($A$1,$B77,Y$1,$B$1)</f>
        <v>109.69</v>
      </c>
      <c r="Z77" s="55">
        <f>_xll.EQNXTDZ($A$1,$B77,Z$1,$B$1)</f>
        <v>155.88999999999999</v>
      </c>
      <c r="AA77" s="55">
        <f>_xll.EQNXTDZ($A$1,$B77,AA$1,$B$1)</f>
        <v>144.66</v>
      </c>
      <c r="AB77" s="55">
        <f>_xll.EQNXTDZ($A$1,$B77,AB$1,$B$1)</f>
        <v>95.48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85.211699999999993</v>
      </c>
      <c r="D78" s="55">
        <f>_xll.EQNXTDZ($A$1,$B78,D$1,$B$1)</f>
        <v>89.64</v>
      </c>
      <c r="E78" s="55">
        <f>_xll.EQNXTDZ($A$1,$B78,E$1,$B$1)</f>
        <v>122.46</v>
      </c>
      <c r="F78" s="55">
        <f>_xll.EQNXTDZ($A$1,$B78,F$1,$B$1)</f>
        <v>61.46</v>
      </c>
      <c r="G78" s="55">
        <f>_xll.EQNXTDZ($A$1,$B78,G$1,$B$1)</f>
        <v>82.02</v>
      </c>
      <c r="H78" s="55">
        <f>_xll.EQNXTDZ($A$1,$B78,H$1,$B$1)</f>
        <v>27.39</v>
      </c>
      <c r="I78" s="55">
        <f>_xll.EQNXTDZ($A$1,$B78,I$1,$B$1)</f>
        <v>83.61</v>
      </c>
      <c r="J78" s="55">
        <f>_xll.EQNXTDZ($A$1,$B78,J$1,$B$1)</f>
        <v>34.46</v>
      </c>
      <c r="K78" s="55">
        <f>_xll.EQNXTDZ($A$1,$B78,K$1,$B$1)</f>
        <v>27.49</v>
      </c>
      <c r="L78" s="55">
        <f>_xll.EQNXTDZ($A$1,$B78,L$1,$B$1)</f>
        <v>23.01</v>
      </c>
      <c r="M78" s="55">
        <f>_xll.EQNXTDZ($A$1,$B78,M$1,$B$1)</f>
        <v>74.680000000000007</v>
      </c>
      <c r="N78" s="55">
        <f>_xll.EQNXTDZ($A$1,$B78,N$1,$B$1)</f>
        <v>137.38999999999999</v>
      </c>
      <c r="O78" s="55">
        <f>_xll.EQNXTDZ($A$1,$B78,O$1,$B$1)</f>
        <v>86.46</v>
      </c>
      <c r="P78" s="55">
        <f>_xll.EQNXTDZ($A$1,$B78,P$1,$B$1)</f>
        <v>21.65</v>
      </c>
      <c r="Q78" s="55">
        <f>_xll.EQNXTDZ($A$1,$B78,Q$1,$B$1)</f>
        <v>49.49</v>
      </c>
      <c r="R78" s="55">
        <f>_xll.EQNXTDZ($A$1,$B78,R$1,$B$1)</f>
        <v>66.989999999999995</v>
      </c>
      <c r="S78" s="55">
        <f>_xll.EQNXTDZ($A$1,$B78,S$1,$B$1)</f>
        <v>37.03</v>
      </c>
      <c r="T78" s="55">
        <f>_xll.EQNXTDZ($A$1,$B78,T$1,$B$1)</f>
        <v>39.159999999999997</v>
      </c>
      <c r="U78" s="55">
        <f>_xll.EQNXTDZ($A$1,$B78,U$1,$B$1)</f>
        <v>171.13</v>
      </c>
      <c r="V78" s="55">
        <f>_xll.EQNXTDZ($A$1,$B78,V$1,$B$1)</f>
        <v>84.53</v>
      </c>
      <c r="W78" s="55">
        <f>_xll.EQNXTDZ($A$1,$B78,W$1,$B$1)</f>
        <v>43.29</v>
      </c>
      <c r="X78" s="55">
        <f>_xll.EQNXTDZ($A$1,$B78,X$1,$B$1)</f>
        <v>17.02</v>
      </c>
      <c r="Y78" s="55">
        <f>_xll.EQNXTDZ($A$1,$B78,Y$1,$B$1)</f>
        <v>14.26</v>
      </c>
      <c r="Z78" s="55">
        <f>_xll.EQNXTDZ($A$1,$B78,Z$1,$B$1)</f>
        <v>32.49</v>
      </c>
      <c r="AA78" s="55">
        <f>_xll.EQNXTDZ($A$1,$B78,AA$1,$B$1)</f>
        <v>42.45</v>
      </c>
      <c r="AB78" s="55">
        <f>_xll.EQNXTDZ($A$1,$B78,AB$1,$B$1)</f>
        <v>15.63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8.0299999999999994</v>
      </c>
      <c r="E79" s="55">
        <f>_xll.EQNXTDZ($A$1,$B79,E$1,$B$1)</f>
        <v>10.41</v>
      </c>
      <c r="F79" s="55">
        <f>_xll.EQNXTDZ($A$1,$B79,F$1,$B$1)</f>
        <v>40.22</v>
      </c>
      <c r="G79" s="55">
        <f>_xll.EQNXTDZ($A$1,$B79,G$1,$B$1)</f>
        <v>48.89</v>
      </c>
      <c r="H79" s="55">
        <f>_xll.EQNXTDZ($A$1,$B79,H$1,$B$1)</f>
        <v>51.86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121.36</v>
      </c>
      <c r="O79" s="55">
        <f>_xll.EQNXTDZ($A$1,$B79,O$1,$B$1)</f>
        <v>34.770000000000003</v>
      </c>
      <c r="P79" s="55">
        <f>_xll.EQNXTDZ($A$1,$B79,P$1,$B$1)</f>
        <v>38.22</v>
      </c>
      <c r="Q79" s="55">
        <f>_xll.EQNXTDZ($A$1,$B79,Q$1,$B$1)</f>
        <v>59.98</v>
      </c>
      <c r="R79" s="55">
        <f>_xll.EQNXTDZ($A$1,$B79,R$1,$B$1)</f>
        <v>25.27</v>
      </c>
      <c r="S79" s="55">
        <f>_xll.EQNXTDZ($A$1,$B79,S$1,$B$1)</f>
        <v>20.55</v>
      </c>
      <c r="T79" s="55">
        <f>_xll.EQNXTDZ($A$1,$B79,T$1,$B$1)</f>
        <v>12.35</v>
      </c>
      <c r="U79" s="55">
        <f>_xll.EQNXTDZ($A$1,$B79,U$1,$B$1)</f>
        <v>11.86</v>
      </c>
      <c r="V79" s="55">
        <f>_xll.EQNXTDZ($A$1,$B79,V$1,$B$1)</f>
        <v>21.45</v>
      </c>
      <c r="W79" s="55">
        <f>_xll.EQNXTDZ($A$1,$B79,W$1,$B$1)</f>
        <v>19.84</v>
      </c>
      <c r="X79" s="55">
        <f>_xll.EQNXTDZ($A$1,$B79,X$1,$B$1)</f>
        <v>18.87</v>
      </c>
      <c r="Y79" s="55">
        <f>_xll.EQNXTDZ($A$1,$B79,Y$1,$B$1)</f>
        <v>27.92</v>
      </c>
      <c r="Z79" s="55">
        <f>_xll.EQNXTDZ($A$1,$B79,Z$1,$B$1)</f>
        <v>39.81</v>
      </c>
      <c r="AA79" s="55">
        <f>_xll.EQNXTDZ($A$1,$B79,AA$1,$B$1)</f>
        <v>38.909999999999997</v>
      </c>
      <c r="AB79" s="55">
        <f>_xll.EQNXTDZ($A$1,$B79,AB$1,$B$1)</f>
        <v>26.08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293.15390000000002</v>
      </c>
      <c r="D80" s="55">
        <f>_xll.EQNXTDZ($A$1,$B80,D$1,$B$1)</f>
        <v>45.54</v>
      </c>
      <c r="E80" s="55">
        <f>_xll.EQNXTDZ($A$1,$B80,E$1,$B$1)</f>
        <v>20.079999999999998</v>
      </c>
      <c r="F80" s="55">
        <f>_xll.EQNXTDZ($A$1,$B80,F$1,$B$1)</f>
        <v>48.14</v>
      </c>
      <c r="G80" s="55">
        <f>_xll.EQNXTDZ($A$1,$B80,G$1,$B$1)</f>
        <v>93.4</v>
      </c>
      <c r="H80" s="55">
        <f>_xll.EQNXTDZ($A$1,$B80,H$1,$B$1)</f>
        <v>94.73</v>
      </c>
      <c r="I80" s="55">
        <f>_xll.EQNXTDZ($A$1,$B80,I$1,$B$1)</f>
        <v>171.37</v>
      </c>
      <c r="J80" s="55">
        <f>_xll.EQNXTDZ($A$1,$B80,J$1,$B$1)</f>
        <v>216.99</v>
      </c>
      <c r="K80" s="55">
        <f>_xll.EQNXTDZ($A$1,$B80,K$1,$B$1)</f>
        <v>308.75</v>
      </c>
      <c r="L80" s="55">
        <f>_xll.EQNXTDZ($A$1,$B80,L$1,$B$1)</f>
        <v>331.14</v>
      </c>
      <c r="M80" s="55">
        <f>_xll.EQNXTDZ($A$1,$B80,M$1,$B$1)</f>
        <v>517.46</v>
      </c>
      <c r="N80" s="55">
        <f>_xll.EQNXTDZ($A$1,$B80,N$1,$B$1)</f>
        <v>272.33</v>
      </c>
      <c r="O80" s="55">
        <f>_xll.EQNXTDZ($A$1,$B80,O$1,$B$1)</f>
        <v>323.58999999999997</v>
      </c>
      <c r="P80" s="55">
        <f>_xll.EQNXTDZ($A$1,$B80,P$1,$B$1)</f>
        <v>156.71</v>
      </c>
      <c r="Q80" s="55">
        <f>_xll.EQNXTDZ($A$1,$B80,Q$1,$B$1)</f>
        <v>165.02</v>
      </c>
      <c r="R80" s="55">
        <f>_xll.EQNXTDZ($A$1,$B80,R$1,$B$1)</f>
        <v>67.430000000000007</v>
      </c>
      <c r="S80" s="55">
        <f>_xll.EQNXTDZ($A$1,$B80,S$1,$B$1)</f>
        <v>286.19</v>
      </c>
      <c r="T80" s="55">
        <f>_xll.EQNXTDZ($A$1,$B80,T$1,$B$1)</f>
        <v>216.13</v>
      </c>
      <c r="U80" s="55">
        <f>_xll.EQNXTDZ($A$1,$B80,U$1,$B$1)</f>
        <v>225.89</v>
      </c>
      <c r="V80" s="55">
        <f>_xll.EQNXTDZ($A$1,$B80,V$1,$B$1)</f>
        <v>367.92</v>
      </c>
      <c r="W80" s="55">
        <f>_xll.EQNXTDZ($A$1,$B80,W$1,$B$1)</f>
        <v>276.41000000000003</v>
      </c>
      <c r="X80" s="55">
        <f>_xll.EQNXTDZ($A$1,$B80,X$1,$B$1)</f>
        <v>120.64</v>
      </c>
      <c r="Y80" s="55">
        <f>_xll.EQNXTDZ($A$1,$B80,Y$1,$B$1)</f>
        <v>53.19</v>
      </c>
      <c r="Z80" s="55">
        <f>_xll.EQNXTDZ($A$1,$B80,Z$1,$B$1)</f>
        <v>27.95</v>
      </c>
      <c r="AA80" s="55">
        <f>_xll.EQNXTDZ($A$1,$B80,AA$1,$B$1)</f>
        <v>10.48</v>
      </c>
      <c r="AB80" s="55">
        <f>_xll.EQNXTDZ($A$1,$B80,AB$1,$B$1)</f>
        <v>24.01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1081.1500000000001</v>
      </c>
      <c r="U81" s="55">
        <f>_xll.EQNXTDZ($A$1,$B81,U$1,$B$1)</f>
        <v>2411.0100000000002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419.69900000000001</v>
      </c>
      <c r="D82" s="55">
        <f>_xll.EQNXTDZ($A$1,$B82,D$1,$B$1)</f>
        <v>189.64</v>
      </c>
      <c r="E82" s="55">
        <f>_xll.EQNXTDZ($A$1,$B82,E$1,$B$1)</f>
        <v>256.12</v>
      </c>
      <c r="F82" s="55">
        <f>_xll.EQNXTDZ($A$1,$B82,F$1,$B$1)</f>
        <v>416.07</v>
      </c>
      <c r="G82" s="55">
        <f>_xll.EQNXTDZ($A$1,$B82,G$1,$B$1)</f>
        <v>366.6</v>
      </c>
      <c r="H82" s="55">
        <f>_xll.EQNXTDZ($A$1,$B82,H$1,$B$1)</f>
        <v>329.78</v>
      </c>
      <c r="I82" s="55">
        <f>_xll.EQNXTDZ($A$1,$B82,I$1,$B$1)</f>
        <v>427.52</v>
      </c>
      <c r="J82" s="55">
        <f>_xll.EQNXTDZ($A$1,$B82,J$1,$B$1)</f>
        <v>455.15</v>
      </c>
      <c r="K82" s="55">
        <f>_xll.EQNXTDZ($A$1,$B82,K$1,$B$1)</f>
        <v>600.91999999999996</v>
      </c>
      <c r="L82" s="55">
        <f>_xll.EQNXTDZ($A$1,$B82,L$1,$B$1)</f>
        <v>652.98</v>
      </c>
      <c r="M82" s="55">
        <f>_xll.EQNXTDZ($A$1,$B82,M$1,$B$1)</f>
        <v>890.9</v>
      </c>
      <c r="N82" s="55">
        <f>_xll.EQNXTDZ($A$1,$B82,N$1,$B$1)</f>
        <v>839.65</v>
      </c>
      <c r="O82" s="55">
        <f>_xll.EQNXTDZ($A$1,$B82,O$1,$B$1)</f>
        <v>790.04</v>
      </c>
      <c r="P82" s="55">
        <f>_xll.EQNXTDZ($A$1,$B82,P$1,$B$1)</f>
        <v>478.7</v>
      </c>
      <c r="Q82" s="55">
        <f>_xll.EQNXTDZ($A$1,$B82,Q$1,$B$1)</f>
        <v>486.86</v>
      </c>
      <c r="R82" s="55">
        <f>_xll.EQNXTDZ($A$1,$B82,R$1,$B$1)</f>
        <v>1047.33</v>
      </c>
      <c r="S82" s="55">
        <f>_xll.EQNXTDZ($A$1,$B82,S$1,$B$1)</f>
        <v>1252.3399999999999</v>
      </c>
      <c r="T82" s="55">
        <f>_xll.EQNXTDZ($A$1,$B82,T$1,$B$1)</f>
        <v>803.44</v>
      </c>
      <c r="U82" s="55">
        <f>_xll.EQNXTDZ($A$1,$B82,U$1,$B$1)</f>
        <v>1106.83</v>
      </c>
      <c r="V82" s="55">
        <f>_xll.EQNXTDZ($A$1,$B82,V$1,$B$1)</f>
        <v>595.62</v>
      </c>
      <c r="W82" s="55">
        <f>_xll.EQNXTDZ($A$1,$B82,W$1,$B$1)</f>
        <v>487.99</v>
      </c>
      <c r="X82" s="55">
        <f>_xll.EQNXTDZ($A$1,$B82,X$1,$B$1)</f>
        <v>378.27</v>
      </c>
      <c r="Y82" s="55">
        <f>_xll.EQNXTDZ($A$1,$B82,Y$1,$B$1)</f>
        <v>271.47000000000003</v>
      </c>
      <c r="Z82" s="55">
        <f>_xll.EQNXTDZ($A$1,$B82,Z$1,$B$1)</f>
        <v>290.49</v>
      </c>
      <c r="AA82" s="55">
        <f>_xll.EQNXTDZ($A$1,$B82,AA$1,$B$1)</f>
        <v>294.48</v>
      </c>
      <c r="AB82" s="55">
        <f>_xll.EQNXTDZ($A$1,$B82,AB$1,$B$1)</f>
        <v>184.33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17.890999999999998</v>
      </c>
      <c r="D83" s="55">
        <f>_xll.EQNXTDZ($A$1,$B83,D$1,$B$1)</f>
        <v>11.94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2157.3598000000002</v>
      </c>
      <c r="D84" s="55">
        <f>_xll.EQNXTDZ($A$1,$B84,D$1,$B$1)</f>
        <v>2198.12</v>
      </c>
      <c r="E84" s="55">
        <f>_xll.EQNXTDZ($A$1,$B84,E$1,$B$1)</f>
        <v>2161.9699999999998</v>
      </c>
      <c r="F84" s="55">
        <f>_xll.EQNXTDZ($A$1,$B84,F$1,$B$1)</f>
        <v>2531.1999999999998</v>
      </c>
      <c r="G84" s="55">
        <f>_xll.EQNXTDZ($A$1,$B84,G$1,$B$1)</f>
        <v>2858.98</v>
      </c>
      <c r="H84" s="55">
        <f>_xll.EQNXTDZ($A$1,$B84,H$1,$B$1)</f>
        <v>2766.37</v>
      </c>
      <c r="I84" s="55">
        <f>_xll.EQNXTDZ($A$1,$B84,I$1,$B$1)</f>
        <v>2857.36</v>
      </c>
      <c r="J84" s="55">
        <f>_xll.EQNXTDZ($A$1,$B84,J$1,$B$1)</f>
        <v>3441.28</v>
      </c>
      <c r="K84" s="55">
        <f>_xll.EQNXTDZ($A$1,$B84,K$1,$B$1)</f>
        <v>4026.47</v>
      </c>
      <c r="L84" s="55">
        <f>_xll.EQNXTDZ($A$1,$B84,L$1,$B$1)</f>
        <v>4808.8900000000003</v>
      </c>
      <c r="M84" s="55">
        <f>_xll.EQNXTDZ($A$1,$B84,M$1,$B$1)</f>
        <v>5846.78</v>
      </c>
      <c r="N84" s="55">
        <f>_xll.EQNXTDZ($A$1,$B84,N$1,$B$1)</f>
        <v>6099.04</v>
      </c>
      <c r="O84" s="55">
        <f>_xll.EQNXTDZ($A$1,$B84,O$1,$B$1)</f>
        <v>6111.51</v>
      </c>
      <c r="P84" s="55">
        <f>_xll.EQNXTDZ($A$1,$B84,P$1,$B$1)</f>
        <v>5666.39</v>
      </c>
      <c r="Q84" s="55">
        <f>_xll.EQNXTDZ($A$1,$B84,Q$1,$B$1)</f>
        <v>6043.94</v>
      </c>
      <c r="R84" s="55">
        <f>_xll.EQNXTDZ($A$1,$B84,R$1,$B$1)</f>
        <v>9461.8799999999992</v>
      </c>
      <c r="S84" s="55">
        <f>_xll.EQNXTDZ($A$1,$B84,S$1,$B$1)</f>
        <v>11905.93</v>
      </c>
      <c r="T84" s="55">
        <f>_xll.EQNXTDZ($A$1,$B84,T$1,$B$1)</f>
        <v>3380.16</v>
      </c>
      <c r="U84" s="55">
        <f>_xll.EQNXTDZ($A$1,$B84,U$1,$B$1)</f>
        <v>4530.6000000000004</v>
      </c>
      <c r="V84" s="55">
        <f>_xll.EQNXTDZ($A$1,$B84,V$1,$B$1)</f>
        <v>1714.21</v>
      </c>
      <c r="W84" s="55">
        <f>_xll.EQNXTDZ($A$1,$B84,W$1,$B$1)</f>
        <v>1509.3</v>
      </c>
      <c r="X84" s="55">
        <f>_xll.EQNXTDZ($A$1,$B84,X$1,$B$1)</f>
        <v>1364.53</v>
      </c>
      <c r="Y84" s="55">
        <f>_xll.EQNXTDZ($A$1,$B84,Y$1,$B$1)</f>
        <v>1210.74</v>
      </c>
      <c r="Z84" s="55">
        <f>_xll.EQNXTDZ($A$1,$B84,Z$1,$B$1)</f>
        <v>1306.99</v>
      </c>
      <c r="AA84" s="55">
        <f>_xll.EQNXTDZ($A$1,$B84,AA$1,$B$1)</f>
        <v>1303.79</v>
      </c>
      <c r="AB84" s="55">
        <f>_xll.EQNXTDZ($A$1,$B84,AB$1,$B$1)</f>
        <v>1341.03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331.22089999999997</v>
      </c>
      <c r="D85" s="55">
        <f>_xll.EQNXTDZ($A$1,$B85,D$1,$B$1)</f>
        <v>346.44</v>
      </c>
      <c r="E85" s="55">
        <f>_xll.EQNXTDZ($A$1,$B85,E$1,$B$1)</f>
        <v>143.96</v>
      </c>
      <c r="F85" s="55">
        <f>_xll.EQNXTDZ($A$1,$B85,F$1,$B$1)</f>
        <v>78.48</v>
      </c>
      <c r="G85" s="55">
        <f>_xll.EQNXTDZ($A$1,$B85,G$1,$B$1)</f>
        <v>96.03</v>
      </c>
      <c r="H85" s="55">
        <f>_xll.EQNXTDZ($A$1,$B85,H$1,$B$1)</f>
        <v>206.34</v>
      </c>
      <c r="I85" s="55">
        <f>_xll.EQNXTDZ($A$1,$B85,I$1,$B$1)</f>
        <v>187.27</v>
      </c>
      <c r="J85" s="55">
        <f>_xll.EQNXTDZ($A$1,$B85,J$1,$B$1)</f>
        <v>225.77</v>
      </c>
      <c r="K85" s="55">
        <f>_xll.EQNXTDZ($A$1,$B85,K$1,$B$1)</f>
        <v>517.79</v>
      </c>
      <c r="L85" s="55">
        <f>_xll.EQNXTDZ($A$1,$B85,L$1,$B$1)</f>
        <v>446.72</v>
      </c>
      <c r="M85" s="55">
        <f>_xll.EQNXTDZ($A$1,$B85,M$1,$B$1)</f>
        <v>437.44</v>
      </c>
      <c r="N85" s="55">
        <f>_xll.EQNXTDZ($A$1,$B85,N$1,$B$1)</f>
        <v>675.87</v>
      </c>
      <c r="O85" s="55">
        <f>_xll.EQNXTDZ($A$1,$B85,O$1,$B$1)</f>
        <v>1518.01</v>
      </c>
      <c r="P85" s="55">
        <f>_xll.EQNXTDZ($A$1,$B85,P$1,$B$1)</f>
        <v>1182.8800000000001</v>
      </c>
      <c r="Q85" s="55">
        <f>_xll.EQNXTDZ($A$1,$B85,Q$1,$B$1)</f>
        <v>1230.9000000000001</v>
      </c>
      <c r="R85" s="55">
        <f>_xll.EQNXTDZ($A$1,$B85,R$1,$B$1)</f>
        <v>1326.18</v>
      </c>
      <c r="S85" s="55">
        <f>_xll.EQNXTDZ($A$1,$B85,S$1,$B$1)</f>
        <v>1582.44</v>
      </c>
      <c r="T85" s="55">
        <f>_xll.EQNXTDZ($A$1,$B85,T$1,$B$1)</f>
        <v>1328.59</v>
      </c>
      <c r="U85" s="55">
        <f>_xll.EQNXTDZ($A$1,$B85,U$1,$B$1)</f>
        <v>1487.35</v>
      </c>
      <c r="V85" s="55">
        <f>_xll.EQNXTDZ($A$1,$B85,V$1,$B$1)</f>
        <v>832.67</v>
      </c>
      <c r="W85" s="55">
        <f>_xll.EQNXTDZ($A$1,$B85,W$1,$B$1)</f>
        <v>882.95</v>
      </c>
      <c r="X85" s="55">
        <f>_xll.EQNXTDZ($A$1,$B85,X$1,$B$1)</f>
        <v>891.37</v>
      </c>
      <c r="Y85" s="55">
        <f>_xll.EQNXTDZ($A$1,$B85,Y$1,$B$1)</f>
        <v>892.65</v>
      </c>
      <c r="Z85" s="55">
        <f>_xll.EQNXTDZ($A$1,$B85,Z$1,$B$1)</f>
        <v>813.86</v>
      </c>
      <c r="AA85" s="55">
        <f>_xll.EQNXTDZ($A$1,$B85,AA$1,$B$1)</f>
        <v>809.43</v>
      </c>
      <c r="AB85" s="55">
        <f>_xll.EQNXTDZ($A$1,$B85,AB$1,$B$1)</f>
        <v>802.31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1940.06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148.55000000000001</v>
      </c>
      <c r="O88" s="55">
        <f>_xll.EQNXTDZ($A$1,$B88,O$1,$B$1)</f>
        <v>278.14999999999998</v>
      </c>
      <c r="P88" s="55">
        <f>_xll.EQNXTDZ($A$1,$B88,P$1,$B$1)</f>
        <v>383.73</v>
      </c>
      <c r="Q88" s="55">
        <f>_xll.EQNXTDZ($A$1,$B88,Q$1,$B$1)</f>
        <v>638.96</v>
      </c>
      <c r="R88" s="55">
        <f>_xll.EQNXTDZ($A$1,$B88,R$1,$B$1)</f>
        <v>994.15</v>
      </c>
      <c r="S88" s="55">
        <f>_xll.EQNXTDZ($A$1,$B88,S$1,$B$1)</f>
        <v>1047.94</v>
      </c>
      <c r="T88" s="55">
        <f>_xll.EQNXTDZ($A$1,$B88,T$1,$B$1)</f>
        <v>2409.36</v>
      </c>
      <c r="U88" s="55">
        <f>_xll.EQNXTDZ($A$1,$B88,U$1,$B$1)</f>
        <v>3905.78</v>
      </c>
      <c r="V88" s="55">
        <f>_xll.EQNXTDZ($A$1,$B88,V$1,$B$1)</f>
        <v>6224.79</v>
      </c>
      <c r="W88" s="55">
        <f>_xll.EQNXTDZ($A$1,$B88,W$1,$B$1)</f>
        <v>6442.58</v>
      </c>
      <c r="X88" s="55">
        <f>_xll.EQNXTDZ($A$1,$B88,X$1,$B$1)</f>
        <v>5924.27</v>
      </c>
      <c r="Y88" s="55">
        <f>_xll.EQNXTDZ($A$1,$B88,Y$1,$B$1)</f>
        <v>8293.82</v>
      </c>
      <c r="Z88" s="55">
        <f>_xll.EQNXTDZ($A$1,$B88,Z$1,$B$1)</f>
        <v>3979.42</v>
      </c>
      <c r="AA88" s="55">
        <f>_xll.EQNXTDZ($A$1,$B88,AA$1,$B$1)</f>
        <v>8520.8799999999992</v>
      </c>
      <c r="AB88" s="55">
        <f>_xll.EQNXTDZ($A$1,$B88,AB$1,$B$1)</f>
        <v>5078.54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203.8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331.22089999999997</v>
      </c>
      <c r="D93" s="55">
        <f>_xll.EQNXTDZ($A$1,$B93,D$1,$B$1)</f>
        <v>346.44</v>
      </c>
      <c r="E93" s="55">
        <f>_xll.EQNXTDZ($A$1,$B93,E$1,$B$1)</f>
        <v>143.96</v>
      </c>
      <c r="F93" s="55">
        <f>_xll.EQNXTDZ($A$1,$B93,F$1,$B$1)</f>
        <v>78.48</v>
      </c>
      <c r="G93" s="55">
        <f>_xll.EQNXTDZ($A$1,$B93,G$1,$B$1)</f>
        <v>96.03</v>
      </c>
      <c r="H93" s="55">
        <f>_xll.EQNXTDZ($A$1,$B93,H$1,$B$1)</f>
        <v>206.34</v>
      </c>
      <c r="I93" s="55">
        <f>_xll.EQNXTDZ($A$1,$B93,I$1,$B$1)</f>
        <v>102.61</v>
      </c>
      <c r="J93" s="55">
        <f>_xll.EQNXTDZ($A$1,$B93,J$1,$B$1)</f>
        <v>142.44</v>
      </c>
      <c r="K93" s="55">
        <f>_xll.EQNXTDZ($A$1,$B93,K$1,$B$1)</f>
        <v>517.79</v>
      </c>
      <c r="L93" s="55">
        <f>_xll.EQNXTDZ($A$1,$B93,L$1,$B$1)</f>
        <v>446.72</v>
      </c>
      <c r="M93" s="55">
        <f>_xll.EQNXTDZ($A$1,$B93,M$1,$B$1)</f>
        <v>437.44</v>
      </c>
      <c r="N93" s="55">
        <f>_xll.EQNXTDZ($A$1,$B93,N$1,$B$1)</f>
        <v>382.01</v>
      </c>
      <c r="O93" s="55">
        <f>_xll.EQNXTDZ($A$1,$B93,O$1,$B$1)</f>
        <v>802.75</v>
      </c>
      <c r="P93" s="55">
        <f>_xll.EQNXTDZ($A$1,$B93,P$1,$B$1)</f>
        <v>1131.1099999999999</v>
      </c>
      <c r="Q93" s="55">
        <f>_xll.EQNXTDZ($A$1,$B93,Q$1,$B$1)</f>
        <v>1180.69</v>
      </c>
      <c r="R93" s="55">
        <f>_xll.EQNXTDZ($A$1,$B93,R$1,$B$1)</f>
        <v>1281.95</v>
      </c>
      <c r="S93" s="55">
        <f>_xll.EQNXTDZ($A$1,$B93,S$1,$B$1)</f>
        <v>1552.64</v>
      </c>
      <c r="T93" s="55">
        <f>_xll.EQNXTDZ($A$1,$B93,T$1,$B$1)</f>
        <v>1298.79</v>
      </c>
      <c r="U93" s="55">
        <f>_xll.EQNXTDZ($A$1,$B93,U$1,$B$1)</f>
        <v>1487.35</v>
      </c>
      <c r="V93" s="55">
        <f>_xll.EQNXTDZ($A$1,$B93,V$1,$B$1)</f>
        <v>832.67</v>
      </c>
      <c r="W93" s="55">
        <f>_xll.EQNXTDZ($A$1,$B93,W$1,$B$1)</f>
        <v>882.95</v>
      </c>
      <c r="X93" s="55">
        <f>_xll.EQNXTDZ($A$1,$B93,X$1,$B$1)</f>
        <v>891.37</v>
      </c>
      <c r="Y93" s="55">
        <f>_xll.EQNXTDZ($A$1,$B93,Y$1,$B$1)</f>
        <v>892.65</v>
      </c>
      <c r="Z93" s="55">
        <f>_xll.EQNXTDZ($A$1,$B93,Z$1,$B$1)</f>
        <v>813.86</v>
      </c>
      <c r="AA93" s="55">
        <f>_xll.EQNXTDZ($A$1,$B93,AA$1,$B$1)</f>
        <v>809.43</v>
      </c>
      <c r="AB93" s="55">
        <f>_xll.EQNXTDZ($A$1,$B93,AB$1,$B$1)</f>
        <v>802.31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293.86</v>
      </c>
      <c r="O95" s="55">
        <f>_xll.EQNXTDZ($A$1,$B95,O$1,$B$1)</f>
        <v>675.28</v>
      </c>
      <c r="P95" s="55">
        <f>_xll.EQNXTDZ($A$1,$B95,P$1,$B$1)</f>
        <v>51.77</v>
      </c>
      <c r="Q95" s="55">
        <f>_xll.EQNXTDZ($A$1,$B95,Q$1,$B$1)</f>
        <v>50.21</v>
      </c>
      <c r="R95" s="55">
        <f>_xll.EQNXTDZ($A$1,$B95,R$1,$B$1)</f>
        <v>44.23</v>
      </c>
      <c r="S95" s="55">
        <f>_xll.EQNXTDZ($A$1,$B95,S$1,$B$1)</f>
        <v>29.8</v>
      </c>
      <c r="T95" s="55">
        <f>_xll.EQNXTDZ($A$1,$B95,T$1,$B$1)</f>
        <v>29.8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84.66</v>
      </c>
      <c r="J98" s="55">
        <f>_xll.EQNXTDZ($A$1,$B98,J$1,$B$1)</f>
        <v>83.33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39.979999999999997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1405.3267000000001</v>
      </c>
      <c r="D104" s="55">
        <f>_xll.EQNXTDZ($A$1,$B104,D$1,$B$1)</f>
        <v>1405.33</v>
      </c>
      <c r="E104" s="55">
        <f>_xll.EQNXTDZ($A$1,$B104,E$1,$B$1)</f>
        <v>1405.33</v>
      </c>
      <c r="F104" s="55">
        <f>_xll.EQNXTDZ($A$1,$B104,F$1,$B$1)</f>
        <v>1406.98</v>
      </c>
      <c r="G104" s="55">
        <f>_xll.EQNXTDZ($A$1,$B104,G$1,$B$1)</f>
        <v>1490.97</v>
      </c>
      <c r="H104" s="55">
        <f>_xll.EQNXTDZ($A$1,$B104,H$1,$B$1)</f>
        <v>1520.59</v>
      </c>
      <c r="I104" s="55">
        <f>_xll.EQNXTDZ($A$1,$B104,I$1,$B$1)</f>
        <v>1809.5</v>
      </c>
      <c r="J104" s="55">
        <f>_xll.EQNXTDZ($A$1,$B104,J$1,$B$1)</f>
        <v>1893.56</v>
      </c>
      <c r="K104" s="55">
        <f>_xll.EQNXTDZ($A$1,$B104,K$1,$B$1)</f>
        <v>1897.19</v>
      </c>
      <c r="L104" s="55">
        <f>_xll.EQNXTDZ($A$1,$B104,L$1,$B$1)</f>
        <v>1897.2</v>
      </c>
      <c r="M104" s="55">
        <f>_xll.EQNXTDZ($A$1,$B104,M$1,$B$1)</f>
        <v>1897.2</v>
      </c>
      <c r="N104" s="55">
        <f>_xll.EQNXTDZ($A$1,$B104,N$1,$B$1)</f>
        <v>1897.2</v>
      </c>
      <c r="O104" s="55">
        <f>_xll.EQNXTDZ($A$1,$B104,O$1,$B$1)</f>
        <v>1897.2</v>
      </c>
      <c r="P104" s="55">
        <f>_xll.EQNXTDZ($A$1,$B104,P$1,$B$1)</f>
        <v>1954.93</v>
      </c>
      <c r="Q104" s="55">
        <f>_xll.EQNXTDZ($A$1,$B104,Q$1,$B$1)</f>
        <v>1954.93</v>
      </c>
      <c r="R104" s="55">
        <f>_xll.EQNXTDZ($A$1,$B104,R$1,$B$1)</f>
        <v>1954.93</v>
      </c>
      <c r="S104" s="55">
        <f>_xll.EQNXTDZ($A$1,$B104,S$1,$B$1)</f>
        <v>1954.93</v>
      </c>
      <c r="T104" s="55">
        <f>_xll.EQNXTDZ($A$1,$B104,T$1,$B$1)</f>
        <v>1954.93</v>
      </c>
      <c r="U104" s="55">
        <f>_xll.EQNXTDZ($A$1,$B104,U$1,$B$1)</f>
        <v>1954.93</v>
      </c>
      <c r="V104" s="55">
        <f>_xll.EQNXTDZ($A$1,$B104,V$1,$B$1)</f>
        <v>1954.93</v>
      </c>
      <c r="W104" s="55">
        <f>_xll.EQNXTDZ($A$1,$B104,W$1,$B$1)</f>
        <v>1954.93</v>
      </c>
      <c r="X104" s="55">
        <f>_xll.EQNXTDZ($A$1,$B104,X$1,$B$1)</f>
        <v>1954.93</v>
      </c>
      <c r="Y104" s="55">
        <f>_xll.EQNXTDZ($A$1,$B104,Y$1,$B$1)</f>
        <v>1954.93</v>
      </c>
      <c r="Z104" s="55">
        <f>_xll.EQNXTDZ($A$1,$B104,Z$1,$B$1)</f>
        <v>1954.93</v>
      </c>
      <c r="AA104" s="55">
        <f>_xll.EQNXTDZ($A$1,$B104,AA$1,$B$1)</f>
        <v>1954.93</v>
      </c>
      <c r="AB104" s="55">
        <f>_xll.EQNXTDZ($A$1,$B104,AB$1,$B$1)</f>
        <v>1954.93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8.1075585828292596</v>
      </c>
      <c r="D106" s="55">
        <f>_xll.EQNXTDZ($A$1,$B106,D$1,$B$1)</f>
        <v>6.67681295056527</v>
      </c>
      <c r="E106" s="55">
        <f>_xll.EQNXTDZ($A$1,$B106,E$1,$B$1)</f>
        <v>4.1491623335655596</v>
      </c>
      <c r="F106" s="55">
        <f>_xll.EQNXTDZ($A$1,$B106,F$1,$B$1)</f>
        <v>15.4520528284511</v>
      </c>
      <c r="G106" s="55">
        <f>_xll.EQNXTDZ($A$1,$B106,G$1,$B$1)</f>
        <v>24.2749842274123</v>
      </c>
      <c r="H106" s="55">
        <f>_xll.EQNXTDZ($A$1,$B106,H$1,$B$1)</f>
        <v>22.653472510846498</v>
      </c>
      <c r="I106" s="55">
        <f>_xll.EQNXTDZ($A$1,$B106,I$1,$B$1)</f>
        <v>20.4854368932039</v>
      </c>
      <c r="J106" s="55">
        <f>_xll.EQNXTDZ($A$1,$B106,J$1,$B$1)</f>
        <v>27.2815533980583</v>
      </c>
      <c r="K106" s="55">
        <f>_xll.EQNXTDZ($A$1,$B106,K$1,$B$1)</f>
        <v>22.135922330097099</v>
      </c>
      <c r="L106" s="55">
        <f>_xll.EQNXTDZ($A$1,$B106,L$1,$B$1)</f>
        <v>22.961165048543702</v>
      </c>
      <c r="M106" s="55">
        <f>_xll.EQNXTDZ($A$1,$B106,M$1,$B$1)</f>
        <v>16.601941747572798</v>
      </c>
      <c r="N106" s="55">
        <f>_xll.EQNXTDZ($A$1,$B106,N$1,$B$1)</f>
        <v>14.2718446601942</v>
      </c>
      <c r="O106" s="55">
        <f>_xll.EQNXTDZ($A$1,$B106,O$1,$B$1)</f>
        <v>7.6699029126213603</v>
      </c>
      <c r="P106" s="55">
        <f>_xll.EQNXTDZ($A$1,$B106,P$1,$B$1)</f>
        <v>7.41</v>
      </c>
      <c r="Q106" s="55">
        <f>_xll.EQNXTDZ($A$1,$B106,Q$1,$B$1)</f>
        <v>7.9</v>
      </c>
      <c r="R106" s="55">
        <f>_xll.EQNXTDZ($A$1,$B106,R$1,$B$1)</f>
        <v>6.63</v>
      </c>
      <c r="S106" s="55">
        <f>_xll.EQNXTDZ($A$1,$B106,S$1,$B$1)</f>
        <v>7.2</v>
      </c>
      <c r="T106" s="55">
        <f>_xll.EQNXTDZ($A$1,$B106,T$1,$B$1)</f>
        <v>5.51</v>
      </c>
      <c r="U106" s="55">
        <f>_xll.EQNXTDZ($A$1,$B106,U$1,$B$1)</f>
        <v>3.07</v>
      </c>
      <c r="V106" s="55">
        <f>_xll.EQNXTDZ($A$1,$B106,V$1,$B$1)</f>
        <v>1.8</v>
      </c>
      <c r="W106" s="55">
        <f>_xll.EQNXTDZ($A$1,$B106,W$1,$B$1)</f>
        <v>14.1</v>
      </c>
      <c r="X106" s="55">
        <f>_xll.EQNXTDZ($A$1,$B106,X$1,$B$1)</f>
        <v>166.85</v>
      </c>
      <c r="Y106" s="55">
        <f>_xll.EQNXTDZ($A$1,$B106,Y$1,$B$1)</f>
        <v>55.49</v>
      </c>
      <c r="Z106" s="55">
        <f>_xll.EQNXTDZ($A$1,$B106,Z$1,$B$1)</f>
        <v>73.959999999999994</v>
      </c>
      <c r="AA106" s="55">
        <f>_xll.EQNXTDZ($A$1,$B106,AA$1,$B$1)</f>
        <v>56.33</v>
      </c>
      <c r="AB106" s="55">
        <f>_xll.EQNXTDZ($A$1,$B106,AB$1,$B$1)</f>
        <v>31.29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11.636731142413799</v>
      </c>
      <c r="D107" s="55">
        <f>_xll.EQNXTDZ($A$1,$B107,D$1,$B$1)</f>
        <v>11.4936565791874</v>
      </c>
      <c r="E107" s="55">
        <f>_xll.EQNXTDZ($A$1,$B107,E$1,$B$1)</f>
        <v>8.3460161882065904</v>
      </c>
      <c r="F107" s="55">
        <f>_xll.EQNXTDZ($A$1,$B107,F$1,$B$1)</f>
        <v>23.511919890204801</v>
      </c>
      <c r="G107" s="55">
        <f>_xll.EQNXTDZ($A$1,$B107,G$1,$B$1)</f>
        <v>35.5778747222978</v>
      </c>
      <c r="H107" s="55">
        <f>_xll.EQNXTDZ($A$1,$B107,H$1,$B$1)</f>
        <v>32.096393683788797</v>
      </c>
      <c r="I107" s="55">
        <f>_xll.EQNXTDZ($A$1,$B107,I$1,$B$1)</f>
        <v>27.378640776699001</v>
      </c>
      <c r="J107" s="55">
        <f>_xll.EQNXTDZ($A$1,$B107,J$1,$B$1)</f>
        <v>63.106796116504903</v>
      </c>
      <c r="K107" s="55">
        <f>_xll.EQNXTDZ($A$1,$B107,K$1,$B$1)</f>
        <v>37.135922330097102</v>
      </c>
      <c r="L107" s="55">
        <f>_xll.EQNXTDZ($A$1,$B107,L$1,$B$1)</f>
        <v>40.582524271844697</v>
      </c>
      <c r="M107" s="55">
        <f>_xll.EQNXTDZ($A$1,$B107,M$1,$B$1)</f>
        <v>24.902912621359199</v>
      </c>
      <c r="N107" s="55">
        <f>_xll.EQNXTDZ($A$1,$B107,N$1,$B$1)</f>
        <v>22.815533980582501</v>
      </c>
      <c r="O107" s="55">
        <f>_xll.EQNXTDZ($A$1,$B107,O$1,$B$1)</f>
        <v>14.5631067961165</v>
      </c>
      <c r="P107" s="55">
        <f>_xll.EQNXTDZ($A$1,$B107,P$1,$B$1)</f>
        <v>10.2718446601942</v>
      </c>
      <c r="Q107" s="55">
        <f>_xll.EQNXTDZ($A$1,$B107,Q$1,$B$1)</f>
        <v>14.05</v>
      </c>
      <c r="R107" s="55">
        <f>_xll.EQNXTDZ($A$1,$B107,R$1,$B$1)</f>
        <v>9.4</v>
      </c>
      <c r="S107" s="55">
        <f>_xll.EQNXTDZ($A$1,$B107,S$1,$B$1)</f>
        <v>10.48</v>
      </c>
      <c r="T107" s="55">
        <f>_xll.EQNXTDZ($A$1,$B107,T$1,$B$1)</f>
        <v>10.99</v>
      </c>
      <c r="U107" s="55">
        <f>_xll.EQNXTDZ($A$1,$B107,U$1,$B$1)</f>
        <v>6.69</v>
      </c>
      <c r="V107" s="55">
        <f>_xll.EQNXTDZ($A$1,$B107,V$1,$B$1)</f>
        <v>5.27</v>
      </c>
      <c r="W107" s="55">
        <f>_xll.EQNXTDZ($A$1,$B107,W$1,$B$1)</f>
        <v>23.2</v>
      </c>
      <c r="X107" s="55">
        <f>_xll.EQNXTDZ($A$1,$B107,X$1,$B$1)</f>
        <v>291.05</v>
      </c>
      <c r="Y107" s="55">
        <f>_xll.EQNXTDZ($A$1,$B107,Y$1,$B$1)</f>
        <v>210</v>
      </c>
      <c r="Z107" s="55">
        <f>_xll.EQNXTDZ($A$1,$B107,Z$1,$B$1)</f>
        <v>109.1</v>
      </c>
      <c r="AA107" s="55">
        <f>_xll.EQNXTDZ($A$1,$B107,AA$1,$B$1)</f>
        <v>111.48</v>
      </c>
      <c r="AB107" s="55">
        <f>_xll.EQNXTDZ($A$1,$B107,AB$1,$B$1)</f>
        <v>81.16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7.1537281613199299</v>
      </c>
      <c r="D108" s="55">
        <f>_xll.EQNXTDZ($A$1,$B108,D$1,$B$1)</f>
        <v>6.5337383873388699</v>
      </c>
      <c r="E108" s="55">
        <f>_xll.EQNXTDZ($A$1,$B108,E$1,$B$1)</f>
        <v>4.0060877703391604</v>
      </c>
      <c r="F108" s="55">
        <f>_xll.EQNXTDZ($A$1,$B108,F$1,$B$1)</f>
        <v>4.1491623335655596</v>
      </c>
      <c r="G108" s="55">
        <f>_xll.EQNXTDZ($A$1,$B108,G$1,$B$1)</f>
        <v>15.595127391677501</v>
      </c>
      <c r="H108" s="55">
        <f>_xll.EQNXTDZ($A$1,$B108,H$1,$B$1)</f>
        <v>21.175035357506999</v>
      </c>
      <c r="I108" s="55">
        <f>_xll.EQNXTDZ($A$1,$B108,I$1,$B$1)</f>
        <v>14.7366800123191</v>
      </c>
      <c r="J108" s="55">
        <f>_xll.EQNXTDZ($A$1,$B108,J$1,$B$1)</f>
        <v>19.4660194174757</v>
      </c>
      <c r="K108" s="55">
        <f>_xll.EQNXTDZ($A$1,$B108,K$1,$B$1)</f>
        <v>12.135922330097101</v>
      </c>
      <c r="L108" s="55">
        <f>_xll.EQNXTDZ($A$1,$B108,L$1,$B$1)</f>
        <v>21.941747572815501</v>
      </c>
      <c r="M108" s="55">
        <f>_xll.EQNXTDZ($A$1,$B108,M$1,$B$1)</f>
        <v>13.495145631068</v>
      </c>
      <c r="N108" s="55">
        <f>_xll.EQNXTDZ($A$1,$B108,N$1,$B$1)</f>
        <v>11.252427184466001</v>
      </c>
      <c r="O108" s="55">
        <f>_xll.EQNXTDZ($A$1,$B108,O$1,$B$1)</f>
        <v>7.1844660194174796</v>
      </c>
      <c r="P108" s="55">
        <f>_xll.EQNXTDZ($A$1,$B108,P$1,$B$1)</f>
        <v>4.8349514563106801</v>
      </c>
      <c r="Q108" s="55">
        <f>_xll.EQNXTDZ($A$1,$B108,Q$1,$B$1)</f>
        <v>7.01</v>
      </c>
      <c r="R108" s="55">
        <f>_xll.EQNXTDZ($A$1,$B108,R$1,$B$1)</f>
        <v>5.62</v>
      </c>
      <c r="S108" s="55">
        <f>_xll.EQNXTDZ($A$1,$B108,S$1,$B$1)</f>
        <v>5.42</v>
      </c>
      <c r="T108" s="55">
        <f>_xll.EQNXTDZ($A$1,$B108,T$1,$B$1)</f>
        <v>3.75</v>
      </c>
      <c r="U108" s="55">
        <f>_xll.EQNXTDZ($A$1,$B108,U$1,$B$1)</f>
        <v>2.71</v>
      </c>
      <c r="V108" s="55">
        <f>_xll.EQNXTDZ($A$1,$B108,V$1,$B$1)</f>
        <v>1.8</v>
      </c>
      <c r="W108" s="55">
        <f>_xll.EQNXTDZ($A$1,$B108,W$1,$B$1)</f>
        <v>1.8</v>
      </c>
      <c r="X108" s="55">
        <f>_xll.EQNXTDZ($A$1,$B108,X$1,$B$1)</f>
        <v>10.55</v>
      </c>
      <c r="Y108" s="55">
        <f>_xll.EQNXTDZ($A$1,$B108,Y$1,$B$1)</f>
        <v>49.8</v>
      </c>
      <c r="Z108" s="55">
        <f>_xll.EQNXTDZ($A$1,$B108,Z$1,$B$1)</f>
        <v>53.54</v>
      </c>
      <c r="AA108" s="55">
        <f>_xll.EQNXTDZ($A$1,$B108,AA$1,$B$1)</f>
        <v>54.01</v>
      </c>
      <c r="AB108" s="55">
        <f>_xll.EQNXTDZ($A$1,$B108,AB$1,$B$1)</f>
        <v>30.12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1194.527695</v>
      </c>
      <c r="D109" s="55">
        <f>_xll.EQNXTDZ($A$1,$B109,D$1,$B$1)</f>
        <v>983.73099999999999</v>
      </c>
      <c r="E109" s="55">
        <f>_xll.EQNXTDZ($A$1,$B109,E$1,$B$1)</f>
        <v>611.31854999999996</v>
      </c>
      <c r="F109" s="55">
        <f>_xll.EQNXTDZ($A$1,$B109,F$1,$B$1)</f>
        <v>2279.3076000000001</v>
      </c>
      <c r="G109" s="55">
        <f>_xll.EQNXTDZ($A$1,$B109,G$1,$B$1)</f>
        <v>3794.51865</v>
      </c>
      <c r="H109" s="55">
        <f>_xll.EQNXTDZ($A$1,$B109,H$1,$B$1)</f>
        <v>3611.4012499999999</v>
      </c>
      <c r="I109" s="55">
        <f>_xll.EQNXTDZ($A$1,$B109,I$1,$B$1)</f>
        <v>3818.0450000000001</v>
      </c>
      <c r="J109" s="55">
        <f>_xll.EQNXTDZ($A$1,$B109,J$1,$B$1)</f>
        <v>5320.9035999999996</v>
      </c>
      <c r="K109" s="55">
        <f>_xll.EQNXTDZ($A$1,$B109,K$1,$B$1)</f>
        <v>4325.5932000000003</v>
      </c>
      <c r="L109" s="55">
        <f>_xll.EQNXTDZ($A$1,$B109,L$1,$B$1)</f>
        <v>4486.8779999999997</v>
      </c>
      <c r="M109" s="55">
        <f>_xll.EQNXTDZ($A$1,$B109,M$1,$B$1)</f>
        <v>3244.212</v>
      </c>
      <c r="N109" s="55">
        <f>_xll.EQNXTDZ($A$1,$B109,N$1,$B$1)</f>
        <v>2788.884</v>
      </c>
      <c r="O109" s="55">
        <f>_xll.EQNXTDZ($A$1,$B109,O$1,$B$1)</f>
        <v>1498.788</v>
      </c>
      <c r="P109" s="55">
        <f>_xll.EQNXTDZ($A$1,$B109,P$1,$B$1)</f>
        <v>1448.60313</v>
      </c>
      <c r="Q109" s="55">
        <f>_xll.EQNXTDZ($A$1,$B109,Q$1,$B$1)</f>
        <v>1544.3947000000001</v>
      </c>
      <c r="R109" s="55">
        <f>_xll.EQNXTDZ($A$1,$B109,R$1,$B$1)</f>
        <v>1296.11859</v>
      </c>
      <c r="S109" s="55">
        <f>_xll.EQNXTDZ($A$1,$B109,S$1,$B$1)</f>
        <v>1407.5496000000001</v>
      </c>
      <c r="T109" s="55">
        <f>_xll.EQNXTDZ($A$1,$B109,T$1,$B$1)</f>
        <v>1077.16643</v>
      </c>
      <c r="U109" s="55">
        <f>_xll.EQNXTDZ($A$1,$B109,U$1,$B$1)</f>
        <v>600.16350999999997</v>
      </c>
      <c r="V109" s="55">
        <f>_xll.EQNXTDZ($A$1,$B109,V$1,$B$1)</f>
        <v>351.88740000000001</v>
      </c>
      <c r="W109" s="55">
        <f>_xll.EQNXTDZ($A$1,$B109,W$1,$B$1)</f>
        <v>2756.4513000000002</v>
      </c>
      <c r="X109" s="55">
        <f>_xll.EQNXTDZ($A$1,$B109,X$1,$B$1)</f>
        <v>32618.00705</v>
      </c>
      <c r="Y109" s="55">
        <f>_xll.EQNXTDZ($A$1,$B109,Y$1,$B$1)</f>
        <v>10847.906569999999</v>
      </c>
      <c r="Z109" s="55">
        <f>_xll.EQNXTDZ($A$1,$B109,Z$1,$B$1)</f>
        <v>14458.66228</v>
      </c>
      <c r="AA109" s="55">
        <f>_xll.EQNXTDZ($A$1,$B109,AA$1,$B$1)</f>
        <v>11012.12069</v>
      </c>
      <c r="AB109" s="55">
        <f>_xll.EQNXTDZ($A$1,$B109,AB$1,$B$1)</f>
        <v>6116.9759700000004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55.57</v>
      </c>
      <c r="D112" s="56">
        <f>_xll.EQNXTDZ($A$1,$B112,D$5)</f>
        <v>55.57</v>
      </c>
      <c r="E112" s="56">
        <f>_xll.EQNXTDZ($A$1,$B112,E$5)</f>
        <v>70.83</v>
      </c>
      <c r="F112" s="56">
        <f>_xll.EQNXTDZ($A$1,$B112,F$5)</f>
        <v>70.75</v>
      </c>
      <c r="G112" s="56">
        <f>_xll.EQNXTDZ($A$1,$B112,G$5)</f>
        <v>66.8</v>
      </c>
      <c r="H112" s="56">
        <f>_xll.EQNXTDZ($A$1,$B112,H$5)</f>
        <v>65.5</v>
      </c>
      <c r="I112" s="56">
        <f>_xll.EQNXTDZ($A$1,$B112,I$5)</f>
        <v>68.819999999999993</v>
      </c>
      <c r="J112" s="56">
        <f>_xll.EQNXTDZ($A$1,$B112,J$5)</f>
        <v>65.77</v>
      </c>
      <c r="K112" s="56">
        <f>_xll.EQNXTDZ($A$1,$B112,K$5)</f>
        <v>65.64</v>
      </c>
      <c r="L112" s="56">
        <f>_xll.EQNXTDZ($A$1,$B112,L$5)</f>
        <v>77.72</v>
      </c>
      <c r="M112" s="56">
        <f>_xll.EQNXTDZ($A$1,$B112,M$5)</f>
        <v>77.72</v>
      </c>
      <c r="N112" s="56">
        <f>_xll.EQNXTDZ($A$1,$B112,N$5)</f>
        <v>77.72</v>
      </c>
      <c r="O112" s="56">
        <f>_xll.EQNXTDZ($A$1,$B112,O$5)</f>
        <v>77.72</v>
      </c>
      <c r="P112" s="56">
        <f>_xll.EQNXTDZ($A$1,$B112,P$5)</f>
        <v>74.900000000000006</v>
      </c>
      <c r="Q112" s="56">
        <f>_xll.EQNXTDZ($A$1,$B112,Q$5)</f>
        <v>74.900000000000006</v>
      </c>
      <c r="R112" s="56">
        <f>_xll.EQNXTDZ($A$1,$B112,R$5)</f>
        <v>74.900000000000006</v>
      </c>
      <c r="S112" s="56">
        <f>_xll.EQNXTDZ($A$1,$B112,S$5)</f>
        <v>74.86</v>
      </c>
      <c r="T112" s="56">
        <f>_xll.EQNXTDZ($A$1,$B112,T$5)</f>
        <v>74.36</v>
      </c>
      <c r="U112" s="56">
        <f>_xll.EQNXTDZ($A$1,$B112,U$5)</f>
        <v>74.36</v>
      </c>
      <c r="V112" s="56">
        <f>_xll.EQNXTDZ($A$1,$B112,V$5)</f>
        <v>74.36</v>
      </c>
      <c r="W112" s="56">
        <f>_xll.EQNXTDZ($A$1,$B112,W$5)</f>
        <v>74.36</v>
      </c>
      <c r="X112" s="56">
        <f>_xll.EQNXTDZ($A$1,$B112,X$5)</f>
        <v>74.36</v>
      </c>
      <c r="Y112" s="56">
        <f>_xll.EQNXTDZ($A$1,$B112,Y$5)</f>
        <v>74.36</v>
      </c>
      <c r="Z112" s="56">
        <f>_xll.EQNXTDZ($A$1,$B112,Z$5)</f>
        <v>74.36</v>
      </c>
      <c r="AA112" s="56">
        <f>_xll.EQNXTDZ($A$1,$B112,AA$5)</f>
        <v>74.36</v>
      </c>
      <c r="AB112" s="56">
        <f>_xll.EQNXTDZ($A$1,$B112,AB$5)</f>
        <v>74.36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75.709999999999994</v>
      </c>
      <c r="L113" s="56">
        <f>_xll.EQNXTDZ($A$1,$B113,L$5)</f>
        <v>33.450000000000003</v>
      </c>
      <c r="M113" s="56">
        <f>_xll.EQNXTDZ($A$1,$B113,M$5)</f>
        <v>33.450000000000003</v>
      </c>
      <c r="N113" s="56">
        <f>_xll.EQNXTDZ($A$1,$B113,N$5)</f>
        <v>33.450000000000003</v>
      </c>
      <c r="O113" s="56">
        <f>_xll.EQNXTDZ($A$1,$B113,O$5)</f>
        <v>33.450000000000003</v>
      </c>
      <c r="P113" s="56">
        <f>_xll.EQNXTDZ($A$1,$B113,P$5)</f>
        <v>34.71</v>
      </c>
      <c r="Q113" s="56">
        <f>_xll.EQNXTDZ($A$1,$B113,Q$5)</f>
        <v>34.71</v>
      </c>
      <c r="R113" s="56">
        <f>_xll.EQNXTDZ($A$1,$B113,R$5)</f>
        <v>34.71</v>
      </c>
      <c r="S113" s="56">
        <f>_xll.EQNXTDZ($A$1,$B113,S$5)</f>
        <v>34.729999999999997</v>
      </c>
      <c r="T113" s="56">
        <f>_xll.EQNXTDZ($A$1,$B113,T$5)</f>
        <v>34.97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132371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12.621359223301001</v>
      </c>
      <c r="D6" cm="1">
        <f t="array" ref="D6">_xll.EQNXTDZ($A$1,$B6,D$1)</f>
        <v>13.8834951456311</v>
      </c>
      <c r="E6" cm="1">
        <f t="array" ref="E6">_xll.EQNXTDZ($A$1,$B6,E$1)</f>
        <v>12.5728155339806</v>
      </c>
      <c r="F6" cm="1">
        <f t="array" ref="F6">_xll.EQNXTDZ($A$1,$B6,F$1)</f>
        <v>10.3883495145631</v>
      </c>
      <c r="G6" cm="1">
        <f t="array" ref="G6">_xll.EQNXTDZ($A$1,$B6,G$1)</f>
        <v>11.504854368932</v>
      </c>
      <c r="H6" cm="1">
        <f t="array" ref="H6">_xll.EQNXTDZ($A$1,$B6,H$1)</f>
        <v>10.6796116504854</v>
      </c>
      <c r="I6" cm="1">
        <f t="array" ref="I6">_xll.EQNXTDZ($A$1,$B6,I$1)</f>
        <v>12.0873786407767</v>
      </c>
      <c r="J6" cm="1">
        <f t="array" ref="J6">_xll.EQNXTDZ($A$1,$B6,J$1)</f>
        <v>11.6504854368932</v>
      </c>
      <c r="K6" cm="1">
        <f t="array" ref="K6">_xll.EQNXTDZ($A$1,$B6,K$1)</f>
        <v>11.4563106796117</v>
      </c>
      <c r="L6" cm="1">
        <f t="array" ref="L6">_xll.EQNXTDZ($A$1,$B6,L$1)</f>
        <v>9.6601941747572795</v>
      </c>
      <c r="M6" cm="1">
        <f t="array" ref="M6">_xll.EQNXTDZ($A$1,$B6,M$1)</f>
        <v>7.7669902912621396</v>
      </c>
      <c r="N6" cm="1">
        <f t="array" ref="N6">_xll.EQNXTDZ($A$1,$B6,N$1)</f>
        <v>8.44660194174757</v>
      </c>
      <c r="O6" cm="1">
        <f t="array" ref="O6">_xll.EQNXTDZ($A$1,$B6,O$1)</f>
        <v>7.3786407766990303</v>
      </c>
      <c r="P6" cm="1">
        <f t="array" ref="P6">_xll.EQNXTDZ($A$1,$B6,P$1)</f>
        <v>6.3106796116504897</v>
      </c>
      <c r="Q6" cm="1">
        <f t="array" ref="Q6">_xll.EQNXTDZ($A$1,$B6,Q$1)</f>
        <v>6.5048543689320404</v>
      </c>
      <c r="R6" cm="1">
        <f t="array" ref="R6">_xll.EQNXTDZ($A$1,$B6,R$1)</f>
        <v>5.95</v>
      </c>
      <c r="S6" cm="1">
        <f t="array" ref="S6">_xll.EQNXTDZ($A$1,$B6,S$1)</f>
        <v>6.85</v>
      </c>
      <c r="T6" cm="1">
        <f t="array" ref="T6">_xll.EQNXTDZ($A$1,$B6,T$1)</f>
        <v>7.05</v>
      </c>
      <c r="U6" cm="1">
        <f t="array" ref="U6">_xll.EQNXTDZ($A$1,$B6,U$1)</f>
        <v>6.8</v>
      </c>
      <c r="V6" cm="1">
        <f t="array" ref="V6">_xll.EQNXTDZ($A$1,$B6,V$1)</f>
        <v>7.55</v>
      </c>
      <c r="W6" cm="1">
        <f t="array" ref="W6">_xll.EQNXTDZ($A$1,$B6,W$1)</f>
        <v>7.2</v>
      </c>
      <c r="X6" cm="1">
        <f t="array" ref="X6">_xll.EQNXTDZ($A$1,$B6,X$1)</f>
        <v>7.35</v>
      </c>
      <c r="Y6" cm="1">
        <f t="array" ref="Y6">_xll.EQNXTDZ($A$1,$B6,Y$1)</f>
        <v>7.4</v>
      </c>
      <c r="Z6" cm="1">
        <f t="array" ref="Z6">_xll.EQNXTDZ($A$1,$B6,Z$1)</f>
        <v>8.9499999999999993</v>
      </c>
      <c r="AA6" cm="1">
        <f t="array" ref="AA6">_xll.EQNXTDZ($A$1,$B6,AA$1)</f>
        <v>11.2</v>
      </c>
      <c r="AB6" cm="1">
        <f t="array" ref="AB6">_xll.EQNXTDZ($A$1,$B6,AB$1)</f>
        <v>11.9</v>
      </c>
      <c r="AC6" cm="1">
        <f t="array" ref="AC6">_xll.EQNXTDZ($A$1,$B6,AC$1)</f>
        <v>11.6</v>
      </c>
      <c r="AD6" cm="1">
        <f t="array" ref="AD6">_xll.EQNXTDZ($A$1,$B6,AD$1)</f>
        <v>11.1</v>
      </c>
      <c r="AE6" cm="1">
        <f t="array" ref="AE6">_xll.EQNXTDZ($A$1,$B6,AE$1)</f>
        <v>10.050000000000001</v>
      </c>
      <c r="AF6" cm="1">
        <f t="array" ref="AF6">_xll.EQNXTDZ($A$1,$B6,AF$1)</f>
        <v>9.4</v>
      </c>
      <c r="AG6" cm="1">
        <f t="array" ref="AG6">_xll.EQNXTDZ($A$1,$B6,AG$1)</f>
        <v>8.6999999999999993</v>
      </c>
      <c r="AH6" cm="1">
        <f t="array" ref="AH6">_xll.EQNXTDZ($A$1,$B6,AH$1)</f>
        <v>7.6</v>
      </c>
      <c r="AI6" cm="1">
        <f t="array" ref="AI6">_xll.EQNXTDZ($A$1,$B6,AI$1)</f>
        <v>9.1999999999999993</v>
      </c>
      <c r="AJ6" cm="1">
        <f t="array" ref="AJ6">_xll.EQNXTDZ($A$1,$B6,AJ$1)</f>
        <v>8.8000000000000007</v>
      </c>
      <c r="AK6" cm="1">
        <f t="array" ref="AK6">_xll.EQNXTDZ($A$1,$B6,AK$1)</f>
        <v>8</v>
      </c>
      <c r="AL6" cm="1">
        <f t="array" ref="AL6">_xll.EQNXTDZ($A$1,$B6,AL$1)</f>
        <v>7.6</v>
      </c>
      <c r="AM6" cm="1">
        <f t="array" ref="AM6">_xll.EQNXTDZ($A$1,$B6,AM$1)</f>
        <v>7.1</v>
      </c>
      <c r="AN6" cm="1">
        <f t="array" ref="AN6">_xll.EQNXTDZ($A$1,$B6,AN$1)</f>
        <v>6.65</v>
      </c>
      <c r="AO6" cm="1">
        <f t="array" ref="AO6">_xll.EQNXTDZ($A$1,$B6,AO$1)</f>
        <v>7.6</v>
      </c>
      <c r="AP6" cm="1">
        <f t="array" ref="AP6">_xll.EQNXTDZ($A$1,$B6,AP$1)</f>
        <v>6.6</v>
      </c>
      <c r="AQ6" cm="1">
        <f t="array" ref="AQ6">_xll.EQNXTDZ($A$1,$B6,AQ$1)</f>
        <v>6.25</v>
      </c>
      <c r="AR6" cm="1">
        <f t="array" ref="AR6">_xll.EQNXTDZ($A$1,$B6,AR$1)</f>
        <v>7.15</v>
      </c>
      <c r="AS6" cm="1">
        <f t="array" ref="AS6">_xll.EQNXTDZ($A$1,$B6,AS$1)</f>
        <v>6.8</v>
      </c>
      <c r="AT6" cm="1">
        <f t="array" ref="AT6">_xll.EQNXTDZ($A$1,$B6,AT$1)</f>
        <v>8.1999999999999993</v>
      </c>
      <c r="AU6" cm="1">
        <f t="array" ref="AU6">_xll.EQNXTDZ($A$1,$B6,AU$1)</f>
        <v>6.9</v>
      </c>
      <c r="AV6" cm="1">
        <f t="array" ref="AV6">_xll.EQNXTDZ($A$1,$B6,AV$1)</f>
        <v>5.95</v>
      </c>
      <c r="AW6" cm="1">
        <f t="array" ref="AW6">_xll.EQNXTDZ($A$1,$B6,AW$1)</f>
        <v>6.75</v>
      </c>
      <c r="AX6" cm="1">
        <f t="array" ref="AX6">_xll.EQNXTDZ($A$1,$B6,AX$1)</f>
        <v>6.8</v>
      </c>
      <c r="AY6" cm="1">
        <f t="array" ref="AY6">_xll.EQNXTDZ($A$1,$B6,AY$1)</f>
        <v>6.55</v>
      </c>
      <c r="AZ6" cm="1">
        <f t="array" ref="AZ6">_xll.EQNXTDZ($A$1,$B6,AZ$1)</f>
        <v>6.9</v>
      </c>
      <c r="BA6" cm="1">
        <f t="array" ref="BA6">_xll.EQNXTDZ($A$1,$B6,BA$1)</f>
        <v>6.85</v>
      </c>
      <c r="BB6" cm="1">
        <f t="array" ref="BB6">_xll.EQNXTDZ($A$1,$B6,BB$1)</f>
        <v>6.4</v>
      </c>
      <c r="BC6" cm="1">
        <f t="array" ref="BC6">_xll.EQNXTDZ($A$1,$B6,BC$1)</f>
        <v>5.65</v>
      </c>
      <c r="BD6" cm="1">
        <f t="array" ref="BD6">_xll.EQNXTDZ($A$1,$B6,BD$1)</f>
        <v>7.2</v>
      </c>
      <c r="BE6" cm="1">
        <f t="array" ref="BE6">_xll.EQNXTDZ($A$1,$B6,BE$1)</f>
        <v>6.4</v>
      </c>
      <c r="BF6" cm="1">
        <f t="array" ref="BF6">_xll.EQNXTDZ($A$1,$B6,BF$1)</f>
        <v>6.15</v>
      </c>
      <c r="BG6" cm="1">
        <f t="array" ref="BG6">_xll.EQNXTDZ($A$1,$B6,BG$1)</f>
        <v>6.1</v>
      </c>
      <c r="BH6" cm="1">
        <f t="array" ref="BH6">_xll.EQNXTDZ($A$1,$B6,BH$1)</f>
        <v>8.35</v>
      </c>
      <c r="BI6" cm="1">
        <f t="array" ref="BI6">_xll.EQNXTDZ($A$1,$B6,BI$1)</f>
        <v>7.2</v>
      </c>
      <c r="BJ6" cm="1">
        <f t="array" ref="BJ6">_xll.EQNXTDZ($A$1,$B6,BJ$1)</f>
        <v>8.65</v>
      </c>
      <c r="BK6" cm="1">
        <f t="array" ref="BK6">_xll.EQNXTDZ($A$1,$B6,BK$1)</f>
        <v>6.6</v>
      </c>
      <c r="BL6" cm="1">
        <f t="array" ref="BL6">_xll.EQNXTDZ($A$1,$B6,BL$1)</f>
        <v>6.85</v>
      </c>
      <c r="BM6" cm="1">
        <f t="array" ref="BM6">_xll.EQNXTDZ($A$1,$B6,BM$1)</f>
        <v>7.85</v>
      </c>
      <c r="BN6" cm="1">
        <f t="array" ref="BN6">_xll.EQNXTDZ($A$1,$B6,BN$1)</f>
        <v>6.7</v>
      </c>
      <c r="BO6" cm="1">
        <f t="array" ref="BO6">_xll.EQNXTDZ($A$1,$B6,BO$1)</f>
        <v>6</v>
      </c>
      <c r="BP6" cm="1">
        <f t="array" ref="BP6">_xll.EQNXTDZ($A$1,$B6,BP$1)</f>
        <v>8.65</v>
      </c>
      <c r="BQ6" cm="1">
        <f t="array" ref="BQ6">_xll.EQNXTDZ($A$1,$B6,BQ$1)</f>
        <v>7.6</v>
      </c>
      <c r="BR6" cm="1">
        <f t="array" ref="BR6">_xll.EQNXTDZ($A$1,$B6,BR$1)</f>
        <v>6.9</v>
      </c>
      <c r="BS6" cm="1">
        <f t="array" ref="BS6">_xll.EQNXTDZ($A$1,$B6,BS$1)</f>
        <v>7.2</v>
      </c>
      <c r="BT6" cm="1">
        <f t="array" ref="BT6">_xll.EQNXTDZ($A$1,$B6,BT$1)</f>
        <v>6.3</v>
      </c>
      <c r="BU6" cm="1">
        <f t="array" ref="BU6">_xll.EQNXTDZ($A$1,$B6,BU$1)</f>
        <v>5.5</v>
      </c>
      <c r="BV6" cm="1">
        <f t="array" ref="BV6">_xll.EQNXTDZ($A$1,$B6,BV$1)</f>
        <v>5.55</v>
      </c>
      <c r="BW6" cm="1">
        <f t="array" ref="BW6">_xll.EQNXTDZ($A$1,$B6,BW$1)</f>
        <v>5.2</v>
      </c>
      <c r="BX6" cm="1">
        <f t="array" ref="BX6">_xll.EQNXTDZ($A$1,$B6,BX$1)</f>
        <v>4.5999999999999996</v>
      </c>
      <c r="BY6" cm="1">
        <f t="array" ref="BY6">_xll.EQNXTDZ($A$1,$B6,BY$1)</f>
        <v>4.9000000000000004</v>
      </c>
      <c r="BZ6" cm="1">
        <f t="array" ref="BZ6">_xll.EQNXTDZ($A$1,$B6,BZ$1)</f>
        <v>5.0999999999999996</v>
      </c>
      <c r="CA6" cm="1">
        <f t="array" ref="CA6">_xll.EQNXTDZ($A$1,$B6,CA$1)</f>
        <v>4.3</v>
      </c>
      <c r="CB6" cm="1">
        <f t="array" ref="CB6">_xll.EQNXTDZ($A$1,$B6,CB$1)</f>
        <v>4.05</v>
      </c>
      <c r="CC6" cm="1">
        <f t="array" ref="CC6">_xll.EQNXTDZ($A$1,$B6,CC$1)</f>
        <v>4.0999999999999996</v>
      </c>
      <c r="CD6" cm="1">
        <f t="array" ref="CD6">_xll.EQNXTDZ($A$1,$B6,CD$1)</f>
        <v>4.05</v>
      </c>
      <c r="CE6" cm="1">
        <f t="array" ref="CE6">_xll.EQNXTDZ($A$1,$B6,CE$1)</f>
        <v>3.55</v>
      </c>
      <c r="CF6" cm="1">
        <f t="array" ref="CF6">_xll.EQNXTDZ($A$1,$B6,CF$1)</f>
        <v>3.05</v>
      </c>
      <c r="CG6" cm="1">
        <f t="array" ref="CG6">_xll.EQNXTDZ($A$1,$B6,CG$1)</f>
        <v>3.05</v>
      </c>
      <c r="CH6" cm="1">
        <f t="array" ref="CH6">_xll.EQNXTDZ($A$1,$B6,CH$1)</f>
        <v>2.95</v>
      </c>
      <c r="CI6" cm="1">
        <f t="array" ref="CI6">_xll.EQNXTDZ($A$1,$B6,CI$1)</f>
        <v>4.5</v>
      </c>
      <c r="CJ6" cm="1">
        <f t="array" ref="CJ6">_xll.EQNXTDZ($A$1,$B6,CJ$1)</f>
        <v>3.7</v>
      </c>
      <c r="CK6" cm="1">
        <f t="array" ref="CK6">_xll.EQNXTDZ($A$1,$B6,CK$1)</f>
        <v>2.95</v>
      </c>
      <c r="CL6" cm="1">
        <f t="array" ref="CL6">_xll.EQNXTDZ($A$1,$B6,CL$1)</f>
        <v>2.5</v>
      </c>
      <c r="CM6" cm="1">
        <f t="array" ref="CM6">_xll.EQNXTDZ($A$1,$B6,CM$1)</f>
        <v>2.8</v>
      </c>
      <c r="CN6" cm="1">
        <f t="array" ref="CN6">_xll.EQNXTDZ($A$1,$B6,CN$1)</f>
        <v>2.65</v>
      </c>
      <c r="CO6" cm="1">
        <f t="array" ref="CO6">_xll.EQNXTDZ($A$1,$B6,CO$1)</f>
        <v>2.85</v>
      </c>
      <c r="CP6" cm="1">
        <f t="array" ref="CP6">_xll.EQNXTDZ($A$1,$B6,CP$1)</f>
        <v>2.25</v>
      </c>
      <c r="CQ6" cm="1">
        <f t="array" ref="CQ6">_xll.EQNXTDZ($A$1,$B6,CQ$1)</f>
        <v>2.35</v>
      </c>
      <c r="CR6" cm="1">
        <f t="array" ref="CR6">_xll.EQNXTDZ($A$1,$B6,CR$1)</f>
        <v>2.7</v>
      </c>
      <c r="CS6" cm="1">
        <f t="array" ref="CS6">_xll.EQNXTDZ($A$1,$B6,CS$1)</f>
        <v>1.85</v>
      </c>
      <c r="CT6" cm="1">
        <f t="array" ref="CT6">_xll.EQNXTDZ($A$1,$B6,CT$1)</f>
        <v>2.4</v>
      </c>
      <c r="CU6" cm="1">
        <f t="array" ref="CU6">_xll.EQNXTDZ($A$1,$B6,CU$1)</f>
        <v>2.75</v>
      </c>
      <c r="CV6" cm="1">
        <f t="array" ref="CV6">_xll.EQNXTDZ($A$1,$B6,CV$1)</f>
        <v>3.95</v>
      </c>
      <c r="CW6" cm="1">
        <f t="array" ref="CW6">_xll.EQNXTDZ($A$1,$B6,CW$1)</f>
        <v>3.35</v>
      </c>
      <c r="CX6" cm="1">
        <f t="array" ref="CX6">_xll.EQNXTDZ($A$1,$B6,CX$1)</f>
        <v>3.5</v>
      </c>
      <c r="CY6" cm="1">
        <f t="array" ref="CY6">_xll.EQNXTDZ($A$1,$B6,CY$1)</f>
        <v>2.9</v>
      </c>
      <c r="CZ6" cm="1">
        <f t="array" ref="CZ6">_xll.EQNXTDZ($A$1,$B6,CZ$1)</f>
        <v>7.8</v>
      </c>
      <c r="DA6" cm="1">
        <f t="array" ref="DA6">_xll.EQNXTDZ($A$1,$B6,DA$1)</f>
        <v>7.3</v>
      </c>
      <c r="DB6" cm="1">
        <f t="array" ref="DB6">_xll.EQNXTDZ($A$1,$B6,DB$1)</f>
        <v>8.0500000000000007</v>
      </c>
      <c r="DC6" cm="1">
        <f t="array" ref="DC6">_xll.EQNXTDZ($A$1,$B6,DC$1)</f>
        <v>18</v>
      </c>
      <c r="DD6" cm="1">
        <f t="array" ref="DD6">_xll.EQNXTDZ($A$1,$B6,DD$1)</f>
        <v>16.350000000000001</v>
      </c>
      <c r="DE6" cm="1">
        <f t="array" ref="DE6">_xll.EQNXTDZ($A$1,$B6,DE$1)</f>
        <v>14.45</v>
      </c>
      <c r="DF6" cm="1">
        <f t="array" ref="DF6">_xll.EQNXTDZ($A$1,$B6,DF$1)</f>
        <v>13.8</v>
      </c>
      <c r="DG6" cm="1">
        <f t="array" ref="DG6">_xll.EQNXTDZ($A$1,$B6,DG$1)</f>
        <v>16.350000000000001</v>
      </c>
      <c r="DH6" cm="1">
        <f t="array" ref="DH6">_xll.EQNXTDZ($A$1,$B6,DH$1)</f>
        <v>46.8</v>
      </c>
      <c r="DI6" cm="1">
        <f t="array" ref="DI6">_xll.EQNXTDZ($A$1,$B6,DI$1)</f>
        <v>39.799999999999997</v>
      </c>
      <c r="DJ6" cm="1">
        <f t="array" ref="DJ6">_xll.EQNXTDZ($A$1,$B6,DJ$1)</f>
        <v>36.75</v>
      </c>
      <c r="DK6" cm="1">
        <f t="array" ref="DK6">_xll.EQNXTDZ($A$1,$B6,DK$1)</f>
        <v>35.85</v>
      </c>
      <c r="DL6" cm="1">
        <f t="array" ref="DL6">_xll.EQNXTDZ($A$1,$B6,DL$1)</f>
        <v>55.15</v>
      </c>
      <c r="DM6" cm="1">
        <f t="array" ref="DM6">_xll.EQNXTDZ($A$1,$B6,DM$1)</f>
        <v>118.15</v>
      </c>
      <c r="DN6" cm="1">
        <f t="array" ref="DN6">_xll.EQNXTDZ($A$1,$B6,DN$1)</f>
        <v>216.65</v>
      </c>
      <c r="DO6" cm="1">
        <f t="array" ref="DO6">_xll.EQNXTDZ($A$1,$B6,DO$1)</f>
        <v>141.75</v>
      </c>
      <c r="DP6" cm="1">
        <f t="array" ref="DP6">_xll.EQNXTDZ($A$1,$B6,DP$1)</f>
        <v>113.8</v>
      </c>
      <c r="DQ6" cm="1">
        <f t="array" ref="DQ6">_xll.EQNXTDZ($A$1,$B6,DQ$1)</f>
        <v>175</v>
      </c>
      <c r="DR6" cm="1">
        <f t="array" ref="DR6">_xll.EQNXTDZ($A$1,$B6,DR$1)</f>
        <v>134.25</v>
      </c>
      <c r="DS6" cm="1">
        <f t="array" ref="DS6">_xll.EQNXTDZ($A$1,$B6,DS$1)</f>
        <v>125.8</v>
      </c>
      <c r="DT6" cm="1">
        <f t="array" ref="DT6">_xll.EQNXTDZ($A$1,$B6,DT$1)</f>
        <v>121.4</v>
      </c>
      <c r="DU6" cm="1">
        <f t="array" ref="DU6">_xll.EQNXTDZ($A$1,$B6,DU$1)</f>
        <v>108</v>
      </c>
      <c r="DV6" cm="1">
        <f t="array" ref="DV6">_xll.EQNXTDZ($A$1,$B6,DV$1)</f>
        <v>111.95</v>
      </c>
      <c r="DW6" cm="1">
        <f t="array" ref="DW6">_xll.EQNXTDZ($A$1,$B6,DW$1)</f>
        <v>104</v>
      </c>
      <c r="DX6" cm="1">
        <f t="array" ref="DX6">_xll.EQNXTDZ($A$1,$B6,DX$1)</f>
        <v>102</v>
      </c>
      <c r="DY6" cm="1">
        <f t="array" ref="DY6">_xll.EQNXTDZ($A$1,$B6,DY$1)</f>
        <v>102.05</v>
      </c>
      <c r="DZ6" cm="1">
        <f t="array" ref="DZ6">_xll.EQNXTDZ($A$1,$B6,DZ$1)</f>
        <v>92.85</v>
      </c>
      <c r="EA6" cm="1">
        <f t="array" ref="EA6">_xll.EQNXTDZ($A$1,$B6,EA$1)</f>
        <v>80.849999999999994</v>
      </c>
      <c r="EB6" cm="1">
        <f t="array" ref="EB6">_xll.EQNXTDZ($A$1,$B6,EB$1)</f>
        <v>56.8</v>
      </c>
      <c r="EC6" cm="1">
        <f t="array" ref="EC6">_xll.EQNXTDZ($A$1,$B6,EC$1)</f>
        <v>54.95</v>
      </c>
      <c r="ED6" cm="1">
        <f t="array" ref="ED6">_xll.EQNXTDZ($A$1,$B6,ED$1)</f>
        <v>61.7</v>
      </c>
      <c r="EE6" cm="1">
        <f t="array" ref="EE6">_xll.EQNXTDZ($A$1,$B6,EE$1)</f>
        <v>61.65</v>
      </c>
      <c r="EF6" cm="1">
        <f t="array" ref="EF6">_xll.EQNXTDZ($A$1,$B6,EF$1)</f>
        <v>71.5</v>
      </c>
      <c r="EG6" cm="1">
        <f t="array" ref="EG6">_xll.EQNXTDZ($A$1,$B6,EG$1)</f>
        <v>79.95</v>
      </c>
      <c r="EH6" cm="1">
        <f t="array" ref="EH6">_xll.EQNXTDZ($A$1,$B6,EH$1)</f>
        <v>88.1</v>
      </c>
      <c r="EI6" cm="1">
        <f t="array" ref="EI6">_xll.EQNXTDZ($A$1,$B6,EI$1)</f>
        <v>99.2</v>
      </c>
      <c r="EJ6" cm="1">
        <f t="array" ref="EJ6">_xll.EQNXTDZ($A$1,$B6,EJ$1)</f>
        <v>86.9</v>
      </c>
      <c r="EK6" cm="1">
        <f t="array" ref="EK6">_xll.EQNXTDZ($A$1,$B6,EK$1)</f>
        <v>97</v>
      </c>
      <c r="EL6" cm="1">
        <f t="array" ref="EL6">_xll.EQNXTDZ($A$1,$B6,EL$1)</f>
        <v>91.7</v>
      </c>
      <c r="EM6" cm="1">
        <f t="array" ref="EM6">_xll.EQNXTDZ($A$1,$B6,EM$1)</f>
        <v>93.15</v>
      </c>
      <c r="EN6" cm="1">
        <f t="array" ref="EN6">_xll.EQNXTDZ($A$1,$B6,EN$1)</f>
        <v>87.65</v>
      </c>
      <c r="EO6" cm="1">
        <f t="array" ref="EO6">_xll.EQNXTDZ($A$1,$B6,EO$1)</f>
        <v>74.599999999999994</v>
      </c>
      <c r="EP6" cm="1">
        <f t="array" ref="EP6">_xll.EQNXTDZ($A$1,$B6,EP$1)</f>
        <v>82.25</v>
      </c>
      <c r="EQ6" cm="1">
        <f t="array" ref="EQ6">_xll.EQNXTDZ($A$1,$B6,EQ$1)</f>
        <v>76.599999999999994</v>
      </c>
      <c r="ER6" cm="1">
        <f t="array" ref="ER6">_xll.EQNXTDZ($A$1,$B6,ER$1)</f>
        <v>79</v>
      </c>
      <c r="ES6" cm="1">
        <f t="array" ref="ES6">_xll.EQNXTDZ($A$1,$B6,ES$1)</f>
        <v>96.6</v>
      </c>
      <c r="ET6" cm="1">
        <f t="array" ref="ET6">_xll.EQNXTDZ($A$1,$B6,ET$1)</f>
        <v>97.2</v>
      </c>
      <c r="EU6" cm="1">
        <f t="array" ref="EU6">_xll.EQNXTDZ($A$1,$B6,EU$1)</f>
        <v>84.59</v>
      </c>
      <c r="EV6" cm="1">
        <f t="array" ref="EV6">_xll.EQNXTDZ($A$1,$B6,EV$1)</f>
        <v>73.849999999999994</v>
      </c>
      <c r="EW6" cm="1">
        <f t="array" ref="EW6">_xll.EQNXTDZ($A$1,$B6,EW$1)</f>
        <v>79.099999999999994</v>
      </c>
      <c r="EX6" cm="1">
        <f t="array" ref="EX6">_xll.EQNXTDZ($A$1,$B6,EX$1)</f>
        <v>76</v>
      </c>
      <c r="EY6" cm="1">
        <f t="array" ref="EY6">_xll.EQNXTDZ($A$1,$B6,EY$1)</f>
        <v>72.62</v>
      </c>
      <c r="EZ6" cm="1">
        <f t="array" ref="EZ6">_xll.EQNXTDZ($A$1,$B6,EZ$1)</f>
        <v>60</v>
      </c>
      <c r="FA6" cm="1">
        <f t="array" ref="FA6">_xll.EQNXTDZ($A$1,$B6,FA$1)</f>
        <v>55.99</v>
      </c>
      <c r="FB6" cm="1">
        <f t="array" ref="FB6">_xll.EQNXTDZ($A$1,$B6,FB$1)</f>
        <v>56.5</v>
      </c>
      <c r="FC6" cm="1">
        <f t="array" ref="FC6">_xll.EQNXTDZ($A$1,$B6,FC$1)</f>
        <v>72.010000000000005</v>
      </c>
      <c r="FD6" cm="1">
        <f t="array" ref="FD6">_xll.EQNXTDZ($A$1,$B6,FD$1)</f>
        <v>66.5</v>
      </c>
      <c r="FE6" cm="1">
        <f t="array" ref="FE6">_xll.EQNXTDZ($A$1,$B6,FE$1)</f>
        <v>58.86</v>
      </c>
      <c r="FF6" cm="1">
        <f t="array" ref="FF6">_xll.EQNXTDZ($A$1,$B6,FF$1)</f>
        <v>56.1</v>
      </c>
      <c r="FG6" cm="1">
        <f t="array" ref="FG6">_xll.EQNXTDZ($A$1,$B6,FG$1)</f>
        <v>55.04</v>
      </c>
      <c r="FH6" cm="1">
        <f t="array" ref="FH6">_xll.EQNXTDZ($A$1,$B6,FH$1)</f>
        <v>54.59</v>
      </c>
      <c r="FI6" cm="1">
        <f t="array" ref="FI6">_xll.EQNXTDZ($A$1,$B6,FI$1)</f>
        <v>52</v>
      </c>
      <c r="FJ6" cm="1">
        <f t="array" ref="FJ6">_xll.EQNXTDZ($A$1,$B6,FJ$1)</f>
        <v>49.57</v>
      </c>
      <c r="FK6" cm="1">
        <f t="array" ref="FK6">_xll.EQNXTDZ($A$1,$B6,FK$1)</f>
        <v>45.9</v>
      </c>
      <c r="FL6" cm="1">
        <f t="array" ref="FL6">_xll.EQNXTDZ($A$1,$B6,FL$1)</f>
        <v>39</v>
      </c>
      <c r="FM6" cm="1">
        <f t="array" ref="FM6">_xll.EQNXTDZ($A$1,$B6,FM$1)</f>
        <v>32.93</v>
      </c>
      <c r="FN6" cm="1">
        <f t="array" ref="FN6">_xll.EQNXTDZ($A$1,$B6,FN$1)</f>
        <v>43.8</v>
      </c>
      <c r="FO6" cm="1">
        <f t="array" ref="FO6">_xll.EQNXTDZ($A$1,$B6,FO$1)</f>
        <v>42.92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14.368932038835</v>
      </c>
      <c r="D7" s="116" cm="1">
        <f t="array" ref="D7">_xll.EQNXTDZ($A$1,$B7,D$1)</f>
        <v>14.417475728155299</v>
      </c>
      <c r="E7" s="116" cm="1">
        <f t="array" ref="E7">_xll.EQNXTDZ($A$1,$B7,E$1)</f>
        <v>14.2718446601942</v>
      </c>
      <c r="F7" s="116" cm="1">
        <f t="array" ref="F7">_xll.EQNXTDZ($A$1,$B7,F$1)</f>
        <v>12.0388349514563</v>
      </c>
      <c r="G7" s="116" cm="1">
        <f t="array" ref="G7">_xll.EQNXTDZ($A$1,$B7,G$1)</f>
        <v>12.0873786407767</v>
      </c>
      <c r="H7" s="116" cm="1">
        <f t="array" ref="H7">_xll.EQNXTDZ($A$1,$B7,H$1)</f>
        <v>13.1553398058252</v>
      </c>
      <c r="I7" s="116" cm="1">
        <f t="array" ref="I7">_xll.EQNXTDZ($A$1,$B7,I$1)</f>
        <v>12.2815533980583</v>
      </c>
      <c r="J7" s="116" cm="1">
        <f t="array" ref="J7">_xll.EQNXTDZ($A$1,$B7,J$1)</f>
        <v>12.7669902912621</v>
      </c>
      <c r="K7" s="116" cm="1">
        <f t="array" ref="K7">_xll.EQNXTDZ($A$1,$B7,K$1)</f>
        <v>11.6504854368932</v>
      </c>
      <c r="L7" s="116" cm="1">
        <f t="array" ref="L7">_xll.EQNXTDZ($A$1,$B7,L$1)</f>
        <v>9.6601941747572795</v>
      </c>
      <c r="M7" s="116" cm="1">
        <f t="array" ref="M7">_xll.EQNXTDZ($A$1,$B7,M$1)</f>
        <v>9.0291262135922299</v>
      </c>
      <c r="N7" s="116" cm="1">
        <f t="array" ref="N7">_xll.EQNXTDZ($A$1,$B7,N$1)</f>
        <v>10.291262135922301</v>
      </c>
      <c r="O7" s="116" cm="1">
        <f t="array" ref="O7">_xll.EQNXTDZ($A$1,$B7,O$1)</f>
        <v>7.3786407766990303</v>
      </c>
      <c r="P7" s="116" cm="1">
        <f t="array" ref="P7">_xll.EQNXTDZ($A$1,$B7,P$1)</f>
        <v>7.5242718446601904</v>
      </c>
      <c r="Q7" s="116" cm="1">
        <f t="array" ref="Q7">_xll.EQNXTDZ($A$1,$B7,Q$1)</f>
        <v>6.7475728155339798</v>
      </c>
      <c r="R7" s="116" cm="1">
        <f t="array" ref="R7">_xll.EQNXTDZ($A$1,$B7,R$1)</f>
        <v>7.5</v>
      </c>
      <c r="S7" s="116" cm="1">
        <f t="array" ref="S7">_xll.EQNXTDZ($A$1,$B7,S$1)</f>
        <v>8.4499999999999993</v>
      </c>
      <c r="T7" s="116" cm="1">
        <f t="array" ref="T7">_xll.EQNXTDZ($A$1,$B7,T$1)</f>
        <v>7.95</v>
      </c>
      <c r="U7" s="116" cm="1">
        <f t="array" ref="U7">_xll.EQNXTDZ($A$1,$B7,U$1)</f>
        <v>7.8</v>
      </c>
      <c r="V7" s="116" cm="1">
        <f t="array" ref="V7">_xll.EQNXTDZ($A$1,$B7,V$1)</f>
        <v>8.8000000000000007</v>
      </c>
      <c r="W7" s="116" cm="1">
        <f t="array" ref="W7">_xll.EQNXTDZ($A$1,$B7,W$1)</f>
        <v>7.9</v>
      </c>
      <c r="X7" s="116" cm="1">
        <f t="array" ref="X7">_xll.EQNXTDZ($A$1,$B7,X$1)</f>
        <v>7.6</v>
      </c>
      <c r="Y7" s="116" cm="1">
        <f t="array" ref="Y7">_xll.EQNXTDZ($A$1,$B7,Y$1)</f>
        <v>9.6999999999999993</v>
      </c>
      <c r="Z7" s="116" cm="1">
        <f t="array" ref="Z7">_xll.EQNXTDZ($A$1,$B7,Z$1)</f>
        <v>13.2</v>
      </c>
      <c r="AA7" s="116" cm="1">
        <f t="array" ref="AA7">_xll.EQNXTDZ($A$1,$B7,AA$1)</f>
        <v>13.1</v>
      </c>
      <c r="AB7" s="116" cm="1">
        <f t="array" ref="AB7">_xll.EQNXTDZ($A$1,$B7,AB$1)</f>
        <v>14.1</v>
      </c>
      <c r="AC7" s="116" cm="1">
        <f t="array" ref="AC7">_xll.EQNXTDZ($A$1,$B7,AC$1)</f>
        <v>12.8</v>
      </c>
      <c r="AD7" s="116" cm="1">
        <f t="array" ref="AD7">_xll.EQNXTDZ($A$1,$B7,AD$1)</f>
        <v>12.3</v>
      </c>
      <c r="AE7" s="116" cm="1">
        <f t="array" ref="AE7">_xll.EQNXTDZ($A$1,$B7,AE$1)</f>
        <v>10.25</v>
      </c>
      <c r="AF7" s="116" cm="1">
        <f t="array" ref="AF7">_xll.EQNXTDZ($A$1,$B7,AF$1)</f>
        <v>10.050000000000001</v>
      </c>
      <c r="AG7" s="116" cm="1">
        <f t="array" ref="AG7">_xll.EQNXTDZ($A$1,$B7,AG$1)</f>
        <v>9</v>
      </c>
      <c r="AH7" s="116" cm="1">
        <f t="array" ref="AH7">_xll.EQNXTDZ($A$1,$B7,AH$1)</f>
        <v>11.25</v>
      </c>
      <c r="AI7" s="116" cm="1">
        <f t="array" ref="AI7">_xll.EQNXTDZ($A$1,$B7,AI$1)</f>
        <v>9.5</v>
      </c>
      <c r="AJ7" s="116" cm="1">
        <f t="array" ref="AJ7">_xll.EQNXTDZ($A$1,$B7,AJ$1)</f>
        <v>9.6</v>
      </c>
      <c r="AK7" s="116" cm="1">
        <f t="array" ref="AK7">_xll.EQNXTDZ($A$1,$B7,AK$1)</f>
        <v>8.9</v>
      </c>
      <c r="AL7" s="116" cm="1">
        <f t="array" ref="AL7">_xll.EQNXTDZ($A$1,$B7,AL$1)</f>
        <v>8</v>
      </c>
      <c r="AM7" s="116" cm="1">
        <f t="array" ref="AM7">_xll.EQNXTDZ($A$1,$B7,AM$1)</f>
        <v>7.2</v>
      </c>
      <c r="AN7" s="116" cm="1">
        <f t="array" ref="AN7">_xll.EQNXTDZ($A$1,$B7,AN$1)</f>
        <v>8.8000000000000007</v>
      </c>
      <c r="AO7" s="116" cm="1">
        <f t="array" ref="AO7">_xll.EQNXTDZ($A$1,$B7,AO$1)</f>
        <v>8.15</v>
      </c>
      <c r="AP7" s="116" cm="1">
        <f t="array" ref="AP7">_xll.EQNXTDZ($A$1,$B7,AP$1)</f>
        <v>6.95</v>
      </c>
      <c r="AQ7" s="116" cm="1">
        <f t="array" ref="AQ7">_xll.EQNXTDZ($A$1,$B7,AQ$1)</f>
        <v>8</v>
      </c>
      <c r="AR7" s="116" cm="1">
        <f t="array" ref="AR7">_xll.EQNXTDZ($A$1,$B7,AR$1)</f>
        <v>7.2</v>
      </c>
      <c r="AS7" s="116" cm="1">
        <f t="array" ref="AS7">_xll.EQNXTDZ($A$1,$B7,AS$1)</f>
        <v>9.4</v>
      </c>
      <c r="AT7" s="116" cm="1">
        <f t="array" ref="AT7">_xll.EQNXTDZ($A$1,$B7,AT$1)</f>
        <v>8.6</v>
      </c>
      <c r="AU7" s="116" cm="1">
        <f t="array" ref="AU7">_xll.EQNXTDZ($A$1,$B7,AU$1)</f>
        <v>7.1</v>
      </c>
      <c r="AV7" s="116" cm="1">
        <f t="array" ref="AV7">_xll.EQNXTDZ($A$1,$B7,AV$1)</f>
        <v>7.2</v>
      </c>
      <c r="AW7" s="116" cm="1">
        <f t="array" ref="AW7">_xll.EQNXTDZ($A$1,$B7,AW$1)</f>
        <v>7.6</v>
      </c>
      <c r="AX7" s="116" cm="1">
        <f t="array" ref="AX7">_xll.EQNXTDZ($A$1,$B7,AX$1)</f>
        <v>7.45</v>
      </c>
      <c r="AY7" s="116" cm="1">
        <f t="array" ref="AY7">_xll.EQNXTDZ($A$1,$B7,AY$1)</f>
        <v>7.3</v>
      </c>
      <c r="AZ7" s="116" cm="1">
        <f t="array" ref="AZ7">_xll.EQNXTDZ($A$1,$B7,AZ$1)</f>
        <v>7.55</v>
      </c>
      <c r="BA7" s="116" cm="1">
        <f t="array" ref="BA7">_xll.EQNXTDZ($A$1,$B7,BA$1)</f>
        <v>7.1</v>
      </c>
      <c r="BB7" s="116" cm="1">
        <f t="array" ref="BB7">_xll.EQNXTDZ($A$1,$B7,BB$1)</f>
        <v>6.45</v>
      </c>
      <c r="BC7" s="116" cm="1">
        <f t="array" ref="BC7">_xll.EQNXTDZ($A$1,$B7,BC$1)</f>
        <v>8.1999999999999993</v>
      </c>
      <c r="BD7" s="116" cm="1">
        <f t="array" ref="BD7">_xll.EQNXTDZ($A$1,$B7,BD$1)</f>
        <v>7.4</v>
      </c>
      <c r="BE7" s="116" cm="1">
        <f t="array" ref="BE7">_xll.EQNXTDZ($A$1,$B7,BE$1)</f>
        <v>6.75</v>
      </c>
      <c r="BF7" s="116" cm="1">
        <f t="array" ref="BF7">_xll.EQNXTDZ($A$1,$B7,BF$1)</f>
        <v>6.55</v>
      </c>
      <c r="BG7" s="116" cm="1">
        <f t="array" ref="BG7">_xll.EQNXTDZ($A$1,$B7,BG$1)</f>
        <v>8</v>
      </c>
      <c r="BH7" s="116" cm="1">
        <f t="array" ref="BH7">_xll.EQNXTDZ($A$1,$B7,BH$1)</f>
        <v>10.45</v>
      </c>
      <c r="BI7" s="116" cm="1">
        <f t="array" ref="BI7">_xll.EQNXTDZ($A$1,$B7,BI$1)</f>
        <v>8.25</v>
      </c>
      <c r="BJ7" s="116" cm="1">
        <f t="array" ref="BJ7">_xll.EQNXTDZ($A$1,$B7,BJ$1)</f>
        <v>9.4499999999999993</v>
      </c>
      <c r="BK7" s="116" cm="1">
        <f t="array" ref="BK7">_xll.EQNXTDZ($A$1,$B7,BK$1)</f>
        <v>7.5</v>
      </c>
      <c r="BL7" s="116" cm="1">
        <f t="array" ref="BL7">_xll.EQNXTDZ($A$1,$B7,BL$1)</f>
        <v>10</v>
      </c>
      <c r="BM7" s="116" cm="1">
        <f t="array" ref="BM7">_xll.EQNXTDZ($A$1,$B7,BM$1)</f>
        <v>8.1999999999999993</v>
      </c>
      <c r="BN7" s="116" cm="1">
        <f t="array" ref="BN7">_xll.EQNXTDZ($A$1,$B7,BN$1)</f>
        <v>7.15</v>
      </c>
      <c r="BO7" s="116" cm="1">
        <f t="array" ref="BO7">_xll.EQNXTDZ($A$1,$B7,BO$1)</f>
        <v>8.25</v>
      </c>
      <c r="BP7" s="116" cm="1">
        <f t="array" ref="BP7">_xll.EQNXTDZ($A$1,$B7,BP$1)</f>
        <v>10.4</v>
      </c>
      <c r="BQ7" s="116" cm="1">
        <f t="array" ref="BQ7">_xll.EQNXTDZ($A$1,$B7,BQ$1)</f>
        <v>7.6</v>
      </c>
      <c r="BR7" s="116" cm="1">
        <f t="array" ref="BR7">_xll.EQNXTDZ($A$1,$B7,BR$1)</f>
        <v>7.9</v>
      </c>
      <c r="BS7" s="116" cm="1">
        <f t="array" ref="BS7">_xll.EQNXTDZ($A$1,$B7,BS$1)</f>
        <v>7.2</v>
      </c>
      <c r="BT7" s="116" cm="1">
        <f t="array" ref="BT7">_xll.EQNXTDZ($A$1,$B7,BT$1)</f>
        <v>6.95</v>
      </c>
      <c r="BU7" s="116" cm="1">
        <f t="array" ref="BU7">_xll.EQNXTDZ($A$1,$B7,BU$1)</f>
        <v>6.85</v>
      </c>
      <c r="BV7" s="116" cm="1">
        <f t="array" ref="BV7">_xll.EQNXTDZ($A$1,$B7,BV$1)</f>
        <v>5.9</v>
      </c>
      <c r="BW7" s="116" cm="1">
        <f t="array" ref="BW7">_xll.EQNXTDZ($A$1,$B7,BW$1)</f>
        <v>5.3</v>
      </c>
      <c r="BX7" s="116" cm="1">
        <f t="array" ref="BX7">_xll.EQNXTDZ($A$1,$B7,BX$1)</f>
        <v>5.85</v>
      </c>
      <c r="BY7" s="116" cm="1">
        <f t="array" ref="BY7">_xll.EQNXTDZ($A$1,$B7,BY$1)</f>
        <v>5.5</v>
      </c>
      <c r="BZ7" s="116" cm="1">
        <f t="array" ref="BZ7">_xll.EQNXTDZ($A$1,$B7,BZ$1)</f>
        <v>5.15</v>
      </c>
      <c r="CA7" s="116" cm="1">
        <f t="array" ref="CA7">_xll.EQNXTDZ($A$1,$B7,CA$1)</f>
        <v>4.8</v>
      </c>
      <c r="CB7" s="116" cm="1">
        <f t="array" ref="CB7">_xll.EQNXTDZ($A$1,$B7,CB$1)</f>
        <v>4.3</v>
      </c>
      <c r="CC7" s="116" cm="1">
        <f t="array" ref="CC7">_xll.EQNXTDZ($A$1,$B7,CC$1)</f>
        <v>4.5999999999999996</v>
      </c>
      <c r="CD7" s="116" cm="1">
        <f t="array" ref="CD7">_xll.EQNXTDZ($A$1,$B7,CD$1)</f>
        <v>4.0999999999999996</v>
      </c>
      <c r="CE7" s="116" cm="1">
        <f t="array" ref="CE7">_xll.EQNXTDZ($A$1,$B7,CE$1)</f>
        <v>3.75</v>
      </c>
      <c r="CF7" s="116" cm="1">
        <f t="array" ref="CF7">_xll.EQNXTDZ($A$1,$B7,CF$1)</f>
        <v>3.6</v>
      </c>
      <c r="CG7" s="116" cm="1">
        <f t="array" ref="CG7">_xll.EQNXTDZ($A$1,$B7,CG$1)</f>
        <v>3.3</v>
      </c>
      <c r="CH7" s="116" cm="1">
        <f t="array" ref="CH7">_xll.EQNXTDZ($A$1,$B7,CH$1)</f>
        <v>4.0999999999999996</v>
      </c>
      <c r="CI7" s="116" cm="1">
        <f t="array" ref="CI7">_xll.EQNXTDZ($A$1,$B7,CI$1)</f>
        <v>5.15</v>
      </c>
      <c r="CJ7" s="116" cm="1">
        <f t="array" ref="CJ7">_xll.EQNXTDZ($A$1,$B7,CJ$1)</f>
        <v>4.3</v>
      </c>
      <c r="CK7" s="116" cm="1">
        <f t="array" ref="CK7">_xll.EQNXTDZ($A$1,$B7,CK$1)</f>
        <v>3.05</v>
      </c>
      <c r="CL7" s="116" cm="1">
        <f t="array" ref="CL7">_xll.EQNXTDZ($A$1,$B7,CL$1)</f>
        <v>3.65</v>
      </c>
      <c r="CM7" s="116" cm="1">
        <f t="array" ref="CM7">_xll.EQNXTDZ($A$1,$B7,CM$1)</f>
        <v>2.85</v>
      </c>
      <c r="CN7" s="116" cm="1">
        <f t="array" ref="CN7">_xll.EQNXTDZ($A$1,$B7,CN$1)</f>
        <v>3.2</v>
      </c>
      <c r="CO7" s="116" cm="1">
        <f t="array" ref="CO7">_xll.EQNXTDZ($A$1,$B7,CO$1)</f>
        <v>2.85</v>
      </c>
      <c r="CP7" s="116" cm="1">
        <f t="array" ref="CP7">_xll.EQNXTDZ($A$1,$B7,CP$1)</f>
        <v>2.8</v>
      </c>
      <c r="CQ7" s="116" cm="1">
        <f t="array" ref="CQ7">_xll.EQNXTDZ($A$1,$B7,CQ$1)</f>
        <v>4.4000000000000004</v>
      </c>
      <c r="CR7" s="116" cm="1">
        <f t="array" ref="CR7">_xll.EQNXTDZ($A$1,$B7,CR$1)</f>
        <v>2.75</v>
      </c>
      <c r="CS7" s="116" cm="1">
        <f t="array" ref="CS7">_xll.EQNXTDZ($A$1,$B7,CS$1)</f>
        <v>3</v>
      </c>
      <c r="CT7" s="116" cm="1">
        <f t="array" ref="CT7">_xll.EQNXTDZ($A$1,$B7,CT$1)</f>
        <v>2.8</v>
      </c>
      <c r="CU7" s="116" cm="1">
        <f t="array" ref="CU7">_xll.EQNXTDZ($A$1,$B7,CU$1)</f>
        <v>4.45</v>
      </c>
      <c r="CV7" s="116" cm="1">
        <f t="array" ref="CV7">_xll.EQNXTDZ($A$1,$B7,CV$1)</f>
        <v>4.05</v>
      </c>
      <c r="CW7" s="116" cm="1">
        <f t="array" ref="CW7">_xll.EQNXTDZ($A$1,$B7,CW$1)</f>
        <v>3.95</v>
      </c>
      <c r="CX7" s="116" cm="1">
        <f t="array" ref="CX7">_xll.EQNXTDZ($A$1,$B7,CX$1)</f>
        <v>3.6</v>
      </c>
      <c r="CY7" s="116" cm="1">
        <f t="array" ref="CY7">_xll.EQNXTDZ($A$1,$B7,CY$1)</f>
        <v>7.45</v>
      </c>
      <c r="CZ7" s="116" cm="1">
        <f t="array" ref="CZ7">_xll.EQNXTDZ($A$1,$B7,CZ$1)</f>
        <v>8.5500000000000007</v>
      </c>
      <c r="DA7" s="116" cm="1">
        <f t="array" ref="DA7">_xll.EQNXTDZ($A$1,$B7,DA$1)</f>
        <v>8.65</v>
      </c>
      <c r="DB7" s="116" cm="1">
        <f t="array" ref="DB7">_xll.EQNXTDZ($A$1,$B7,DB$1)</f>
        <v>17.149999999999999</v>
      </c>
      <c r="DC7" s="116" cm="1">
        <f t="array" ref="DC7">_xll.EQNXTDZ($A$1,$B7,DC$1)</f>
        <v>22.8</v>
      </c>
      <c r="DD7" s="116" cm="1">
        <f t="array" ref="DD7">_xll.EQNXTDZ($A$1,$B7,DD$1)</f>
        <v>16.600000000000001</v>
      </c>
      <c r="DE7" s="116" cm="1">
        <f t="array" ref="DE7">_xll.EQNXTDZ($A$1,$B7,DE$1)</f>
        <v>14.5</v>
      </c>
      <c r="DF7" s="116" cm="1">
        <f t="array" ref="DF7">_xll.EQNXTDZ($A$1,$B7,DF$1)</f>
        <v>15.6</v>
      </c>
      <c r="DG7" s="116" cm="1">
        <f t="array" ref="DG7">_xll.EQNXTDZ($A$1,$B7,DG$1)</f>
        <v>44.6</v>
      </c>
      <c r="DH7" s="116" cm="1">
        <f t="array" ref="DH7">_xll.EQNXTDZ($A$1,$B7,DH$1)</f>
        <v>54.1</v>
      </c>
      <c r="DI7" s="116" cm="1">
        <f t="array" ref="DI7">_xll.EQNXTDZ($A$1,$B7,DI$1)</f>
        <v>45.95</v>
      </c>
      <c r="DJ7" s="116" cm="1">
        <f t="array" ref="DJ7">_xll.EQNXTDZ($A$1,$B7,DJ$1)</f>
        <v>38.200000000000003</v>
      </c>
      <c r="DK7" s="116" cm="1">
        <f t="array" ref="DK7">_xll.EQNXTDZ($A$1,$B7,DK$1)</f>
        <v>58.4</v>
      </c>
      <c r="DL7" s="116" cm="1">
        <f t="array" ref="DL7">_xll.EQNXTDZ($A$1,$B7,DL$1)</f>
        <v>112.55</v>
      </c>
      <c r="DM7" s="116" cm="1">
        <f t="array" ref="DM7">_xll.EQNXTDZ($A$1,$B7,DM$1)</f>
        <v>206.35</v>
      </c>
      <c r="DN7" s="116" cm="1">
        <f t="array" ref="DN7">_xll.EQNXTDZ($A$1,$B7,DN$1)</f>
        <v>290.14999999999998</v>
      </c>
      <c r="DO7" s="116" cm="1">
        <f t="array" ref="DO7">_xll.EQNXTDZ($A$1,$B7,DO$1)</f>
        <v>180.8</v>
      </c>
      <c r="DP7" s="116" cm="1">
        <f t="array" ref="DP7">_xll.EQNXTDZ($A$1,$B7,DP$1)</f>
        <v>175</v>
      </c>
      <c r="DQ7" s="116" cm="1">
        <f t="array" ref="DQ7">_xll.EQNXTDZ($A$1,$B7,DQ$1)</f>
        <v>210.4</v>
      </c>
      <c r="DR7" s="116" cm="1">
        <f t="array" ref="DR7">_xll.EQNXTDZ($A$1,$B7,DR$1)</f>
        <v>149.9</v>
      </c>
      <c r="DS7" s="116" cm="1">
        <f t="array" ref="DS7">_xll.EQNXTDZ($A$1,$B7,DS$1)</f>
        <v>147.4</v>
      </c>
      <c r="DT7" s="116" cm="1">
        <f t="array" ref="DT7">_xll.EQNXTDZ($A$1,$B7,DT$1)</f>
        <v>124.7</v>
      </c>
      <c r="DU7" s="116" cm="1">
        <f t="array" ref="DU7">_xll.EQNXTDZ($A$1,$B7,DU$1)</f>
        <v>117.3</v>
      </c>
      <c r="DV7" s="116" cm="1">
        <f t="array" ref="DV7">_xll.EQNXTDZ($A$1,$B7,DV$1)</f>
        <v>149</v>
      </c>
      <c r="DW7" s="116" cm="1">
        <f t="array" ref="DW7">_xll.EQNXTDZ($A$1,$B7,DW$1)</f>
        <v>114</v>
      </c>
      <c r="DX7" s="116" cm="1">
        <f t="array" ref="DX7">_xll.EQNXTDZ($A$1,$B7,DX$1)</f>
        <v>106.7</v>
      </c>
      <c r="DY7" s="116" cm="1">
        <f t="array" ref="DY7">_xll.EQNXTDZ($A$1,$B7,DY$1)</f>
        <v>103.7</v>
      </c>
      <c r="DZ7" s="116" cm="1">
        <f t="array" ref="DZ7">_xll.EQNXTDZ($A$1,$B7,DZ$1)</f>
        <v>93.8</v>
      </c>
      <c r="EA7" s="116" cm="1">
        <f t="array" ref="EA7">_xll.EQNXTDZ($A$1,$B7,EA$1)</f>
        <v>83.2</v>
      </c>
      <c r="EB7" s="116" cm="1">
        <f t="array" ref="EB7">_xll.EQNXTDZ($A$1,$B7,EB$1)</f>
        <v>70.95</v>
      </c>
      <c r="EC7" s="116" cm="1">
        <f t="array" ref="EC7">_xll.EQNXTDZ($A$1,$B7,EC$1)</f>
        <v>67.349999999999994</v>
      </c>
      <c r="ED7" s="116" cm="1">
        <f t="array" ref="ED7">_xll.EQNXTDZ($A$1,$B7,ED$1)</f>
        <v>70.900000000000006</v>
      </c>
      <c r="EE7" s="116" cm="1">
        <f t="array" ref="EE7">_xll.EQNXTDZ($A$1,$B7,EE$1)</f>
        <v>84.3</v>
      </c>
      <c r="EF7" s="116" cm="1">
        <f t="array" ref="EF7">_xll.EQNXTDZ($A$1,$B7,EF$1)</f>
        <v>87.25</v>
      </c>
      <c r="EG7" s="116" cm="1">
        <f t="array" ref="EG7">_xll.EQNXTDZ($A$1,$B7,EG$1)</f>
        <v>92.8</v>
      </c>
      <c r="EH7" s="116" cm="1">
        <f t="array" ref="EH7">_xll.EQNXTDZ($A$1,$B7,EH$1)</f>
        <v>109.1</v>
      </c>
      <c r="EI7" s="116" cm="1">
        <f t="array" ref="EI7">_xll.EQNXTDZ($A$1,$B7,EI$1)</f>
        <v>100.4</v>
      </c>
      <c r="EJ7" s="116" cm="1">
        <f t="array" ref="EJ7">_xll.EQNXTDZ($A$1,$B7,EJ$1)</f>
        <v>96.8</v>
      </c>
      <c r="EK7" s="116" cm="1">
        <f t="array" ref="EK7">_xll.EQNXTDZ($A$1,$B7,EK$1)</f>
        <v>98.3</v>
      </c>
      <c r="EL7" s="116" cm="1">
        <f t="array" ref="EL7">_xll.EQNXTDZ($A$1,$B7,EL$1)</f>
        <v>99.25</v>
      </c>
      <c r="EM7" s="116" cm="1">
        <f t="array" ref="EM7">_xll.EQNXTDZ($A$1,$B7,EM$1)</f>
        <v>106.6</v>
      </c>
      <c r="EN7" s="116" cm="1">
        <f t="array" ref="EN7">_xll.EQNXTDZ($A$1,$B7,EN$1)</f>
        <v>91.15</v>
      </c>
      <c r="EO7" s="116" cm="1">
        <f t="array" ref="EO7">_xll.EQNXTDZ($A$1,$B7,EO$1)</f>
        <v>89.75</v>
      </c>
      <c r="EP7" s="116" cm="1">
        <f t="array" ref="EP7">_xll.EQNXTDZ($A$1,$B7,EP$1)</f>
        <v>83.2</v>
      </c>
      <c r="EQ7" s="116" cm="1">
        <f t="array" ref="EQ7">_xll.EQNXTDZ($A$1,$B7,EQ$1)</f>
        <v>82.5</v>
      </c>
      <c r="ER7" s="116" cm="1">
        <f t="array" ref="ER7">_xll.EQNXTDZ($A$1,$B7,ER$1)</f>
        <v>111.4</v>
      </c>
      <c r="ES7" s="116" cm="1">
        <f t="array" ref="ES7">_xll.EQNXTDZ($A$1,$B7,ES$1)</f>
        <v>104</v>
      </c>
      <c r="ET7" s="116" cm="1">
        <f t="array" ref="ET7">_xll.EQNXTDZ($A$1,$B7,ET$1)</f>
        <v>98.8</v>
      </c>
      <c r="EU7" s="116" cm="1">
        <f t="array" ref="EU7">_xll.EQNXTDZ($A$1,$B7,EU$1)</f>
        <v>86.33</v>
      </c>
      <c r="EV7" s="116" cm="1">
        <f t="array" ref="EV7">_xll.EQNXTDZ($A$1,$B7,EV$1)</f>
        <v>85.5</v>
      </c>
      <c r="EW7" s="116" cm="1">
        <f t="array" ref="EW7">_xll.EQNXTDZ($A$1,$B7,EW$1)</f>
        <v>88.9</v>
      </c>
      <c r="EX7" s="116" cm="1">
        <f t="array" ref="EX7">_xll.EQNXTDZ($A$1,$B7,EX$1)</f>
        <v>84.5</v>
      </c>
      <c r="EY7" s="116" cm="1">
        <f t="array" ref="EY7">_xll.EQNXTDZ($A$1,$B7,EY$1)</f>
        <v>77.55</v>
      </c>
      <c r="EZ7" s="116" cm="1">
        <f t="array" ref="EZ7">_xll.EQNXTDZ($A$1,$B7,EZ$1)</f>
        <v>64.7</v>
      </c>
      <c r="FA7" s="116" cm="1">
        <f t="array" ref="FA7">_xll.EQNXTDZ($A$1,$B7,FA$1)</f>
        <v>62.1</v>
      </c>
      <c r="FB7" s="116" cm="1">
        <f t="array" ref="FB7">_xll.EQNXTDZ($A$1,$B7,FB$1)</f>
        <v>80.5</v>
      </c>
      <c r="FC7" s="116" cm="1">
        <f t="array" ref="FC7">_xll.EQNXTDZ($A$1,$B7,FC$1)</f>
        <v>81.12</v>
      </c>
      <c r="FD7" s="116" cm="1">
        <f t="array" ref="FD7">_xll.EQNXTDZ($A$1,$B7,FD$1)</f>
        <v>66.98</v>
      </c>
      <c r="FE7" s="116" cm="1">
        <f t="array" ref="FE7">_xll.EQNXTDZ($A$1,$B7,FE$1)</f>
        <v>60.89</v>
      </c>
      <c r="FF7" s="116" cm="1">
        <f t="array" ref="FF7">_xll.EQNXTDZ($A$1,$B7,FF$1)</f>
        <v>60.62</v>
      </c>
      <c r="FG7" s="116" cm="1">
        <f t="array" ref="FG7">_xll.EQNXTDZ($A$1,$B7,FG$1)</f>
        <v>60.08</v>
      </c>
      <c r="FH7" s="116" cm="1">
        <f t="array" ref="FH7">_xll.EQNXTDZ($A$1,$B7,FH$1)</f>
        <v>58.25</v>
      </c>
      <c r="FI7" s="116" cm="1">
        <f t="array" ref="FI7">_xll.EQNXTDZ($A$1,$B7,FI$1)</f>
        <v>54.78</v>
      </c>
      <c r="FJ7" s="116" cm="1">
        <f t="array" ref="FJ7">_xll.EQNXTDZ($A$1,$B7,FJ$1)</f>
        <v>50.1</v>
      </c>
      <c r="FK7" s="116" cm="1">
        <f t="array" ref="FK7">_xll.EQNXTDZ($A$1,$B7,FK$1)</f>
        <v>47.85</v>
      </c>
      <c r="FL7" s="116" cm="1">
        <f t="array" ref="FL7">_xll.EQNXTDZ($A$1,$B7,FL$1)</f>
        <v>42.12</v>
      </c>
      <c r="FM7" s="116" cm="1">
        <f t="array" ref="FM7">_xll.EQNXTDZ($A$1,$B7,FM$1)</f>
        <v>49.74</v>
      </c>
      <c r="FN7" s="116" cm="1">
        <f t="array" ref="FN7">_xll.EQNXTDZ($A$1,$B7,FN$1)</f>
        <v>45.79</v>
      </c>
      <c r="FO7" s="116" cm="1">
        <f t="array" ref="FO7">_xll.EQNXTDZ($A$1,$B7,FO$1)</f>
        <v>48.13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14.417475728155299</v>
      </c>
      <c r="HQ7" s="116">
        <f>+MAX(G7:I7)</f>
        <v>13.1553398058252</v>
      </c>
      <c r="HR7" s="116">
        <f>+MAX(J7:L7)</f>
        <v>12.7669902912621</v>
      </c>
      <c r="HS7" s="116">
        <f>+MAX(M7:O7)</f>
        <v>10.291262135922301</v>
      </c>
      <c r="HT7" s="116">
        <f>+MAX(P7:R7)</f>
        <v>7.5242718446601904</v>
      </c>
      <c r="HU7" s="116">
        <f>+MAX(S7:U7)</f>
        <v>8.4499999999999993</v>
      </c>
      <c r="HV7" s="116">
        <f>+MAX(V7:X7)</f>
        <v>8.8000000000000007</v>
      </c>
      <c r="HW7" s="116">
        <f>+MAX(Y7:AA7)</f>
        <v>13.2</v>
      </c>
      <c r="HX7" s="116">
        <f>+MAX(AB7:AD7)</f>
        <v>14.1</v>
      </c>
      <c r="HY7" s="116">
        <f>+MAX(AE7:AG7)</f>
        <v>10.25</v>
      </c>
      <c r="HZ7" s="116">
        <f>+MAX(AH7:AJ7)</f>
        <v>11.25</v>
      </c>
      <c r="IA7" s="116">
        <f>+MAX(AK7:AM7)</f>
        <v>8.9</v>
      </c>
      <c r="IB7" s="116">
        <f>+MAX(AN7:AP7)</f>
        <v>8.8000000000000007</v>
      </c>
      <c r="IC7" s="116">
        <f>+MAX(AQ7:AS7)</f>
        <v>9.4</v>
      </c>
      <c r="ID7" s="116">
        <f>+MAX(AT7:AV7)</f>
        <v>8.6</v>
      </c>
      <c r="IE7" s="116">
        <f>+MAX(AW7:AY7)</f>
        <v>7.6</v>
      </c>
      <c r="IF7" s="116">
        <f>+MAX(AZ7:BB7)</f>
        <v>7.55</v>
      </c>
      <c r="IG7" s="116">
        <f>+MAX(BC7:BE7)</f>
        <v>8.1999999999999993</v>
      </c>
      <c r="IH7" s="116">
        <f>+MAX(BF7:BH7)</f>
        <v>10.45</v>
      </c>
      <c r="II7" s="116">
        <f>+MAX(BI7:BK7)</f>
        <v>9.4499999999999993</v>
      </c>
      <c r="IJ7" s="116">
        <f>+MAX(BL7:BN7)</f>
        <v>10</v>
      </c>
      <c r="IK7" s="116">
        <f>+MAX(BO7:BQ7)</f>
        <v>10.4</v>
      </c>
      <c r="IL7" s="116">
        <f>+MAX(BR7:BT7)</f>
        <v>7.9</v>
      </c>
      <c r="IM7" s="116">
        <f>+MAX(BU7:BW7)</f>
        <v>6.85</v>
      </c>
      <c r="IN7" s="116">
        <f>+MAX(BX7:BZ7)</f>
        <v>5.85</v>
      </c>
      <c r="IO7" s="116">
        <f>+MAX(CA7:CC7)</f>
        <v>4.8</v>
      </c>
      <c r="IP7" s="116">
        <f>+MAX(CD7:CF7)</f>
        <v>4.0999999999999996</v>
      </c>
      <c r="IQ7" s="116">
        <f>+MAX(CG7:CI7)</f>
        <v>5.15</v>
      </c>
      <c r="IR7" s="116">
        <f>+MAX(CJ7:CL7)</f>
        <v>4.3</v>
      </c>
      <c r="IS7" s="116">
        <f>+MAX(CM7:CO7)</f>
        <v>3.2</v>
      </c>
      <c r="IT7" s="116">
        <f>+MAX(CP7:CR7)</f>
        <v>4.4000000000000004</v>
      </c>
      <c r="IU7" s="116">
        <f>+MAX(CS7:CU7)</f>
        <v>4.45</v>
      </c>
      <c r="IV7" s="116">
        <f>+MAX(CV7:CX7)</f>
        <v>4.05</v>
      </c>
      <c r="IW7" s="116">
        <f>+MAX(CY7:DA7)</f>
        <v>8.65</v>
      </c>
      <c r="IX7" s="116">
        <f>+MAX(DB7:DD7)</f>
        <v>22.8</v>
      </c>
      <c r="IY7" s="116">
        <f>+MAX(DE7:DG7)</f>
        <v>44.6</v>
      </c>
      <c r="IZ7" s="116">
        <f>+MAX(DH7:DJ7)</f>
        <v>54.1</v>
      </c>
      <c r="JA7" s="116">
        <f>+MAX(DK7:DM7)</f>
        <v>206.35</v>
      </c>
      <c r="JB7" s="116">
        <f>+MAX(DN7:DP7)</f>
        <v>290.14999999999998</v>
      </c>
      <c r="JC7" s="116">
        <f>+MAX(DQ7:DS7)</f>
        <v>210.4</v>
      </c>
      <c r="JD7" s="116">
        <f>+MAX(DT7:DV7)</f>
        <v>149</v>
      </c>
      <c r="JE7" s="116">
        <f>+MAX(DW7:DY7)</f>
        <v>114</v>
      </c>
      <c r="JF7" s="116">
        <f>+MAX(DZ7:EB7)</f>
        <v>93.8</v>
      </c>
      <c r="JG7" s="116">
        <f>+MAX(EC7:EE7)</f>
        <v>84.3</v>
      </c>
      <c r="JH7" s="116">
        <f>+MAX(EF7:EH7)</f>
        <v>109.1</v>
      </c>
      <c r="JI7" s="116">
        <f>+MAX(EI7:EK7)</f>
        <v>100.4</v>
      </c>
      <c r="JJ7" s="116">
        <f>+MAX(EL7:EN7)</f>
        <v>106.6</v>
      </c>
      <c r="JK7" s="116">
        <f>MAX(EO7:EQ7)</f>
        <v>89.75</v>
      </c>
      <c r="JL7" s="116">
        <f>MAX(ER7:ET7)</f>
        <v>111.4</v>
      </c>
      <c r="JM7" s="116">
        <f>MAX(EU7:EW7)</f>
        <v>88.9</v>
      </c>
      <c r="JN7" s="116">
        <f>MAX(EX7:EZ7)</f>
        <v>84.5</v>
      </c>
      <c r="JO7" s="116">
        <f>MAX(FA7:FC7)</f>
        <v>81.12</v>
      </c>
      <c r="JP7" s="116">
        <f>MAX(FD7:FF7)</f>
        <v>66.98</v>
      </c>
      <c r="JQ7" s="116">
        <f>MAX(FG7:FI7)</f>
        <v>60.08</v>
      </c>
      <c r="JR7" s="116">
        <f>MAX(FJ7:FL7)</f>
        <v>50.1</v>
      </c>
      <c r="JS7" s="116">
        <f>MAX(FM7:FO7)</f>
        <v>49.74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12.184466019417499</v>
      </c>
      <c r="D8" s="116" cm="1">
        <f t="array" ref="D8">_xll.EQNXTDZ($A$1,$B8,D$1)</f>
        <v>12.0388349514563</v>
      </c>
      <c r="E8" s="116" cm="1">
        <f t="array" ref="E8">_xll.EQNXTDZ($A$1,$B8,E$1)</f>
        <v>10.145631067961199</v>
      </c>
      <c r="F8" s="116" cm="1">
        <f t="array" ref="F8">_xll.EQNXTDZ($A$1,$B8,F$1)</f>
        <v>10.291262135922301</v>
      </c>
      <c r="G8" s="116" cm="1">
        <f t="array" ref="G8">_xll.EQNXTDZ($A$1,$B8,G$1)</f>
        <v>10.4854368932039</v>
      </c>
      <c r="H8" s="116" cm="1">
        <f t="array" ref="H8">_xll.EQNXTDZ($A$1,$B8,H$1)</f>
        <v>10.5339805825243</v>
      </c>
      <c r="I8" s="116" cm="1">
        <f t="array" ref="I8">_xll.EQNXTDZ($A$1,$B8,I$1)</f>
        <v>11.1650485436893</v>
      </c>
      <c r="J8" s="116" cm="1">
        <f t="array" ref="J8">_xll.EQNXTDZ($A$1,$B8,J$1)</f>
        <v>11.213592233009701</v>
      </c>
      <c r="K8" s="116" cm="1">
        <f t="array" ref="K8">_xll.EQNXTDZ($A$1,$B8,K$1)</f>
        <v>9.3203883495145607</v>
      </c>
      <c r="L8" s="116" cm="1">
        <f t="array" ref="L8">_xll.EQNXTDZ($A$1,$B8,L$1)</f>
        <v>7.0873786407767003</v>
      </c>
      <c r="M8" s="116" cm="1">
        <f t="array" ref="M8">_xll.EQNXTDZ($A$1,$B8,M$1)</f>
        <v>6.7961165048543704</v>
      </c>
      <c r="N8" s="116" cm="1">
        <f t="array" ref="N8">_xll.EQNXTDZ($A$1,$B8,N$1)</f>
        <v>7.13592233009709</v>
      </c>
      <c r="O8" s="116" cm="1">
        <f t="array" ref="O8">_xll.EQNXTDZ($A$1,$B8,O$1)</f>
        <v>4.8543689320388301</v>
      </c>
      <c r="P8" s="116" cm="1">
        <f t="array" ref="P8">_xll.EQNXTDZ($A$1,$B8,P$1)</f>
        <v>5.8737864077669899</v>
      </c>
      <c r="Q8" s="116" cm="1">
        <f t="array" ref="Q8">_xll.EQNXTDZ($A$1,$B8,Q$1)</f>
        <v>5.4</v>
      </c>
      <c r="R8" s="116" cm="1">
        <f t="array" ref="R8">_xll.EQNXTDZ($A$1,$B8,R$1)</f>
        <v>5.7</v>
      </c>
      <c r="S8" s="116" cm="1">
        <f t="array" ref="S8">_xll.EQNXTDZ($A$1,$B8,S$1)</f>
        <v>6.65</v>
      </c>
      <c r="T8" s="116" cm="1">
        <f t="array" ref="T8">_xll.EQNXTDZ($A$1,$B8,T$1)</f>
        <v>6.45</v>
      </c>
      <c r="U8" s="116" cm="1">
        <f t="array" ref="U8">_xll.EQNXTDZ($A$1,$B8,U$1)</f>
        <v>6.55</v>
      </c>
      <c r="V8" s="116" cm="1">
        <f t="array" ref="V8">_xll.EQNXTDZ($A$1,$B8,V$1)</f>
        <v>7.05</v>
      </c>
      <c r="W8" s="116" cm="1">
        <f t="array" ref="W8">_xll.EQNXTDZ($A$1,$B8,W$1)</f>
        <v>6.8</v>
      </c>
      <c r="X8" s="116" cm="1">
        <f t="array" ref="X8">_xll.EQNXTDZ($A$1,$B8,X$1)</f>
        <v>6.85</v>
      </c>
      <c r="Y8" s="116" cm="1">
        <f t="array" ref="Y8">_xll.EQNXTDZ($A$1,$B8,Y$1)</f>
        <v>7.25</v>
      </c>
      <c r="Z8" s="116" cm="1">
        <f t="array" ref="Z8">_xll.EQNXTDZ($A$1,$B8,Z$1)</f>
        <v>8.25</v>
      </c>
      <c r="AA8" s="116" cm="1">
        <f t="array" ref="AA8">_xll.EQNXTDZ($A$1,$B8,AA$1)</f>
        <v>10.75</v>
      </c>
      <c r="AB8" s="116" cm="1">
        <f t="array" ref="AB8">_xll.EQNXTDZ($A$1,$B8,AB$1)</f>
        <v>11.3</v>
      </c>
      <c r="AC8" s="116" cm="1">
        <f t="array" ref="AC8">_xll.EQNXTDZ($A$1,$B8,AC$1)</f>
        <v>10.35</v>
      </c>
      <c r="AD8" s="116" cm="1">
        <f t="array" ref="AD8">_xll.EQNXTDZ($A$1,$B8,AD$1)</f>
        <v>9.6</v>
      </c>
      <c r="AE8" s="116" cm="1">
        <f t="array" ref="AE8">_xll.EQNXTDZ($A$1,$B8,AE$1)</f>
        <v>8.8000000000000007</v>
      </c>
      <c r="AF8" s="116" cm="1">
        <f t="array" ref="AF8">_xll.EQNXTDZ($A$1,$B8,AF$1)</f>
        <v>8.5</v>
      </c>
      <c r="AG8" s="116" cm="1">
        <f t="array" ref="AG8">_xll.EQNXTDZ($A$1,$B8,AG$1)</f>
        <v>7.4</v>
      </c>
      <c r="AH8" s="116" cm="1">
        <f t="array" ref="AH8">_xll.EQNXTDZ($A$1,$B8,AH$1)</f>
        <v>7.55</v>
      </c>
      <c r="AI8" s="116" cm="1">
        <f t="array" ref="AI8">_xll.EQNXTDZ($A$1,$B8,AI$1)</f>
        <v>8.3000000000000007</v>
      </c>
      <c r="AJ8" s="116" cm="1">
        <f t="array" ref="AJ8">_xll.EQNXTDZ($A$1,$B8,AJ$1)</f>
        <v>7.6</v>
      </c>
      <c r="AK8" s="116" cm="1">
        <f t="array" ref="AK8">_xll.EQNXTDZ($A$1,$B8,AK$1)</f>
        <v>7.45</v>
      </c>
      <c r="AL8" s="116" cm="1">
        <f t="array" ref="AL8">_xll.EQNXTDZ($A$1,$B8,AL$1)</f>
        <v>5.6</v>
      </c>
      <c r="AM8" s="116" cm="1">
        <f t="array" ref="AM8">_xll.EQNXTDZ($A$1,$B8,AM$1)</f>
        <v>6.15</v>
      </c>
      <c r="AN8" s="116" cm="1">
        <f t="array" ref="AN8">_xll.EQNXTDZ($A$1,$B8,AN$1)</f>
        <v>6.55</v>
      </c>
      <c r="AO8" s="116" cm="1">
        <f t="array" ref="AO8">_xll.EQNXTDZ($A$1,$B8,AO$1)</f>
        <v>5.7</v>
      </c>
      <c r="AP8" s="116" cm="1">
        <f t="array" ref="AP8">_xll.EQNXTDZ($A$1,$B8,AP$1)</f>
        <v>5.95</v>
      </c>
      <c r="AQ8" s="116" cm="1">
        <f t="array" ref="AQ8">_xll.EQNXTDZ($A$1,$B8,AQ$1)</f>
        <v>6.15</v>
      </c>
      <c r="AR8" s="116" cm="1">
        <f t="array" ref="AR8">_xll.EQNXTDZ($A$1,$B8,AR$1)</f>
        <v>6.2</v>
      </c>
      <c r="AS8" s="116" cm="1">
        <f t="array" ref="AS8">_xll.EQNXTDZ($A$1,$B8,AS$1)</f>
        <v>6.75</v>
      </c>
      <c r="AT8" s="116" cm="1">
        <f t="array" ref="AT8">_xll.EQNXTDZ($A$1,$B8,AT$1)</f>
        <v>6.45</v>
      </c>
      <c r="AU8" s="116" cm="1">
        <f t="array" ref="AU8">_xll.EQNXTDZ($A$1,$B8,AU$1)</f>
        <v>5.7</v>
      </c>
      <c r="AV8" s="116" cm="1">
        <f t="array" ref="AV8">_xll.EQNXTDZ($A$1,$B8,AV$1)</f>
        <v>5.9</v>
      </c>
      <c r="AW8" s="116" cm="1">
        <f t="array" ref="AW8">_xll.EQNXTDZ($A$1,$B8,AW$1)</f>
        <v>6.4</v>
      </c>
      <c r="AX8" s="116" cm="1">
        <f t="array" ref="AX8">_xll.EQNXTDZ($A$1,$B8,AX$1)</f>
        <v>6.25</v>
      </c>
      <c r="AY8" s="116" cm="1">
        <f t="array" ref="AY8">_xll.EQNXTDZ($A$1,$B8,AY$1)</f>
        <v>6.15</v>
      </c>
      <c r="AZ8" s="116" cm="1">
        <f t="array" ref="AZ8">_xll.EQNXTDZ($A$1,$B8,AZ$1)</f>
        <v>6.7</v>
      </c>
      <c r="BA8" s="116" cm="1">
        <f t="array" ref="BA8">_xll.EQNXTDZ($A$1,$B8,BA$1)</f>
        <v>6.25</v>
      </c>
      <c r="BB8" s="116" cm="1">
        <f t="array" ref="BB8">_xll.EQNXTDZ($A$1,$B8,BB$1)</f>
        <v>5.4</v>
      </c>
      <c r="BC8" s="116" cm="1">
        <f t="array" ref="BC8">_xll.EQNXTDZ($A$1,$B8,BC$1)</f>
        <v>5.65</v>
      </c>
      <c r="BD8" s="116" cm="1">
        <f t="array" ref="BD8">_xll.EQNXTDZ($A$1,$B8,BD$1)</f>
        <v>5.55</v>
      </c>
      <c r="BE8" s="116" cm="1">
        <f t="array" ref="BE8">_xll.EQNXTDZ($A$1,$B8,BE$1)</f>
        <v>5.75</v>
      </c>
      <c r="BF8" s="116" cm="1">
        <f t="array" ref="BF8">_xll.EQNXTDZ($A$1,$B8,BF$1)</f>
        <v>5.8</v>
      </c>
      <c r="BG8" s="116" cm="1">
        <f t="array" ref="BG8">_xll.EQNXTDZ($A$1,$B8,BG$1)</f>
        <v>5.95</v>
      </c>
      <c r="BH8" s="116" cm="1">
        <f t="array" ref="BH8">_xll.EQNXTDZ($A$1,$B8,BH$1)</f>
        <v>7.15</v>
      </c>
      <c r="BI8" s="116" cm="1">
        <f t="array" ref="BI8">_xll.EQNXTDZ($A$1,$B8,BI$1)</f>
        <v>6.85</v>
      </c>
      <c r="BJ8" s="116" cm="1">
        <f t="array" ref="BJ8">_xll.EQNXTDZ($A$1,$B8,BJ$1)</f>
        <v>6.5</v>
      </c>
      <c r="BK8" s="116" cm="1">
        <f t="array" ref="BK8">_xll.EQNXTDZ($A$1,$B8,BK$1)</f>
        <v>5.9</v>
      </c>
      <c r="BL8" s="116" cm="1">
        <f t="array" ref="BL8">_xll.EQNXTDZ($A$1,$B8,BL$1)</f>
        <v>6.7</v>
      </c>
      <c r="BM8" s="116" cm="1">
        <f t="array" ref="BM8">_xll.EQNXTDZ($A$1,$B8,BM$1)</f>
        <v>6.25</v>
      </c>
      <c r="BN8" s="116" cm="1">
        <f t="array" ref="BN8">_xll.EQNXTDZ($A$1,$B8,BN$1)</f>
        <v>5.9</v>
      </c>
      <c r="BO8" s="116" cm="1">
        <f t="array" ref="BO8">_xll.EQNXTDZ($A$1,$B8,BO$1)</f>
        <v>3.7</v>
      </c>
      <c r="BP8" s="116" cm="1">
        <f t="array" ref="BP8">_xll.EQNXTDZ($A$1,$B8,BP$1)</f>
        <v>6.75</v>
      </c>
      <c r="BQ8" s="116" cm="1">
        <f t="array" ref="BQ8">_xll.EQNXTDZ($A$1,$B8,BQ$1)</f>
        <v>6.25</v>
      </c>
      <c r="BR8" s="116" cm="1">
        <f t="array" ref="BR8">_xll.EQNXTDZ($A$1,$B8,BR$1)</f>
        <v>6.8</v>
      </c>
      <c r="BS8" s="116" cm="1">
        <f t="array" ref="BS8">_xll.EQNXTDZ($A$1,$B8,BS$1)</f>
        <v>6.1</v>
      </c>
      <c r="BT8" s="116" cm="1">
        <f t="array" ref="BT8">_xll.EQNXTDZ($A$1,$B8,BT$1)</f>
        <v>5.45</v>
      </c>
      <c r="BU8" s="116" cm="1">
        <f t="array" ref="BU8">_xll.EQNXTDZ($A$1,$B8,BU$1)</f>
        <v>5.3</v>
      </c>
      <c r="BV8" s="116" cm="1">
        <f t="array" ref="BV8">_xll.EQNXTDZ($A$1,$B8,BV$1)</f>
        <v>4.7</v>
      </c>
      <c r="BW8" s="116" cm="1">
        <f t="array" ref="BW8">_xll.EQNXTDZ($A$1,$B8,BW$1)</f>
        <v>4.55</v>
      </c>
      <c r="BX8" s="116" cm="1">
        <f t="array" ref="BX8">_xll.EQNXTDZ($A$1,$B8,BX$1)</f>
        <v>3.95</v>
      </c>
      <c r="BY8" s="116" cm="1">
        <f t="array" ref="BY8">_xll.EQNXTDZ($A$1,$B8,BY$1)</f>
        <v>4.75</v>
      </c>
      <c r="BZ8" s="116" cm="1">
        <f t="array" ref="BZ8">_xll.EQNXTDZ($A$1,$B8,BZ$1)</f>
        <v>4.1500000000000004</v>
      </c>
      <c r="CA8" s="116" cm="1">
        <f t="array" ref="CA8">_xll.EQNXTDZ($A$1,$B8,CA$1)</f>
        <v>3.75</v>
      </c>
      <c r="CB8" s="116" cm="1">
        <f t="array" ref="CB8">_xll.EQNXTDZ($A$1,$B8,CB$1)</f>
        <v>3.95</v>
      </c>
      <c r="CC8" s="116" cm="1">
        <f t="array" ref="CC8">_xll.EQNXTDZ($A$1,$B8,CC$1)</f>
        <v>3.7</v>
      </c>
      <c r="CD8" s="116" cm="1">
        <f t="array" ref="CD8">_xll.EQNXTDZ($A$1,$B8,CD$1)</f>
        <v>3.6</v>
      </c>
      <c r="CE8" s="116" cm="1">
        <f t="array" ref="CE8">_xll.EQNXTDZ($A$1,$B8,CE$1)</f>
        <v>2.6</v>
      </c>
      <c r="CF8" s="116" cm="1">
        <f t="array" ref="CF8">_xll.EQNXTDZ($A$1,$B8,CF$1)</f>
        <v>3</v>
      </c>
      <c r="CG8" s="116" cm="1">
        <f t="array" ref="CG8">_xll.EQNXTDZ($A$1,$B8,CG$1)</f>
        <v>2.9</v>
      </c>
      <c r="CH8" s="116" cm="1">
        <f t="array" ref="CH8">_xll.EQNXTDZ($A$1,$B8,CH$1)</f>
        <v>2.5</v>
      </c>
      <c r="CI8" s="116" cm="1">
        <f t="array" ref="CI8">_xll.EQNXTDZ($A$1,$B8,CI$1)</f>
        <v>3.3</v>
      </c>
      <c r="CJ8" s="116" cm="1">
        <f t="array" ref="CJ8">_xll.EQNXTDZ($A$1,$B8,CJ$1)</f>
        <v>2.85</v>
      </c>
      <c r="CK8" s="116" cm="1">
        <f t="array" ref="CK8">_xll.EQNXTDZ($A$1,$B8,CK$1)</f>
        <v>2.35</v>
      </c>
      <c r="CL8" s="116" cm="1">
        <f t="array" ref="CL8">_xll.EQNXTDZ($A$1,$B8,CL$1)</f>
        <v>2.35</v>
      </c>
      <c r="CM8" s="116" cm="1">
        <f t="array" ref="CM8">_xll.EQNXTDZ($A$1,$B8,CM$1)</f>
        <v>2.4500000000000002</v>
      </c>
      <c r="CN8" s="116" cm="1">
        <f t="array" ref="CN8">_xll.EQNXTDZ($A$1,$B8,CN$1)</f>
        <v>2.5499999999999998</v>
      </c>
      <c r="CO8" s="116" cm="1">
        <f t="array" ref="CO8">_xll.EQNXTDZ($A$1,$B8,CO$1)</f>
        <v>2.2000000000000002</v>
      </c>
      <c r="CP8" s="116" cm="1">
        <f t="array" ref="CP8">_xll.EQNXTDZ($A$1,$B8,CP$1)</f>
        <v>2.2000000000000002</v>
      </c>
      <c r="CQ8" s="116" cm="1">
        <f t="array" ref="CQ8">_xll.EQNXTDZ($A$1,$B8,CQ$1)</f>
        <v>2.2000000000000002</v>
      </c>
      <c r="CR8" s="116" cm="1">
        <f t="array" ref="CR8">_xll.EQNXTDZ($A$1,$B8,CR$1)</f>
        <v>1.8</v>
      </c>
      <c r="CS8" s="116" cm="1">
        <f t="array" ref="CS8">_xll.EQNXTDZ($A$1,$B8,CS$1)</f>
        <v>1.8</v>
      </c>
      <c r="CT8" s="116" cm="1">
        <f t="array" ref="CT8">_xll.EQNXTDZ($A$1,$B8,CT$1)</f>
        <v>2.1</v>
      </c>
      <c r="CU8" s="116" cm="1">
        <f t="array" ref="CU8">_xll.EQNXTDZ($A$1,$B8,CU$1)</f>
        <v>2.7</v>
      </c>
      <c r="CV8" s="116" cm="1">
        <f t="array" ref="CV8">_xll.EQNXTDZ($A$1,$B8,CV$1)</f>
        <v>3.3</v>
      </c>
      <c r="CW8" s="116" cm="1">
        <f t="array" ref="CW8">_xll.EQNXTDZ($A$1,$B8,CW$1)</f>
        <v>3.25</v>
      </c>
      <c r="CX8" s="116" cm="1">
        <f t="array" ref="CX8">_xll.EQNXTDZ($A$1,$B8,CX$1)</f>
        <v>2.75</v>
      </c>
      <c r="CY8" s="116" cm="1">
        <f t="array" ref="CY8">_xll.EQNXTDZ($A$1,$B8,CY$1)</f>
        <v>2.7</v>
      </c>
      <c r="CZ8" s="116" cm="1">
        <f t="array" ref="CZ8">_xll.EQNXTDZ($A$1,$B8,CZ$1)</f>
        <v>5.55</v>
      </c>
      <c r="DA8" s="116" cm="1">
        <f t="array" ref="DA8">_xll.EQNXTDZ($A$1,$B8,DA$1)</f>
        <v>6.65</v>
      </c>
      <c r="DB8" s="116" cm="1">
        <f t="array" ref="DB8">_xll.EQNXTDZ($A$1,$B8,DB$1)</f>
        <v>7.6</v>
      </c>
      <c r="DC8" s="116" cm="1">
        <f t="array" ref="DC8">_xll.EQNXTDZ($A$1,$B8,DC$1)</f>
        <v>14.25</v>
      </c>
      <c r="DD8" s="116" cm="1">
        <f t="array" ref="DD8">_xll.EQNXTDZ($A$1,$B8,DD$1)</f>
        <v>12.6</v>
      </c>
      <c r="DE8" s="116" cm="1">
        <f t="array" ref="DE8">_xll.EQNXTDZ($A$1,$B8,DE$1)</f>
        <v>10.45</v>
      </c>
      <c r="DF8" s="116" cm="1">
        <f t="array" ref="DF8">_xll.EQNXTDZ($A$1,$B8,DF$1)</f>
        <v>12.3</v>
      </c>
      <c r="DG8" s="116" cm="1">
        <f t="array" ref="DG8">_xll.EQNXTDZ($A$1,$B8,DG$1)</f>
        <v>16.350000000000001</v>
      </c>
      <c r="DH8" s="116" cm="1">
        <f t="array" ref="DH8">_xll.EQNXTDZ($A$1,$B8,DH$1)</f>
        <v>32.75</v>
      </c>
      <c r="DI8" s="116" cm="1">
        <f t="array" ref="DI8">_xll.EQNXTDZ($A$1,$B8,DI$1)</f>
        <v>33.049999999999997</v>
      </c>
      <c r="DJ8" s="116" cm="1">
        <f t="array" ref="DJ8">_xll.EQNXTDZ($A$1,$B8,DJ$1)</f>
        <v>33.299999999999997</v>
      </c>
      <c r="DK8" s="116" cm="1">
        <f t="array" ref="DK8">_xll.EQNXTDZ($A$1,$B8,DK$1)</f>
        <v>35.299999999999997</v>
      </c>
      <c r="DL8" s="116" cm="1">
        <f t="array" ref="DL8">_xll.EQNXTDZ($A$1,$B8,DL$1)</f>
        <v>53.7</v>
      </c>
      <c r="DM8" s="116" cm="1">
        <f t="array" ref="DM8">_xll.EQNXTDZ($A$1,$B8,DM$1)</f>
        <v>118.15</v>
      </c>
      <c r="DN8" s="116" cm="1">
        <f t="array" ref="DN8">_xll.EQNXTDZ($A$1,$B8,DN$1)</f>
        <v>149.19999999999999</v>
      </c>
      <c r="DO8" s="116" cm="1">
        <f t="array" ref="DO8">_xll.EQNXTDZ($A$1,$B8,DO$1)</f>
        <v>106.4</v>
      </c>
      <c r="DP8" s="116" cm="1">
        <f t="array" ref="DP8">_xll.EQNXTDZ($A$1,$B8,DP$1)</f>
        <v>90.5</v>
      </c>
      <c r="DQ8" s="116" cm="1">
        <f t="array" ref="DQ8">_xll.EQNXTDZ($A$1,$B8,DQ$1)</f>
        <v>139.69999999999999</v>
      </c>
      <c r="DR8" s="116" cm="1">
        <f t="array" ref="DR8">_xll.EQNXTDZ($A$1,$B8,DR$1)</f>
        <v>111.5</v>
      </c>
      <c r="DS8" s="116" cm="1">
        <f t="array" ref="DS8">_xll.EQNXTDZ($A$1,$B8,DS$1)</f>
        <v>102.6</v>
      </c>
      <c r="DT8" s="116" cm="1">
        <f t="array" ref="DT8">_xll.EQNXTDZ($A$1,$B8,DT$1)</f>
        <v>105.2</v>
      </c>
      <c r="DU8" s="116" cm="1">
        <f t="array" ref="DU8">_xll.EQNXTDZ($A$1,$B8,DU$1)</f>
        <v>88.2</v>
      </c>
      <c r="DV8" s="116" cm="1">
        <f t="array" ref="DV8">_xll.EQNXTDZ($A$1,$B8,DV$1)</f>
        <v>101</v>
      </c>
      <c r="DW8" s="116" cm="1">
        <f t="array" ref="DW8">_xll.EQNXTDZ($A$1,$B8,DW$1)</f>
        <v>99</v>
      </c>
      <c r="DX8" s="116" cm="1">
        <f t="array" ref="DX8">_xll.EQNXTDZ($A$1,$B8,DX$1)</f>
        <v>97</v>
      </c>
      <c r="DY8" s="116" cm="1">
        <f t="array" ref="DY8">_xll.EQNXTDZ($A$1,$B8,DY$1)</f>
        <v>78.849999999999994</v>
      </c>
      <c r="DZ8" s="116" cm="1">
        <f t="array" ref="DZ8">_xll.EQNXTDZ($A$1,$B8,DZ$1)</f>
        <v>73</v>
      </c>
      <c r="EA8" s="116" cm="1">
        <f t="array" ref="EA8">_xll.EQNXTDZ($A$1,$B8,EA$1)</f>
        <v>52.1</v>
      </c>
      <c r="EB8" s="116" cm="1">
        <f t="array" ref="EB8">_xll.EQNXTDZ($A$1,$B8,EB$1)</f>
        <v>49.65</v>
      </c>
      <c r="EC8" s="116" cm="1">
        <f t="array" ref="EC8">_xll.EQNXTDZ($A$1,$B8,EC$1)</f>
        <v>53.6</v>
      </c>
      <c r="ED8" s="116" cm="1">
        <f t="array" ref="ED8">_xll.EQNXTDZ($A$1,$B8,ED$1)</f>
        <v>60.2</v>
      </c>
      <c r="EE8" s="116" cm="1">
        <f t="array" ref="EE8">_xll.EQNXTDZ($A$1,$B8,EE$1)</f>
        <v>61.45</v>
      </c>
      <c r="EF8" s="116" cm="1">
        <f t="array" ref="EF8">_xll.EQNXTDZ($A$1,$B8,EF$1)</f>
        <v>70.7</v>
      </c>
      <c r="EG8" s="116" cm="1">
        <f t="array" ref="EG8">_xll.EQNXTDZ($A$1,$B8,EG$1)</f>
        <v>75.150000000000006</v>
      </c>
      <c r="EH8" s="116" cm="1">
        <f t="array" ref="EH8">_xll.EQNXTDZ($A$1,$B8,EH$1)</f>
        <v>87.55</v>
      </c>
      <c r="EI8" s="116" cm="1">
        <f t="array" ref="EI8">_xll.EQNXTDZ($A$1,$B8,EI$1)</f>
        <v>83.5</v>
      </c>
      <c r="EJ8" s="116" cm="1">
        <f t="array" ref="EJ8">_xll.EQNXTDZ($A$1,$B8,EJ$1)</f>
        <v>85.6</v>
      </c>
      <c r="EK8" s="116" cm="1">
        <f t="array" ref="EK8">_xll.EQNXTDZ($A$1,$B8,EK$1)</f>
        <v>87.2</v>
      </c>
      <c r="EL8" s="116" cm="1">
        <f t="array" ref="EL8">_xll.EQNXTDZ($A$1,$B8,EL$1)</f>
        <v>85.85</v>
      </c>
      <c r="EM8" s="116" cm="1">
        <f t="array" ref="EM8">_xll.EQNXTDZ($A$1,$B8,EM$1)</f>
        <v>84.45</v>
      </c>
      <c r="EN8" s="116" cm="1">
        <f t="array" ref="EN8">_xll.EQNXTDZ($A$1,$B8,EN$1)</f>
        <v>73.150000000000006</v>
      </c>
      <c r="EO8" s="116" cm="1">
        <f t="array" ref="EO8">_xll.EQNXTDZ($A$1,$B8,EO$1)</f>
        <v>74.5</v>
      </c>
      <c r="EP8" s="116" cm="1">
        <f t="array" ref="EP8">_xll.EQNXTDZ($A$1,$B8,EP$1)</f>
        <v>73.2</v>
      </c>
      <c r="EQ8" s="116" cm="1">
        <f t="array" ref="EQ8">_xll.EQNXTDZ($A$1,$B8,EQ$1)</f>
        <v>65.05</v>
      </c>
      <c r="ER8" s="116" cm="1">
        <f t="array" ref="ER8">_xll.EQNXTDZ($A$1,$B8,ER$1)</f>
        <v>74.349999999999994</v>
      </c>
      <c r="ES8" s="116" cm="1">
        <f t="array" ref="ES8">_xll.EQNXTDZ($A$1,$B8,ES$1)</f>
        <v>87.03</v>
      </c>
      <c r="ET8" s="116" cm="1">
        <f t="array" ref="ET8">_xll.EQNXTDZ($A$1,$B8,ET$1)</f>
        <v>83.13</v>
      </c>
      <c r="EU8" s="116" cm="1">
        <f t="array" ref="EU8">_xll.EQNXTDZ($A$1,$B8,EU$1)</f>
        <v>68.25</v>
      </c>
      <c r="EV8" s="116" cm="1">
        <f t="array" ref="EV8">_xll.EQNXTDZ($A$1,$B8,EV$1)</f>
        <v>65.819999999999993</v>
      </c>
      <c r="EW8" s="116" cm="1">
        <f t="array" ref="EW8">_xll.EQNXTDZ($A$1,$B8,EW$1)</f>
        <v>73.86</v>
      </c>
      <c r="EX8" s="116" cm="1">
        <f t="array" ref="EX8">_xll.EQNXTDZ($A$1,$B8,EX$1)</f>
        <v>65.58</v>
      </c>
      <c r="EY8" s="116" cm="1">
        <f t="array" ref="EY8">_xll.EQNXTDZ($A$1,$B8,EY$1)</f>
        <v>59</v>
      </c>
      <c r="EZ8" s="116" cm="1">
        <f t="array" ref="EZ8">_xll.EQNXTDZ($A$1,$B8,EZ$1)</f>
        <v>54</v>
      </c>
      <c r="FA8" s="116" cm="1">
        <f t="array" ref="FA8">_xll.EQNXTDZ($A$1,$B8,FA$1)</f>
        <v>50.1</v>
      </c>
      <c r="FB8" s="116" cm="1">
        <f t="array" ref="FB8">_xll.EQNXTDZ($A$1,$B8,FB$1)</f>
        <v>52</v>
      </c>
      <c r="FC8" s="116" cm="1">
        <f t="array" ref="FC8">_xll.EQNXTDZ($A$1,$B8,FC$1)</f>
        <v>62</v>
      </c>
      <c r="FD8" s="116" cm="1">
        <f t="array" ref="FD8">_xll.EQNXTDZ($A$1,$B8,FD$1)</f>
        <v>57.65</v>
      </c>
      <c r="FE8" s="116" cm="1">
        <f t="array" ref="FE8">_xll.EQNXTDZ($A$1,$B8,FE$1)</f>
        <v>55.9</v>
      </c>
      <c r="FF8" s="116" cm="1">
        <f t="array" ref="FF8">_xll.EQNXTDZ($A$1,$B8,FF$1)</f>
        <v>54.8</v>
      </c>
      <c r="FG8" s="116" cm="1">
        <f t="array" ref="FG8">_xll.EQNXTDZ($A$1,$B8,FG$1)</f>
        <v>54.48</v>
      </c>
      <c r="FH8" s="116" cm="1">
        <f t="array" ref="FH8">_xll.EQNXTDZ($A$1,$B8,FH$1)</f>
        <v>50.4</v>
      </c>
      <c r="FI8" s="116" cm="1">
        <f t="array" ref="FI8">_xll.EQNXTDZ($A$1,$B8,FI$1)</f>
        <v>44.52</v>
      </c>
      <c r="FJ8" s="116" cm="1">
        <f t="array" ref="FJ8">_xll.EQNXTDZ($A$1,$B8,FJ$1)</f>
        <v>41.07</v>
      </c>
      <c r="FK8" s="116" cm="1">
        <f t="array" ref="FK8">_xll.EQNXTDZ($A$1,$B8,FK$1)</f>
        <v>41.14</v>
      </c>
      <c r="FL8" s="116" cm="1">
        <f t="array" ref="FL8">_xll.EQNXTDZ($A$1,$B8,FL$1)</f>
        <v>31.22</v>
      </c>
      <c r="FM8" s="116" cm="1">
        <f t="array" ref="FM8">_xll.EQNXTDZ($A$1,$B8,FM$1)</f>
        <v>32.54</v>
      </c>
      <c r="FN8" s="116" cm="1">
        <f t="array" ref="FN8">_xll.EQNXTDZ($A$1,$B8,FN$1)</f>
        <v>40.869999999999997</v>
      </c>
      <c r="FO8" s="116" cm="1">
        <f t="array" ref="FO8">_xll.EQNXTDZ($A$1,$B8,FO$1)</f>
        <v>41.55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10.145631067961199</v>
      </c>
      <c r="HQ8" s="116">
        <f>+MIN(G8:I8)</f>
        <v>10.4854368932039</v>
      </c>
      <c r="HR8" s="116">
        <f>+MIN(J8:L8)</f>
        <v>7.0873786407767003</v>
      </c>
      <c r="HS8" s="116">
        <f>+MIN(M8:O8)</f>
        <v>4.8543689320388301</v>
      </c>
      <c r="HT8" s="116">
        <f>+MIN(P8:R8)</f>
        <v>5.4</v>
      </c>
      <c r="HU8" s="116">
        <f>+MIN(S8:U8)</f>
        <v>6.45</v>
      </c>
      <c r="HV8" s="116">
        <f>+MIN(V8:X8)</f>
        <v>6.8</v>
      </c>
      <c r="HW8" s="116">
        <f>+MIN(Y8:AA8)</f>
        <v>7.25</v>
      </c>
      <c r="HX8" s="116">
        <f>+MIN(AB8:AD8)</f>
        <v>9.6</v>
      </c>
      <c r="HY8" s="116">
        <f>+MIN(AE8:AG8)</f>
        <v>7.4</v>
      </c>
      <c r="HZ8" s="116">
        <f>+MIN(AH8:AJ8)</f>
        <v>7.55</v>
      </c>
      <c r="IA8" s="116">
        <f>+MIN(AK8:AM8)</f>
        <v>5.6</v>
      </c>
      <c r="IB8" s="116">
        <f>+MIN(AN8:AP8)</f>
        <v>5.7</v>
      </c>
      <c r="IC8" s="116">
        <f>+MIN(AQ8:AS8)</f>
        <v>6.15</v>
      </c>
      <c r="ID8" s="116">
        <f>+MIN(AT8:AV8)</f>
        <v>5.7</v>
      </c>
      <c r="IE8" s="116">
        <f>+MIN(AW8:AY8)</f>
        <v>6.15</v>
      </c>
      <c r="IF8" s="116">
        <f>+MIN(AZ8:BB8)</f>
        <v>5.4</v>
      </c>
      <c r="IG8" s="116">
        <f>+MIN(BC8:BE8)</f>
        <v>5.55</v>
      </c>
      <c r="IH8" s="116">
        <f>+MIN(BF8:BH8)</f>
        <v>5.8</v>
      </c>
      <c r="II8" s="116">
        <f>+MIN(BI8:BK8)</f>
        <v>5.9</v>
      </c>
      <c r="IJ8" s="116">
        <f>+MIN(BL8:BN8)</f>
        <v>5.9</v>
      </c>
      <c r="IK8" s="116">
        <f>+MIN(BO8:BQ8)</f>
        <v>3.7</v>
      </c>
      <c r="IL8" s="116">
        <f>+MIN(BR8:BT8)</f>
        <v>5.45</v>
      </c>
      <c r="IM8" s="116">
        <f>+MIN(BU8:BW8)</f>
        <v>4.55</v>
      </c>
      <c r="IN8" s="116">
        <f>+MIN(BX8:BZ8)</f>
        <v>3.95</v>
      </c>
      <c r="IO8" s="116">
        <f>+MIN(CA8:CC8)</f>
        <v>3.7</v>
      </c>
      <c r="IP8" s="116">
        <f>+MIN(CD8:CF8)</f>
        <v>2.6</v>
      </c>
      <c r="IQ8" s="116">
        <f>+MIN(CG8:CI8)</f>
        <v>2.5</v>
      </c>
      <c r="IR8" s="116">
        <f>+MIN(CJ8:CL8)</f>
        <v>2.35</v>
      </c>
      <c r="IS8" s="116">
        <f>+MIN(CM8:CO8)</f>
        <v>2.2000000000000002</v>
      </c>
      <c r="IT8" s="116">
        <f>+MIN(CP8:CR8)</f>
        <v>1.8</v>
      </c>
      <c r="IU8" s="116">
        <f>+MIN(CS8:CU8)</f>
        <v>1.8</v>
      </c>
      <c r="IV8" s="116">
        <f>+MIN(CV8:CX8)</f>
        <v>2.75</v>
      </c>
      <c r="IW8" s="116">
        <f>+MIN(CY8:DA8)</f>
        <v>2.7</v>
      </c>
      <c r="IX8" s="116">
        <f>+MIN(DB8:DD8)</f>
        <v>7.6</v>
      </c>
      <c r="IY8" s="116">
        <f>+MIN(DE8:DG8)</f>
        <v>10.45</v>
      </c>
      <c r="IZ8" s="116">
        <f>+MIN(DH8:DJ8)</f>
        <v>32.75</v>
      </c>
      <c r="JA8" s="116">
        <f>+MIN(DK8:DM8)</f>
        <v>35.299999999999997</v>
      </c>
      <c r="JB8" s="116">
        <f>+MIN(DN8:DP8)</f>
        <v>90.5</v>
      </c>
      <c r="JC8" s="116">
        <f>+MIN(DQ8:DS8)</f>
        <v>102.6</v>
      </c>
      <c r="JD8" s="116">
        <f>+MIN(DT8:DV8)</f>
        <v>88.2</v>
      </c>
      <c r="JE8" s="116">
        <f>+MIN(DW8:DY8)</f>
        <v>78.849999999999994</v>
      </c>
      <c r="JF8" s="116">
        <f>+MIN(DZ8:EB8)</f>
        <v>49.65</v>
      </c>
      <c r="JG8" s="116">
        <f>+MIN(EC8:EE8)</f>
        <v>53.6</v>
      </c>
      <c r="JH8" s="116">
        <f>+MIN(EF8:EH8)</f>
        <v>70.7</v>
      </c>
      <c r="JI8" s="116">
        <f>+MIN(EI8:EK8)</f>
        <v>83.5</v>
      </c>
      <c r="JJ8" s="116">
        <f>+MIN(EL8:EN8)</f>
        <v>73.150000000000006</v>
      </c>
      <c r="JK8" s="116">
        <f>MIN(EO8:EQ8)</f>
        <v>65.05</v>
      </c>
      <c r="JL8" s="116">
        <f>MIN(ER8:ET8)</f>
        <v>74.349999999999994</v>
      </c>
      <c r="JM8" s="116">
        <f>MIN(EU8:EW8)</f>
        <v>65.819999999999993</v>
      </c>
      <c r="JN8" s="116">
        <f>MIN(EX8:EZ8)</f>
        <v>54</v>
      </c>
      <c r="JO8" s="116">
        <f>MIN(FA8:FC8)</f>
        <v>50.1</v>
      </c>
      <c r="JP8" s="116">
        <f>MIN(FD8:FF8)</f>
        <v>54.8</v>
      </c>
      <c r="JQ8" s="116">
        <f>MIN(FG8:FI8)</f>
        <v>44.52</v>
      </c>
      <c r="JR8" s="116">
        <f>MIN(FJ8:FL8)</f>
        <v>31.22</v>
      </c>
      <c r="JS8" s="116">
        <f>MIN(FM8:FO8)</f>
        <v>32.54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13.737864077669901</v>
      </c>
      <c r="D9" s="116" cm="1">
        <f t="array" ref="D9">_xll.EQNXTDZ($A$1,$B9,D$1)</f>
        <v>12.4757281553398</v>
      </c>
      <c r="E9" s="116" cm="1">
        <f t="array" ref="E9">_xll.EQNXTDZ($A$1,$B9,E$1)</f>
        <v>10.339805825242699</v>
      </c>
      <c r="F9" s="116" cm="1">
        <f t="array" ref="F9">_xll.EQNXTDZ($A$1,$B9,F$1)</f>
        <v>11.4563106796117</v>
      </c>
      <c r="G9" s="116" cm="1">
        <f t="array" ref="G9">_xll.EQNXTDZ($A$1,$B9,G$1)</f>
        <v>10.5339805825243</v>
      </c>
      <c r="H9" s="116" cm="1">
        <f t="array" ref="H9">_xll.EQNXTDZ($A$1,$B9,H$1)</f>
        <v>12.0873786407767</v>
      </c>
      <c r="I9" s="116" cm="1">
        <f t="array" ref="I9">_xll.EQNXTDZ($A$1,$B9,I$1)</f>
        <v>11.6019417475728</v>
      </c>
      <c r="J9" s="116" cm="1">
        <f t="array" ref="J9">_xll.EQNXTDZ($A$1,$B9,J$1)</f>
        <v>11.3592233009709</v>
      </c>
      <c r="K9" s="116" cm="1">
        <f t="array" ref="K9">_xll.EQNXTDZ($A$1,$B9,K$1)</f>
        <v>9.4660194174757297</v>
      </c>
      <c r="L9" s="116" cm="1">
        <f t="array" ref="L9">_xll.EQNXTDZ($A$1,$B9,L$1)</f>
        <v>7.6213592233009697</v>
      </c>
      <c r="M9" s="116" cm="1">
        <f t="array" ref="M9">_xll.EQNXTDZ($A$1,$B9,M$1)</f>
        <v>8.2524271844660202</v>
      </c>
      <c r="N9" s="116" cm="1">
        <f t="array" ref="N9">_xll.EQNXTDZ($A$1,$B9,N$1)</f>
        <v>7.2815533980582501</v>
      </c>
      <c r="O9" s="116" cm="1">
        <f t="array" ref="O9">_xll.EQNXTDZ($A$1,$B9,O$1)</f>
        <v>6.1165048543689302</v>
      </c>
      <c r="P9" s="116" cm="1">
        <f t="array" ref="P9">_xll.EQNXTDZ($A$1,$B9,P$1)</f>
        <v>6.4077669902912602</v>
      </c>
      <c r="Q9" s="116" cm="1">
        <f t="array" ref="Q9">_xll.EQNXTDZ($A$1,$B9,Q$1)</f>
        <v>5.85</v>
      </c>
      <c r="R9" s="116" cm="1">
        <f t="array" ref="R9">_xll.EQNXTDZ($A$1,$B9,R$1)</f>
        <v>6.8</v>
      </c>
      <c r="S9" s="116" cm="1">
        <f t="array" ref="S9">_xll.EQNXTDZ($A$1,$B9,S$1)</f>
        <v>7</v>
      </c>
      <c r="T9" s="116" cm="1">
        <f t="array" ref="T9">_xll.EQNXTDZ($A$1,$B9,T$1)</f>
        <v>6.8</v>
      </c>
      <c r="U9" s="116" cm="1">
        <f t="array" ref="U9">_xll.EQNXTDZ($A$1,$B9,U$1)</f>
        <v>7.4</v>
      </c>
      <c r="V9" s="116" cm="1">
        <f t="array" ref="V9">_xll.EQNXTDZ($A$1,$B9,V$1)</f>
        <v>7.2</v>
      </c>
      <c r="W9" s="116" cm="1">
        <f t="array" ref="W9">_xll.EQNXTDZ($A$1,$B9,W$1)</f>
        <v>7.4</v>
      </c>
      <c r="X9" s="116" cm="1">
        <f t="array" ref="X9">_xll.EQNXTDZ($A$1,$B9,X$1)</f>
        <v>7.4</v>
      </c>
      <c r="Y9" s="116" cm="1">
        <f t="array" ref="Y9">_xll.EQNXTDZ($A$1,$B9,Y$1)</f>
        <v>8.9499999999999993</v>
      </c>
      <c r="Z9" s="116" cm="1">
        <f t="array" ref="Z9">_xll.EQNXTDZ($A$1,$B9,Z$1)</f>
        <v>11</v>
      </c>
      <c r="AA9" s="116" cm="1">
        <f t="array" ref="AA9">_xll.EQNXTDZ($A$1,$B9,AA$1)</f>
        <v>11.85</v>
      </c>
      <c r="AB9" s="116" cm="1">
        <f t="array" ref="AB9">_xll.EQNXTDZ($A$1,$B9,AB$1)</f>
        <v>11.75</v>
      </c>
      <c r="AC9" s="116" cm="1">
        <f t="array" ref="AC9">_xll.EQNXTDZ($A$1,$B9,AC$1)</f>
        <v>11.05</v>
      </c>
      <c r="AD9" s="116" cm="1">
        <f t="array" ref="AD9">_xll.EQNXTDZ($A$1,$B9,AD$1)</f>
        <v>10.050000000000001</v>
      </c>
      <c r="AE9" s="116" cm="1">
        <f t="array" ref="AE9">_xll.EQNXTDZ($A$1,$B9,AE$1)</f>
        <v>9.25</v>
      </c>
      <c r="AF9" s="116" cm="1">
        <f t="array" ref="AF9">_xll.EQNXTDZ($A$1,$B9,AF$1)</f>
        <v>8.65</v>
      </c>
      <c r="AG9" s="116" cm="1">
        <f t="array" ref="AG9">_xll.EQNXTDZ($A$1,$B9,AG$1)</f>
        <v>7.6</v>
      </c>
      <c r="AH9" s="116" cm="1">
        <f t="array" ref="AH9">_xll.EQNXTDZ($A$1,$B9,AH$1)</f>
        <v>9.15</v>
      </c>
      <c r="AI9" s="116" cm="1">
        <f t="array" ref="AI9">_xll.EQNXTDZ($A$1,$B9,AI$1)</f>
        <v>8.65</v>
      </c>
      <c r="AJ9" s="116" cm="1">
        <f t="array" ref="AJ9">_xll.EQNXTDZ($A$1,$B9,AJ$1)</f>
        <v>7.85</v>
      </c>
      <c r="AK9" s="116" cm="1">
        <f t="array" ref="AK9">_xll.EQNXTDZ($A$1,$B9,AK$1)</f>
        <v>7.6</v>
      </c>
      <c r="AL9" s="116" cm="1">
        <f t="array" ref="AL9">_xll.EQNXTDZ($A$1,$B9,AL$1)</f>
        <v>7.1</v>
      </c>
      <c r="AM9" s="116" cm="1">
        <f t="array" ref="AM9">_xll.EQNXTDZ($A$1,$B9,AM$1)</f>
        <v>6.6</v>
      </c>
      <c r="AN9" s="116" cm="1">
        <f t="array" ref="AN9">_xll.EQNXTDZ($A$1,$B9,AN$1)</f>
        <v>7.55</v>
      </c>
      <c r="AO9" s="116" cm="1">
        <f t="array" ref="AO9">_xll.EQNXTDZ($A$1,$B9,AO$1)</f>
        <v>6.5</v>
      </c>
      <c r="AP9" s="116" cm="1">
        <f t="array" ref="AP9">_xll.EQNXTDZ($A$1,$B9,AP$1)</f>
        <v>6.2</v>
      </c>
      <c r="AQ9" s="116" cm="1">
        <f t="array" ref="AQ9">_xll.EQNXTDZ($A$1,$B9,AQ$1)</f>
        <v>7.05</v>
      </c>
      <c r="AR9" s="116" cm="1">
        <f t="array" ref="AR9">_xll.EQNXTDZ($A$1,$B9,AR$1)</f>
        <v>6.7</v>
      </c>
      <c r="AS9" s="116" cm="1">
        <f t="array" ref="AS9">_xll.EQNXTDZ($A$1,$B9,AS$1)</f>
        <v>8.1999999999999993</v>
      </c>
      <c r="AT9" s="116" cm="1">
        <f t="array" ref="AT9">_xll.EQNXTDZ($A$1,$B9,AT$1)</f>
        <v>6.7</v>
      </c>
      <c r="AU9" s="116" cm="1">
        <f t="array" ref="AU9">_xll.EQNXTDZ($A$1,$B9,AU$1)</f>
        <v>5.9</v>
      </c>
      <c r="AV9" s="116" cm="1">
        <f t="array" ref="AV9">_xll.EQNXTDZ($A$1,$B9,AV$1)</f>
        <v>6.6</v>
      </c>
      <c r="AW9" s="116" cm="1">
        <f t="array" ref="AW9">_xll.EQNXTDZ($A$1,$B9,AW$1)</f>
        <v>6.8</v>
      </c>
      <c r="AX9" s="116" cm="1">
        <f t="array" ref="AX9">_xll.EQNXTDZ($A$1,$B9,AX$1)</f>
        <v>6.45</v>
      </c>
      <c r="AY9" s="116" cm="1">
        <f t="array" ref="AY9">_xll.EQNXTDZ($A$1,$B9,AY$1)</f>
        <v>6.9</v>
      </c>
      <c r="AZ9" s="116" cm="1">
        <f t="array" ref="AZ9">_xll.EQNXTDZ($A$1,$B9,AZ$1)</f>
        <v>6.8</v>
      </c>
      <c r="BA9" s="116" cm="1">
        <f t="array" ref="BA9">_xll.EQNXTDZ($A$1,$B9,BA$1)</f>
        <v>6.35</v>
      </c>
      <c r="BB9" s="116" cm="1">
        <f t="array" ref="BB9">_xll.EQNXTDZ($A$1,$B9,BB$1)</f>
        <v>5.65</v>
      </c>
      <c r="BC9" s="116" cm="1">
        <f t="array" ref="BC9">_xll.EQNXTDZ($A$1,$B9,BC$1)</f>
        <v>7.2</v>
      </c>
      <c r="BD9" s="116" cm="1">
        <f t="array" ref="BD9">_xll.EQNXTDZ($A$1,$B9,BD$1)</f>
        <v>6.3</v>
      </c>
      <c r="BE9" s="116" cm="1">
        <f t="array" ref="BE9">_xll.EQNXTDZ($A$1,$B9,BE$1)</f>
        <v>6</v>
      </c>
      <c r="BF9" s="116" cm="1">
        <f t="array" ref="BF9">_xll.EQNXTDZ($A$1,$B9,BF$1)</f>
        <v>6.05</v>
      </c>
      <c r="BG9" s="116" cm="1">
        <f t="array" ref="BG9">_xll.EQNXTDZ($A$1,$B9,BG$1)</f>
        <v>8</v>
      </c>
      <c r="BH9" s="116" cm="1">
        <f t="array" ref="BH9">_xll.EQNXTDZ($A$1,$B9,BH$1)</f>
        <v>7.15</v>
      </c>
      <c r="BI9" s="116" cm="1">
        <f t="array" ref="BI9">_xll.EQNXTDZ($A$1,$B9,BI$1)</f>
        <v>8.25</v>
      </c>
      <c r="BJ9" s="116" cm="1">
        <f t="array" ref="BJ9">_xll.EQNXTDZ($A$1,$B9,BJ$1)</f>
        <v>6.55</v>
      </c>
      <c r="BK9" s="116" cm="1">
        <f t="array" ref="BK9">_xll.EQNXTDZ($A$1,$B9,BK$1)</f>
        <v>6.85</v>
      </c>
      <c r="BL9" s="116" cm="1">
        <f t="array" ref="BL9">_xll.EQNXTDZ($A$1,$B9,BL$1)</f>
        <v>7.85</v>
      </c>
      <c r="BM9" s="116" cm="1">
        <f t="array" ref="BM9">_xll.EQNXTDZ($A$1,$B9,BM$1)</f>
        <v>6.7</v>
      </c>
      <c r="BN9" s="116" cm="1">
        <f t="array" ref="BN9">_xll.EQNXTDZ($A$1,$B9,BN$1)</f>
        <v>5.95</v>
      </c>
      <c r="BO9" s="116" cm="1">
        <f t="array" ref="BO9">_xll.EQNXTDZ($A$1,$B9,BO$1)</f>
        <v>8.25</v>
      </c>
      <c r="BP9" s="116" cm="1">
        <f t="array" ref="BP9">_xll.EQNXTDZ($A$1,$B9,BP$1)</f>
        <v>7.4</v>
      </c>
      <c r="BQ9" s="116" cm="1">
        <f t="array" ref="BQ9">_xll.EQNXTDZ($A$1,$B9,BQ$1)</f>
        <v>7.05</v>
      </c>
      <c r="BR9" s="116" cm="1">
        <f t="array" ref="BR9">_xll.EQNXTDZ($A$1,$B9,BR$1)</f>
        <v>6.9</v>
      </c>
      <c r="BS9" s="116" cm="1">
        <f t="array" ref="BS9">_xll.EQNXTDZ($A$1,$B9,BS$1)</f>
        <v>6.2</v>
      </c>
      <c r="BT9" s="116" cm="1">
        <f t="array" ref="BT9">_xll.EQNXTDZ($A$1,$B9,BT$1)</f>
        <v>5.55</v>
      </c>
      <c r="BU9" s="116" cm="1">
        <f t="array" ref="BU9">_xll.EQNXTDZ($A$1,$B9,BU$1)</f>
        <v>5.65</v>
      </c>
      <c r="BV9" s="116" cm="1">
        <f t="array" ref="BV9">_xll.EQNXTDZ($A$1,$B9,BV$1)</f>
        <v>5.3</v>
      </c>
      <c r="BW9" s="116" cm="1">
        <f t="array" ref="BW9">_xll.EQNXTDZ($A$1,$B9,BW$1)</f>
        <v>4.55</v>
      </c>
      <c r="BX9" s="116" cm="1">
        <f t="array" ref="BX9">_xll.EQNXTDZ($A$1,$B9,BX$1)</f>
        <v>4.95</v>
      </c>
      <c r="BY9" s="116" cm="1">
        <f t="array" ref="BY9">_xll.EQNXTDZ($A$1,$B9,BY$1)</f>
        <v>5.0999999999999996</v>
      </c>
      <c r="BZ9" s="116" cm="1">
        <f t="array" ref="BZ9">_xll.EQNXTDZ($A$1,$B9,BZ$1)</f>
        <v>4.3</v>
      </c>
      <c r="CA9" s="116" cm="1">
        <f t="array" ref="CA9">_xll.EQNXTDZ($A$1,$B9,CA$1)</f>
        <v>4</v>
      </c>
      <c r="CB9" s="116" cm="1">
        <f t="array" ref="CB9">_xll.EQNXTDZ($A$1,$B9,CB$1)</f>
        <v>4.05</v>
      </c>
      <c r="CC9" s="116" cm="1">
        <f t="array" ref="CC9">_xll.EQNXTDZ($A$1,$B9,CC$1)</f>
        <v>4</v>
      </c>
      <c r="CD9" s="116" cm="1">
        <f t="array" ref="CD9">_xll.EQNXTDZ($A$1,$B9,CD$1)</f>
        <v>3.6</v>
      </c>
      <c r="CE9" s="116" cm="1">
        <f t="array" ref="CE9">_xll.EQNXTDZ($A$1,$B9,CE$1)</f>
        <v>3.05</v>
      </c>
      <c r="CF9" s="116" cm="1">
        <f t="array" ref="CF9">_xll.EQNXTDZ($A$1,$B9,CF$1)</f>
        <v>3.05</v>
      </c>
      <c r="CG9" s="116" cm="1">
        <f t="array" ref="CG9">_xll.EQNXTDZ($A$1,$B9,CG$1)</f>
        <v>2.9</v>
      </c>
      <c r="CH9" s="116" cm="1">
        <f t="array" ref="CH9">_xll.EQNXTDZ($A$1,$B9,CH$1)</f>
        <v>4.0999999999999996</v>
      </c>
      <c r="CI9" s="116" cm="1">
        <f t="array" ref="CI9">_xll.EQNXTDZ($A$1,$B9,CI$1)</f>
        <v>3.7</v>
      </c>
      <c r="CJ9" s="116" cm="1">
        <f t="array" ref="CJ9">_xll.EQNXTDZ($A$1,$B9,CJ$1)</f>
        <v>2.95</v>
      </c>
      <c r="CK9" s="116" cm="1">
        <f t="array" ref="CK9">_xll.EQNXTDZ($A$1,$B9,CK$1)</f>
        <v>2.4500000000000002</v>
      </c>
      <c r="CL9" s="116" cm="1">
        <f t="array" ref="CL9">_xll.EQNXTDZ($A$1,$B9,CL$1)</f>
        <v>2.8</v>
      </c>
      <c r="CM9" s="116" cm="1">
        <f t="array" ref="CM9">_xll.EQNXTDZ($A$1,$B9,CM$1)</f>
        <v>2.7</v>
      </c>
      <c r="CN9" s="116" cm="1">
        <f t="array" ref="CN9">_xll.EQNXTDZ($A$1,$B9,CN$1)</f>
        <v>2.75</v>
      </c>
      <c r="CO9" s="116" cm="1">
        <f t="array" ref="CO9">_xll.EQNXTDZ($A$1,$B9,CO$1)</f>
        <v>2.2000000000000002</v>
      </c>
      <c r="CP9" s="116" cm="1">
        <f t="array" ref="CP9">_xll.EQNXTDZ($A$1,$B9,CP$1)</f>
        <v>2.4</v>
      </c>
      <c r="CQ9" s="116" cm="1">
        <f t="array" ref="CQ9">_xll.EQNXTDZ($A$1,$B9,CQ$1)</f>
        <v>2.65</v>
      </c>
      <c r="CR9" s="116" cm="1">
        <f t="array" ref="CR9">_xll.EQNXTDZ($A$1,$B9,CR$1)</f>
        <v>1.8</v>
      </c>
      <c r="CS9" s="116" cm="1">
        <f t="array" ref="CS9">_xll.EQNXTDZ($A$1,$B9,CS$1)</f>
        <v>2.5</v>
      </c>
      <c r="CT9" s="116" cm="1">
        <f t="array" ref="CT9">_xll.EQNXTDZ($A$1,$B9,CT$1)</f>
        <v>2.7</v>
      </c>
      <c r="CU9" s="116" cm="1">
        <f t="array" ref="CU9">_xll.EQNXTDZ($A$1,$B9,CU$1)</f>
        <v>3.95</v>
      </c>
      <c r="CV9" s="116" cm="1">
        <f t="array" ref="CV9">_xll.EQNXTDZ($A$1,$B9,CV$1)</f>
        <v>3.35</v>
      </c>
      <c r="CW9" s="116" cm="1">
        <f t="array" ref="CW9">_xll.EQNXTDZ($A$1,$B9,CW$1)</f>
        <v>3.55</v>
      </c>
      <c r="CX9" s="116" cm="1">
        <f t="array" ref="CX9">_xll.EQNXTDZ($A$1,$B9,CX$1)</f>
        <v>2.95</v>
      </c>
      <c r="CY9" s="116" cm="1">
        <f t="array" ref="CY9">_xll.EQNXTDZ($A$1,$B9,CY$1)</f>
        <v>7.45</v>
      </c>
      <c r="CZ9" s="116" cm="1">
        <f t="array" ref="CZ9">_xll.EQNXTDZ($A$1,$B9,CZ$1)</f>
        <v>7.3</v>
      </c>
      <c r="DA9" s="116" cm="1">
        <f t="array" ref="DA9">_xll.EQNXTDZ($A$1,$B9,DA$1)</f>
        <v>7.95</v>
      </c>
      <c r="DB9" s="116" cm="1">
        <f t="array" ref="DB9">_xll.EQNXTDZ($A$1,$B9,DB$1)</f>
        <v>17.149999999999999</v>
      </c>
      <c r="DC9" s="116" cm="1">
        <f t="array" ref="DC9">_xll.EQNXTDZ($A$1,$B9,DC$1)</f>
        <v>15.75</v>
      </c>
      <c r="DD9" s="116" cm="1">
        <f t="array" ref="DD9">_xll.EQNXTDZ($A$1,$B9,DD$1)</f>
        <v>14.1</v>
      </c>
      <c r="DE9" s="116" cm="1">
        <f t="array" ref="DE9">_xll.EQNXTDZ($A$1,$B9,DE$1)</f>
        <v>13.95</v>
      </c>
      <c r="DF9" s="116" cm="1">
        <f t="array" ref="DF9">_xll.EQNXTDZ($A$1,$B9,DF$1)</f>
        <v>15.6</v>
      </c>
      <c r="DG9" s="116" cm="1">
        <f t="array" ref="DG9">_xll.EQNXTDZ($A$1,$B9,DG$1)</f>
        <v>44.6</v>
      </c>
      <c r="DH9" s="116" cm="1">
        <f t="array" ref="DH9">_xll.EQNXTDZ($A$1,$B9,DH$1)</f>
        <v>37.950000000000003</v>
      </c>
      <c r="DI9" s="116" cm="1">
        <f t="array" ref="DI9">_xll.EQNXTDZ($A$1,$B9,DI$1)</f>
        <v>36.75</v>
      </c>
      <c r="DJ9" s="116" cm="1">
        <f t="array" ref="DJ9">_xll.EQNXTDZ($A$1,$B9,DJ$1)</f>
        <v>35.35</v>
      </c>
      <c r="DK9" s="116" cm="1">
        <f t="array" ref="DK9">_xll.EQNXTDZ($A$1,$B9,DK$1)</f>
        <v>52.6</v>
      </c>
      <c r="DL9" s="116" cm="1">
        <f t="array" ref="DL9">_xll.EQNXTDZ($A$1,$B9,DL$1)</f>
        <v>112.55</v>
      </c>
      <c r="DM9" s="116" cm="1">
        <f t="array" ref="DM9">_xll.EQNXTDZ($A$1,$B9,DM$1)</f>
        <v>206.35</v>
      </c>
      <c r="DN9" s="116" cm="1">
        <f t="array" ref="DN9">_xll.EQNXTDZ($A$1,$B9,DN$1)</f>
        <v>149.19999999999999</v>
      </c>
      <c r="DO9" s="116" cm="1">
        <f t="array" ref="DO9">_xll.EQNXTDZ($A$1,$B9,DO$1)</f>
        <v>117.6</v>
      </c>
      <c r="DP9" s="116" cm="1">
        <f t="array" ref="DP9">_xll.EQNXTDZ($A$1,$B9,DP$1)</f>
        <v>166.7</v>
      </c>
      <c r="DQ9" s="116" cm="1">
        <f t="array" ref="DQ9">_xll.EQNXTDZ($A$1,$B9,DQ$1)</f>
        <v>139.69999999999999</v>
      </c>
      <c r="DR9" s="116" cm="1">
        <f t="array" ref="DR9">_xll.EQNXTDZ($A$1,$B9,DR$1)</f>
        <v>125.4</v>
      </c>
      <c r="DS9" s="116" cm="1">
        <f t="array" ref="DS9">_xll.EQNXTDZ($A$1,$B9,DS$1)</f>
        <v>121.1</v>
      </c>
      <c r="DT9" s="116" cm="1">
        <f t="array" ref="DT9">_xll.EQNXTDZ($A$1,$B9,DT$1)</f>
        <v>107.7</v>
      </c>
      <c r="DU9" s="116" cm="1">
        <f t="array" ref="DU9">_xll.EQNXTDZ($A$1,$B9,DU$1)</f>
        <v>108.45</v>
      </c>
      <c r="DV9" s="116" cm="1">
        <f t="array" ref="DV9">_xll.EQNXTDZ($A$1,$B9,DV$1)</f>
        <v>103.4</v>
      </c>
      <c r="DW9" s="116" cm="1">
        <f t="array" ref="DW9">_xll.EQNXTDZ($A$1,$B9,DW$1)</f>
        <v>101.95</v>
      </c>
      <c r="DX9" s="116" cm="1">
        <f t="array" ref="DX9">_xll.EQNXTDZ($A$1,$B9,DX$1)</f>
        <v>102.05</v>
      </c>
      <c r="DY9" s="116" cm="1">
        <f t="array" ref="DY9">_xll.EQNXTDZ($A$1,$B9,DY$1)</f>
        <v>92.75</v>
      </c>
      <c r="DZ9" s="116" cm="1">
        <f t="array" ref="DZ9">_xll.EQNXTDZ($A$1,$B9,DZ$1)</f>
        <v>79.25</v>
      </c>
      <c r="EA9" s="116" cm="1">
        <f t="array" ref="EA9">_xll.EQNXTDZ($A$1,$B9,EA$1)</f>
        <v>56.05</v>
      </c>
      <c r="EB9" s="116" cm="1">
        <f t="array" ref="EB9">_xll.EQNXTDZ($A$1,$B9,EB$1)</f>
        <v>55.45</v>
      </c>
      <c r="EC9" s="116" cm="1">
        <f t="array" ref="EC9">_xll.EQNXTDZ($A$1,$B9,EC$1)</f>
        <v>61.25</v>
      </c>
      <c r="ED9" s="116" cm="1">
        <f t="array" ref="ED9">_xll.EQNXTDZ($A$1,$B9,ED$1)</f>
        <v>61.45</v>
      </c>
      <c r="EE9" s="116" cm="1">
        <f t="array" ref="EE9">_xll.EQNXTDZ($A$1,$B9,EE$1)</f>
        <v>71.150000000000006</v>
      </c>
      <c r="EF9" s="116" cm="1">
        <f t="array" ref="EF9">_xll.EQNXTDZ($A$1,$B9,EF$1)</f>
        <v>79.099999999999994</v>
      </c>
      <c r="EG9" s="116" cm="1">
        <f t="array" ref="EG9">_xll.EQNXTDZ($A$1,$B9,EG$1)</f>
        <v>87.75</v>
      </c>
      <c r="EH9" s="116" cm="1">
        <f t="array" ref="EH9">_xll.EQNXTDZ($A$1,$B9,EH$1)</f>
        <v>99.45</v>
      </c>
      <c r="EI9" s="116" cm="1">
        <f t="array" ref="EI9">_xll.EQNXTDZ($A$1,$B9,EI$1)</f>
        <v>86.05</v>
      </c>
      <c r="EJ9" s="116" cm="1">
        <f t="array" ref="EJ9">_xll.EQNXTDZ($A$1,$B9,EJ$1)</f>
        <v>95.2</v>
      </c>
      <c r="EK9" s="116" cm="1">
        <f t="array" ref="EK9">_xll.EQNXTDZ($A$1,$B9,EK$1)</f>
        <v>91.65</v>
      </c>
      <c r="EL9" s="116" cm="1">
        <f t="array" ref="EL9">_xll.EQNXTDZ($A$1,$B9,EL$1)</f>
        <v>92.7</v>
      </c>
      <c r="EM9" s="116" cm="1">
        <f t="array" ref="EM9">_xll.EQNXTDZ($A$1,$B9,EM$1)</f>
        <v>87.45</v>
      </c>
      <c r="EN9" s="116" cm="1">
        <f t="array" ref="EN9">_xll.EQNXTDZ($A$1,$B9,EN$1)</f>
        <v>74</v>
      </c>
      <c r="EO9" s="116" cm="1">
        <f t="array" ref="EO9">_xll.EQNXTDZ($A$1,$B9,EO$1)</f>
        <v>82.25</v>
      </c>
      <c r="EP9" s="116" cm="1">
        <f t="array" ref="EP9">_xll.EQNXTDZ($A$1,$B9,EP$1)</f>
        <v>74.599999999999994</v>
      </c>
      <c r="EQ9" s="116" cm="1">
        <f t="array" ref="EQ9">_xll.EQNXTDZ($A$1,$B9,EQ$1)</f>
        <v>77.73</v>
      </c>
      <c r="ER9" s="116" cm="1">
        <f t="array" ref="ER9">_xll.EQNXTDZ($A$1,$B9,ER$1)</f>
        <v>96.13</v>
      </c>
      <c r="ES9" s="116" cm="1">
        <f t="array" ref="ES9">_xll.EQNXTDZ($A$1,$B9,ES$1)</f>
        <v>97.14</v>
      </c>
      <c r="ET9" s="116" cm="1">
        <f t="array" ref="ET9">_xll.EQNXTDZ($A$1,$B9,ET$1)</f>
        <v>84.5</v>
      </c>
      <c r="EU9" s="116" cm="1">
        <f t="array" ref="EU9">_xll.EQNXTDZ($A$1,$B9,EU$1)</f>
        <v>73.45</v>
      </c>
      <c r="EV9" s="116" cm="1">
        <f t="array" ref="EV9">_xll.EQNXTDZ($A$1,$B9,EV$1)</f>
        <v>78.739999999999995</v>
      </c>
      <c r="EW9" s="116" cm="1">
        <f t="array" ref="EW9">_xll.EQNXTDZ($A$1,$B9,EW$1)</f>
        <v>75.489999999999995</v>
      </c>
      <c r="EX9" s="116" cm="1">
        <f t="array" ref="EX9">_xll.EQNXTDZ($A$1,$B9,EX$1)</f>
        <v>71.790000000000006</v>
      </c>
      <c r="EY9" s="116" cm="1">
        <f t="array" ref="EY9">_xll.EQNXTDZ($A$1,$B9,EY$1)</f>
        <v>59.52</v>
      </c>
      <c r="EZ9" s="116" cm="1">
        <f t="array" ref="EZ9">_xll.EQNXTDZ($A$1,$B9,EZ$1)</f>
        <v>56.29</v>
      </c>
      <c r="FA9" s="116" cm="1">
        <f t="array" ref="FA9">_xll.EQNXTDZ($A$1,$B9,FA$1)</f>
        <v>56.82</v>
      </c>
      <c r="FB9" s="116" cm="1">
        <f t="array" ref="FB9">_xll.EQNXTDZ($A$1,$B9,FB$1)</f>
        <v>72.91</v>
      </c>
      <c r="FC9" s="116" cm="1">
        <f t="array" ref="FC9">_xll.EQNXTDZ($A$1,$B9,FC$1)</f>
        <v>66.09</v>
      </c>
      <c r="FD9" s="116" cm="1">
        <f t="array" ref="FD9">_xll.EQNXTDZ($A$1,$B9,FD$1)</f>
        <v>59.15</v>
      </c>
      <c r="FE9" s="116" cm="1">
        <f t="array" ref="FE9">_xll.EQNXTDZ($A$1,$B9,FE$1)</f>
        <v>56.1</v>
      </c>
      <c r="FF9" s="116" cm="1">
        <f t="array" ref="FF9">_xll.EQNXTDZ($A$1,$B9,FF$1)</f>
        <v>55.02</v>
      </c>
      <c r="FG9" s="116" cm="1">
        <f t="array" ref="FG9">_xll.EQNXTDZ($A$1,$B9,FG$1)</f>
        <v>54.58</v>
      </c>
      <c r="FH9" s="116" cm="1">
        <f t="array" ref="FH9">_xll.EQNXTDZ($A$1,$B9,FH$1)</f>
        <v>51.84</v>
      </c>
      <c r="FI9" s="116" cm="1">
        <f t="array" ref="FI9">_xll.EQNXTDZ($A$1,$B9,FI$1)</f>
        <v>49.57</v>
      </c>
      <c r="FJ9" s="116" cm="1">
        <f t="array" ref="FJ9">_xll.EQNXTDZ($A$1,$B9,FJ$1)</f>
        <v>45.66</v>
      </c>
      <c r="FK9" s="116" cm="1">
        <f t="array" ref="FK9">_xll.EQNXTDZ($A$1,$B9,FK$1)</f>
        <v>41.59</v>
      </c>
      <c r="FL9" s="116" cm="1">
        <f t="array" ref="FL9">_xll.EQNXTDZ($A$1,$B9,FL$1)</f>
        <v>31.36</v>
      </c>
      <c r="FM9" s="116" cm="1">
        <f t="array" ref="FM9">_xll.EQNXTDZ($A$1,$B9,FM$1)</f>
        <v>42.93</v>
      </c>
      <c r="FN9" s="116" cm="1">
        <f t="array" ref="FN9">_xll.EQNXTDZ($A$1,$B9,FN$1)</f>
        <v>42.81</v>
      </c>
      <c r="FO9" s="116" cm="1">
        <f t="array" ref="FO9">_xll.EQNXTDZ($A$1,$B9,FO$1)</f>
        <v>46.44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11.4563106796117</v>
      </c>
      <c r="HQ9" s="116">
        <f>+I9</f>
        <v>11.6019417475728</v>
      </c>
      <c r="HR9" s="116">
        <f>+L9</f>
        <v>7.6213592233009697</v>
      </c>
      <c r="HS9" s="116">
        <f>+O9</f>
        <v>6.1165048543689302</v>
      </c>
      <c r="HT9" s="116">
        <f>+R9</f>
        <v>6.8</v>
      </c>
      <c r="HU9" s="116">
        <f>+U9</f>
        <v>7.4</v>
      </c>
      <c r="HV9" s="116">
        <f>+X9</f>
        <v>7.4</v>
      </c>
      <c r="HW9" s="116">
        <f>+AA9</f>
        <v>11.85</v>
      </c>
      <c r="HX9" s="116">
        <f>+AD9</f>
        <v>10.050000000000001</v>
      </c>
      <c r="HY9" s="116">
        <f>+AG9</f>
        <v>7.6</v>
      </c>
      <c r="HZ9" s="116">
        <f>+AJ9</f>
        <v>7.85</v>
      </c>
      <c r="IA9" s="116">
        <f>+AM9</f>
        <v>6.6</v>
      </c>
      <c r="IB9" s="116">
        <f>+AP9</f>
        <v>6.2</v>
      </c>
      <c r="IC9" s="116">
        <f>+AS9</f>
        <v>8.1999999999999993</v>
      </c>
      <c r="ID9" s="116">
        <f>+AV9</f>
        <v>6.6</v>
      </c>
      <c r="IE9" s="116">
        <f>+AY9</f>
        <v>6.9</v>
      </c>
      <c r="IF9" s="116">
        <f>+BB9</f>
        <v>5.65</v>
      </c>
      <c r="IG9" s="116">
        <f>+BE9</f>
        <v>6</v>
      </c>
      <c r="IH9" s="116">
        <f>+BH9</f>
        <v>7.15</v>
      </c>
      <c r="II9" s="116">
        <f>+BK9</f>
        <v>6.85</v>
      </c>
      <c r="IJ9" s="116">
        <f>+BN9</f>
        <v>5.95</v>
      </c>
      <c r="IK9" s="116">
        <f>+BQ9</f>
        <v>7.05</v>
      </c>
      <c r="IL9" s="116">
        <f>+BT9</f>
        <v>5.55</v>
      </c>
      <c r="IM9" s="116">
        <f>+BW9</f>
        <v>4.55</v>
      </c>
      <c r="IN9" s="116">
        <f>+BZ9</f>
        <v>4.3</v>
      </c>
      <c r="IO9" s="116">
        <f>+CC9</f>
        <v>4</v>
      </c>
      <c r="IP9" s="116">
        <f>+CF9</f>
        <v>3.05</v>
      </c>
      <c r="IQ9" s="116">
        <f>+CI9</f>
        <v>3.7</v>
      </c>
      <c r="IR9" s="116">
        <f>+CL9</f>
        <v>2.8</v>
      </c>
      <c r="IS9" s="116">
        <f>+CO9</f>
        <v>2.2000000000000002</v>
      </c>
      <c r="IT9" s="116">
        <f>+CR9</f>
        <v>1.8</v>
      </c>
      <c r="IU9" s="116">
        <f>+CU9</f>
        <v>3.95</v>
      </c>
      <c r="IV9" s="116">
        <f>+CX9</f>
        <v>2.95</v>
      </c>
      <c r="IW9" s="116">
        <f>+DA9</f>
        <v>7.95</v>
      </c>
      <c r="IX9" s="116">
        <f>+DD9</f>
        <v>14.1</v>
      </c>
      <c r="IY9" s="116">
        <f>+DG9</f>
        <v>44.6</v>
      </c>
      <c r="IZ9" s="116">
        <f>+DJ9</f>
        <v>35.35</v>
      </c>
      <c r="JA9" s="116">
        <f>+DM9</f>
        <v>206.35</v>
      </c>
      <c r="JB9" s="116">
        <f>+DP9</f>
        <v>166.7</v>
      </c>
      <c r="JC9" s="116">
        <f>+DS9</f>
        <v>121.1</v>
      </c>
      <c r="JD9" s="116">
        <f>+DV9</f>
        <v>103.4</v>
      </c>
      <c r="JE9" s="116">
        <f>+DY9</f>
        <v>92.75</v>
      </c>
      <c r="JF9" s="116">
        <f>+EB9</f>
        <v>55.45</v>
      </c>
      <c r="JG9" s="116">
        <f>+EE9</f>
        <v>71.150000000000006</v>
      </c>
      <c r="JH9" s="116">
        <f>+EH9</f>
        <v>99.45</v>
      </c>
      <c r="JI9" s="116">
        <f>+EK9</f>
        <v>91.65</v>
      </c>
      <c r="JJ9" s="116">
        <f>+EN9</f>
        <v>74</v>
      </c>
      <c r="JK9" s="116">
        <f>EQ9</f>
        <v>77.73</v>
      </c>
      <c r="JL9" s="116">
        <f>ET9</f>
        <v>84.5</v>
      </c>
      <c r="JM9" s="116">
        <f>EW9</f>
        <v>75.489999999999995</v>
      </c>
      <c r="JN9" s="116">
        <f>EZ9</f>
        <v>56.29</v>
      </c>
      <c r="JO9" s="116">
        <f>FC9</f>
        <v>66.09</v>
      </c>
      <c r="JP9" s="116">
        <f>FF9</f>
        <v>55.02</v>
      </c>
      <c r="JQ9" s="116">
        <f>FI9</f>
        <v>49.57</v>
      </c>
      <c r="JR9" s="116">
        <f>FL9</f>
        <v>31.36</v>
      </c>
      <c r="JS9" s="116">
        <f>FO9</f>
        <v>46.44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12.5242718446602</v>
      </c>
      <c r="D13" cm="1">
        <f t="array" ref="D13">_xll.EQNXTDZ($A$1,$B13,D$1)</f>
        <v>13.8834951456311</v>
      </c>
      <c r="E13" cm="1">
        <f t="array" ref="E13">_xll.EQNXTDZ($A$1,$B13,E$1)</f>
        <v>12.4271844660194</v>
      </c>
      <c r="F13" cm="1">
        <f t="array" ref="F13">_xll.EQNXTDZ($A$1,$B13,F$1)</f>
        <v>10.669902912621399</v>
      </c>
      <c r="G13" cm="1">
        <f t="array" ref="G13">_xll.EQNXTDZ($A$1,$B13,G$1)</f>
        <v>11.6019417475728</v>
      </c>
      <c r="H13" cm="1">
        <f t="array" ref="H13">_xll.EQNXTDZ($A$1,$B13,H$1)</f>
        <v>10.5533980582524</v>
      </c>
      <c r="I13" cm="1">
        <f t="array" ref="I13">_xll.EQNXTDZ($A$1,$B13,I$1)</f>
        <v>12.0873786407767</v>
      </c>
      <c r="J13" cm="1">
        <f t="array" ref="J13">_xll.EQNXTDZ($A$1,$B13,J$1)</f>
        <v>11.6116504854369</v>
      </c>
      <c r="K13" cm="1">
        <f t="array" ref="K13">_xll.EQNXTDZ($A$1,$B13,K$1)</f>
        <v>11.4563106796117</v>
      </c>
      <c r="L13" cm="1">
        <f t="array" ref="L13">_xll.EQNXTDZ($A$1,$B13,L$1)</f>
        <v>9.6893203883495094</v>
      </c>
      <c r="M13" cm="1">
        <f t="array" ref="M13">_xll.EQNXTDZ($A$1,$B13,M$1)</f>
        <v>7.7669902912621396</v>
      </c>
      <c r="N13" cm="1">
        <f t="array" ref="N13">_xll.EQNXTDZ($A$1,$B13,N$1)</f>
        <v>8.0776699029126195</v>
      </c>
      <c r="O13" cm="1">
        <f t="array" ref="O13">_xll.EQNXTDZ($A$1,$B13,O$1)</f>
        <v>7.3300970873786397</v>
      </c>
      <c r="P13" cm="1">
        <f t="array" ref="P13">_xll.EQNXTDZ($A$1,$B13,P$1)</f>
        <v>6.2135922330097104</v>
      </c>
      <c r="Q13" cm="1">
        <f t="array" ref="Q13">_xll.EQNXTDZ($A$1,$B13,Q$1)</f>
        <v>6.5825242718446599</v>
      </c>
      <c r="R13" cm="1">
        <f t="array" ref="R13">_xll.EQNXTDZ($A$1,$B13,R$1)</f>
        <v>5.99</v>
      </c>
      <c r="S13" cm="1">
        <f t="array" ref="S13">_xll.EQNXTDZ($A$1,$B13,S$1)</f>
        <v>6.8</v>
      </c>
      <c r="T13" cm="1">
        <f t="array" ref="T13">_xll.EQNXTDZ($A$1,$B13,T$1)</f>
        <v>7.1</v>
      </c>
      <c r="U13" cm="1">
        <f t="array" ref="U13">_xll.EQNXTDZ($A$1,$B13,U$1)</f>
        <v>6.83</v>
      </c>
      <c r="V13" cm="1">
        <f t="array" ref="V13">_xll.EQNXTDZ($A$1,$B13,V$1)</f>
        <v>7.45</v>
      </c>
      <c r="W13" cm="1">
        <f t="array" ref="W13">_xll.EQNXTDZ($A$1,$B13,W$1)</f>
        <v>7.2</v>
      </c>
      <c r="X13" cm="1">
        <f t="array" ref="X13">_xll.EQNXTDZ($A$1,$B13,X$1)</f>
        <v>7.21</v>
      </c>
      <c r="Y13" cm="1">
        <f t="array" ref="Y13">_xll.EQNXTDZ($A$1,$B13,Y$1)</f>
        <v>7.01</v>
      </c>
      <c r="Z13" cm="1">
        <f t="array" ref="Z13">_xll.EQNXTDZ($A$1,$B13,Z$1)</f>
        <v>8.91</v>
      </c>
      <c r="AA13" cm="1">
        <f t="array" ref="AA13">_xll.EQNXTDZ($A$1,$B13,AA$1)</f>
        <v>11.2</v>
      </c>
      <c r="AB13" cm="1">
        <f t="array" ref="AB13">_xll.EQNXTDZ($A$1,$B13,AB$1)</f>
        <v>12</v>
      </c>
      <c r="AC13" cm="1">
        <f t="array" ref="AC13">_xll.EQNXTDZ($A$1,$B13,AC$1)</f>
        <v>11.6</v>
      </c>
      <c r="AD13" cm="1">
        <f t="array" ref="AD13">_xll.EQNXTDZ($A$1,$B13,AD$1)</f>
        <v>11.05</v>
      </c>
      <c r="AE13" cm="1">
        <f t="array" ref="AE13">_xll.EQNXTDZ($A$1,$B13,AE$1)</f>
        <v>10.050000000000001</v>
      </c>
      <c r="AF13" cm="1">
        <f t="array" ref="AF13">_xll.EQNXTDZ($A$1,$B13,AF$1)</f>
        <v>9.5</v>
      </c>
      <c r="AG13" cm="1">
        <f t="array" ref="AG13">_xll.EQNXTDZ($A$1,$B13,AG$1)</f>
        <v>8.85</v>
      </c>
      <c r="AH13" cm="1">
        <f t="array" ref="AH13">_xll.EQNXTDZ($A$1,$B13,AH$1)</f>
        <v>7.6</v>
      </c>
      <c r="AI13" cm="1">
        <f t="array" ref="AI13">_xll.EQNXTDZ($A$1,$B13,AI$1)</f>
        <v>9.1999999999999993</v>
      </c>
      <c r="AJ13" cm="1">
        <f t="array" ref="AJ13">_xll.EQNXTDZ($A$1,$B13,AJ$1)</f>
        <v>8.7200000000000006</v>
      </c>
      <c r="AK13" cm="1">
        <f t="array" ref="AK13">_xll.EQNXTDZ($A$1,$B13,AK$1)</f>
        <v>7.93</v>
      </c>
      <c r="AL13" cm="1">
        <f t="array" ref="AL13">_xll.EQNXTDZ($A$1,$B13,AL$1)</f>
        <v>7.61</v>
      </c>
      <c r="AM13" cm="1">
        <f t="array" ref="AM13">_xll.EQNXTDZ($A$1,$B13,AM$1)</f>
        <v>7.12</v>
      </c>
      <c r="AN13" cm="1">
        <f t="array" ref="AN13">_xll.EQNXTDZ($A$1,$B13,AN$1)</f>
        <v>6.7</v>
      </c>
      <c r="AO13" cm="1">
        <f t="array" ref="AO13">_xll.EQNXTDZ($A$1,$B13,AO$1)</f>
        <v>7.54</v>
      </c>
      <c r="AP13" cm="1">
        <f t="array" ref="AP13">_xll.EQNXTDZ($A$1,$B13,AP$1)</f>
        <v>6.46</v>
      </c>
      <c r="AQ13" cm="1">
        <f t="array" ref="AQ13">_xll.EQNXTDZ($A$1,$B13,AQ$1)</f>
        <v>6.25</v>
      </c>
      <c r="AR13" cm="1">
        <f t="array" ref="AR13">_xll.EQNXTDZ($A$1,$B13,AR$1)</f>
        <v>7.09</v>
      </c>
      <c r="AS13" cm="1">
        <f t="array" ref="AS13">_xll.EQNXTDZ($A$1,$B13,AS$1)</f>
        <v>6.74</v>
      </c>
      <c r="AT13" cm="1">
        <f t="array" ref="AT13">_xll.EQNXTDZ($A$1,$B13,AT$1)</f>
        <v>8.1999999999999993</v>
      </c>
      <c r="AU13" cm="1">
        <f t="array" ref="AU13">_xll.EQNXTDZ($A$1,$B13,AU$1)</f>
        <v>6.89</v>
      </c>
      <c r="AV13" cm="1">
        <f t="array" ref="AV13">_xll.EQNXTDZ($A$1,$B13,AV$1)</f>
        <v>5.99</v>
      </c>
      <c r="AW13" cm="1">
        <f t="array" ref="AW13">_xll.EQNXTDZ($A$1,$B13,AW$1)</f>
        <v>6.68</v>
      </c>
      <c r="AX13" cm="1">
        <f t="array" ref="AX13">_xll.EQNXTDZ($A$1,$B13,AX$1)</f>
        <v>6.83</v>
      </c>
      <c r="AY13" cm="1">
        <f t="array" ref="AY13">_xll.EQNXTDZ($A$1,$B13,AY$1)</f>
        <v>6.5</v>
      </c>
      <c r="AZ13" cm="1">
        <f t="array" ref="AZ13">_xll.EQNXTDZ($A$1,$B13,AZ$1)</f>
        <v>7</v>
      </c>
      <c r="BA13" cm="1">
        <f t="array" ref="BA13">_xll.EQNXTDZ($A$1,$B13,BA$1)</f>
        <v>7</v>
      </c>
      <c r="BB13" cm="1">
        <f t="array" ref="BB13">_xll.EQNXTDZ($A$1,$B13,BB$1)</f>
        <v>6.49</v>
      </c>
      <c r="BC13" cm="1">
        <f t="array" ref="BC13">_xll.EQNXTDZ($A$1,$B13,BC$1)</f>
        <v>5.65</v>
      </c>
      <c r="BD13" cm="1">
        <f t="array" ref="BD13">_xll.EQNXTDZ($A$1,$B13,BD$1)</f>
        <v>7.17</v>
      </c>
      <c r="BE13" cm="1">
        <f t="array" ref="BE13">_xll.EQNXTDZ($A$1,$B13,BE$1)</f>
        <v>6.4</v>
      </c>
      <c r="BF13" cm="1">
        <f t="array" ref="BF13">_xll.EQNXTDZ($A$1,$B13,BF$1)</f>
        <v>5.9</v>
      </c>
      <c r="BG13" cm="1">
        <f t="array" ref="BG13">_xll.EQNXTDZ($A$1,$B13,BG$1)</f>
        <v>6.06</v>
      </c>
      <c r="BH13" cm="1">
        <f t="array" ref="BH13">_xll.EQNXTDZ($A$1,$B13,BH$1)</f>
        <v>8.4</v>
      </c>
      <c r="BI13" cm="1">
        <f t="array" ref="BI13">_xll.EQNXTDZ($A$1,$B13,BI$1)</f>
        <v>7.15</v>
      </c>
      <c r="BJ13" cm="1">
        <f t="array" ref="BJ13">_xll.EQNXTDZ($A$1,$B13,BJ$1)</f>
        <v>8.74</v>
      </c>
      <c r="BK13" cm="1">
        <f t="array" ref="BK13">_xll.EQNXTDZ($A$1,$B13,BK$1)</f>
        <v>6.53</v>
      </c>
      <c r="BL13" cm="1">
        <f t="array" ref="BL13">_xll.EQNXTDZ($A$1,$B13,BL$1)</f>
        <v>6.85</v>
      </c>
      <c r="BM13" cm="1">
        <f t="array" ref="BM13">_xll.EQNXTDZ($A$1,$B13,BM$1)</f>
        <v>7.85</v>
      </c>
      <c r="BN13" cm="1">
        <f t="array" ref="BN13">_xll.EQNXTDZ($A$1,$B13,BN$1)</f>
        <v>6.71</v>
      </c>
      <c r="BO13" cm="1">
        <f t="array" ref="BO13">_xll.EQNXTDZ($A$1,$B13,BO$1)</f>
        <v>6</v>
      </c>
      <c r="BP13" cm="1">
        <f t="array" ref="BP13">_xll.EQNXTDZ($A$1,$B13,BP$1)</f>
        <v>9</v>
      </c>
      <c r="BQ13" cm="1">
        <f t="array" ref="BQ13">_xll.EQNXTDZ($A$1,$B13,BQ$1)</f>
        <v>7.41</v>
      </c>
      <c r="BR13" cm="1">
        <f t="array" ref="BR13">_xll.EQNXTDZ($A$1,$B13,BR$1)</f>
        <v>7.15</v>
      </c>
      <c r="BS13" cm="1">
        <f t="array" ref="BS13">_xll.EQNXTDZ($A$1,$B13,BS$1)</f>
        <v>7.25</v>
      </c>
      <c r="BT13" cm="1">
        <f t="array" ref="BT13">_xll.EQNXTDZ($A$1,$B13,BT$1)</f>
        <v>6.11</v>
      </c>
      <c r="BU13" cm="1">
        <f t="array" ref="BU13">_xll.EQNXTDZ($A$1,$B13,BU$1)</f>
        <v>5.55</v>
      </c>
      <c r="BV13" cm="1">
        <f t="array" ref="BV13">_xll.EQNXTDZ($A$1,$B13,BV$1)</f>
        <v>5.58</v>
      </c>
      <c r="BW13" cm="1">
        <f t="array" ref="BW13">_xll.EQNXTDZ($A$1,$B13,BW$1)</f>
        <v>5.3</v>
      </c>
      <c r="BX13" cm="1">
        <f t="array" ref="BX13">_xll.EQNXTDZ($A$1,$B13,BX$1)</f>
        <v>4.57</v>
      </c>
      <c r="BY13" cm="1">
        <f t="array" ref="BY13">_xll.EQNXTDZ($A$1,$B13,BY$1)</f>
        <v>4.91</v>
      </c>
      <c r="BZ13" cm="1">
        <f t="array" ref="BZ13">_xll.EQNXTDZ($A$1,$B13,BZ$1)</f>
        <v>5.0999999999999996</v>
      </c>
      <c r="CA13" cm="1">
        <f t="array" ref="CA13">_xll.EQNXTDZ($A$1,$B13,CA$1)</f>
        <v>4.43</v>
      </c>
      <c r="CB13" cm="1">
        <f t="array" ref="CB13">_xll.EQNXTDZ($A$1,$B13,CB$1)</f>
        <v>4.0999999999999996</v>
      </c>
      <c r="CC13" cm="1">
        <f t="array" ref="CC13">_xll.EQNXTDZ($A$1,$B13,CC$1)</f>
        <v>4.0999999999999996</v>
      </c>
      <c r="CD13" cm="1">
        <f t="array" ref="CD13">_xll.EQNXTDZ($A$1,$B13,CD$1)</f>
        <v>4.16</v>
      </c>
      <c r="CE13" cm="1">
        <f t="array" ref="CE13">_xll.EQNXTDZ($A$1,$B13,CE$1)</f>
        <v>3.6</v>
      </c>
      <c r="CF13" cm="1">
        <f t="array" ref="CF13">_xll.EQNXTDZ($A$1,$B13,CF$1)</f>
        <v>3.07</v>
      </c>
      <c r="CG13" cm="1">
        <f t="array" ref="CG13">_xll.EQNXTDZ($A$1,$B13,CG$1)</f>
        <v>3.1</v>
      </c>
      <c r="CH13" cm="1">
        <f t="array" ref="CH13">_xll.EQNXTDZ($A$1,$B13,CH$1)</f>
        <v>2.92</v>
      </c>
      <c r="CI13" cm="1">
        <f t="array" ref="CI13">_xll.EQNXTDZ($A$1,$B13,CI$1)</f>
        <v>4.5</v>
      </c>
      <c r="CJ13" cm="1">
        <f t="array" ref="CJ13">_xll.EQNXTDZ($A$1,$B13,CJ$1)</f>
        <v>3.87</v>
      </c>
      <c r="CK13" cm="1">
        <f t="array" ref="CK13">_xll.EQNXTDZ($A$1,$B13,CK$1)</f>
        <v>3</v>
      </c>
      <c r="CL13" cm="1">
        <f t="array" ref="CL13">_xll.EQNXTDZ($A$1,$B13,CL$1)</f>
        <v>2.44</v>
      </c>
      <c r="CM13" cm="1">
        <f t="array" ref="CM13">_xll.EQNXTDZ($A$1,$B13,CM$1)</f>
        <v>2.89</v>
      </c>
      <c r="CN13" cm="1">
        <f t="array" ref="CN13">_xll.EQNXTDZ($A$1,$B13,CN$1)</f>
        <v>2.75</v>
      </c>
      <c r="CO13" cm="1">
        <f t="array" ref="CO13">_xll.EQNXTDZ($A$1,$B13,CO$1)</f>
        <v>2.9</v>
      </c>
      <c r="CP13" cm="1">
        <f t="array" ref="CP13">_xll.EQNXTDZ($A$1,$B13,CP$1)</f>
        <v>2.25</v>
      </c>
      <c r="CQ13" cm="1">
        <f t="array" ref="CQ13">_xll.EQNXTDZ($A$1,$B13,CQ$1)</f>
        <v>2.37</v>
      </c>
      <c r="CR13" cm="1">
        <f t="array" ref="CR13">_xll.EQNXTDZ($A$1,$B13,CR$1)</f>
        <v>2.69</v>
      </c>
      <c r="CS13" cm="1">
        <f t="array" ref="CS13">_xll.EQNXTDZ($A$1,$B13,CS$1)</f>
        <v>1.89</v>
      </c>
      <c r="CT13" cm="1">
        <f t="array" ref="CT13">_xll.EQNXTDZ($A$1,$B13,CT$1)</f>
        <v>2.4</v>
      </c>
      <c r="CU13" cm="1">
        <f t="array" ref="CU13">_xll.EQNXTDZ($A$1,$B13,CU$1)</f>
        <v>2.8</v>
      </c>
      <c r="CV13" cm="1">
        <f t="array" ref="CV13">_xll.EQNXTDZ($A$1,$B13,CV$1)</f>
        <v>3.9</v>
      </c>
      <c r="CW13" cm="1">
        <f t="array" ref="CW13">_xll.EQNXTDZ($A$1,$B13,CW$1)</f>
        <v>3.44</v>
      </c>
      <c r="CX13" cm="1">
        <f t="array" ref="CX13">_xll.EQNXTDZ($A$1,$B13,CX$1)</f>
        <v>3.54</v>
      </c>
      <c r="CY13" cm="1">
        <f t="array" ref="CY13">_xll.EQNXTDZ($A$1,$B13,CY$1)</f>
        <v>2.96</v>
      </c>
      <c r="CZ13" cm="1">
        <f t="array" ref="CZ13">_xll.EQNXTDZ($A$1,$B13,CZ$1)</f>
        <v>8.2100000000000009</v>
      </c>
      <c r="DA13" cm="1">
        <f t="array" ref="DA13">_xll.EQNXTDZ($A$1,$B13,DA$1)</f>
        <v>7.57</v>
      </c>
      <c r="DB13" cm="1">
        <f t="array" ref="DB13">_xll.EQNXTDZ($A$1,$B13,DB$1)</f>
        <v>8.0399999999999991</v>
      </c>
      <c r="DC13" cm="1">
        <f t="array" ref="DC13">_xll.EQNXTDZ($A$1,$B13,DC$1)</f>
        <v>18.2</v>
      </c>
      <c r="DD13" cm="1">
        <f t="array" ref="DD13">_xll.EQNXTDZ($A$1,$B13,DD$1)</f>
        <v>16.399999999999999</v>
      </c>
      <c r="DE13" cm="1">
        <f t="array" ref="DE13">_xll.EQNXTDZ($A$1,$B13,DE$1)</f>
        <v>14.5</v>
      </c>
      <c r="DF13" cm="1">
        <f t="array" ref="DF13">_xll.EQNXTDZ($A$1,$B13,DF$1)</f>
        <v>13.95</v>
      </c>
      <c r="DG13" cm="1">
        <f t="array" ref="DG13">_xll.EQNXTDZ($A$1,$B13,DG$1)</f>
        <v>16.5</v>
      </c>
      <c r="DH13" cm="1">
        <f t="array" ref="DH13">_xll.EQNXTDZ($A$1,$B13,DH$1)</f>
        <v>47.65</v>
      </c>
      <c r="DI13" cm="1">
        <f t="array" ref="DI13">_xll.EQNXTDZ($A$1,$B13,DI$1)</f>
        <v>39.950000000000003</v>
      </c>
      <c r="DJ13" cm="1">
        <f t="array" ref="DJ13">_xll.EQNXTDZ($A$1,$B13,DJ$1)</f>
        <v>36.6</v>
      </c>
      <c r="DK13" cm="1">
        <f t="array" ref="DK13">_xll.EQNXTDZ($A$1,$B13,DK$1)</f>
        <v>35.5</v>
      </c>
      <c r="DL13" cm="1">
        <f t="array" ref="DL13">_xll.EQNXTDZ($A$1,$B13,DL$1)</f>
        <v>54.05</v>
      </c>
      <c r="DM13" cm="1">
        <f t="array" ref="DM13">_xll.EQNXTDZ($A$1,$B13,DM$1)</f>
        <v>117.45</v>
      </c>
      <c r="DN13" cm="1">
        <f t="array" ref="DN13">_xll.EQNXTDZ($A$1,$B13,DN$1)</f>
        <v>217.25</v>
      </c>
      <c r="DO13" cm="1">
        <f t="array" ref="DO13">_xll.EQNXTDZ($A$1,$B13,DO$1)</f>
        <v>142.15</v>
      </c>
      <c r="DP13" cm="1">
        <f t="array" ref="DP13">_xll.EQNXTDZ($A$1,$B13,DP$1)</f>
        <v>111.15</v>
      </c>
      <c r="DQ13" cm="1">
        <f t="array" ref="DQ13">_xll.EQNXTDZ($A$1,$B13,DQ$1)</f>
        <v>175.15</v>
      </c>
      <c r="DR13" cm="1">
        <f t="array" ref="DR13">_xll.EQNXTDZ($A$1,$B13,DR$1)</f>
        <v>135</v>
      </c>
      <c r="DS13" cm="1">
        <f t="array" ref="DS13">_xll.EQNXTDZ($A$1,$B13,DS$1)</f>
        <v>125</v>
      </c>
      <c r="DT13" cm="1">
        <f t="array" ref="DT13">_xll.EQNXTDZ($A$1,$B13,DT$1)</f>
        <v>121.9</v>
      </c>
      <c r="DU13" cm="1">
        <f t="array" ref="DU13">_xll.EQNXTDZ($A$1,$B13,DU$1)</f>
        <v>108.6</v>
      </c>
      <c r="DV13" cm="1">
        <f t="array" ref="DV13">_xll.EQNXTDZ($A$1,$B13,DV$1)</f>
        <v>112.5</v>
      </c>
      <c r="DW13" cm="1">
        <f t="array" ref="DW13">_xll.EQNXTDZ($A$1,$B13,DW$1)</f>
        <v>103.45</v>
      </c>
      <c r="DX13" cm="1">
        <f t="array" ref="DX13">_xll.EQNXTDZ($A$1,$B13,DX$1)</f>
        <v>101.2</v>
      </c>
      <c r="DY13" cm="1">
        <f t="array" ref="DY13">_xll.EQNXTDZ($A$1,$B13,DY$1)</f>
        <v>102.2</v>
      </c>
      <c r="DZ13" cm="1">
        <f t="array" ref="DZ13">_xll.EQNXTDZ($A$1,$B13,DZ$1)</f>
        <v>92.7</v>
      </c>
      <c r="EA13" cm="1">
        <f t="array" ref="EA13">_xll.EQNXTDZ($A$1,$B13,EA$1)</f>
        <v>81.3</v>
      </c>
      <c r="EB13" cm="1">
        <f t="array" ref="EB13">_xll.EQNXTDZ($A$1,$B13,EB$1)</f>
        <v>57</v>
      </c>
      <c r="EC13" cm="1">
        <f t="array" ref="EC13">_xll.EQNXTDZ($A$1,$B13,EC$1)</f>
        <v>55.2</v>
      </c>
      <c r="ED13" cm="1">
        <f t="array" ref="ED13">_xll.EQNXTDZ($A$1,$B13,ED$1)</f>
        <v>61.06</v>
      </c>
      <c r="EE13" cm="1">
        <f t="array" ref="EE13">_xll.EQNXTDZ($A$1,$B13,EE$1)</f>
        <v>61.15</v>
      </c>
      <c r="EF13" cm="1">
        <f t="array" ref="EF13">_xll.EQNXTDZ($A$1,$B13,EF$1)</f>
        <v>71.209999999999994</v>
      </c>
      <c r="EG13" cm="1">
        <f t="array" ref="EG13">_xll.EQNXTDZ($A$1,$B13,EG$1)</f>
        <v>79.11</v>
      </c>
      <c r="EH13" cm="1">
        <f t="array" ref="EH13">_xll.EQNXTDZ($A$1,$B13,EH$1)</f>
        <v>87.12</v>
      </c>
      <c r="EI13" cm="1">
        <f t="array" ref="EI13">_xll.EQNXTDZ($A$1,$B13,EI$1)</f>
        <v>99.84</v>
      </c>
      <c r="EJ13" cm="1">
        <f t="array" ref="EJ13">_xll.EQNXTDZ($A$1,$B13,EJ$1)</f>
        <v>86.64</v>
      </c>
      <c r="EK13" cm="1">
        <f t="array" ref="EK13">_xll.EQNXTDZ($A$1,$B13,EK$1)</f>
        <v>96.56</v>
      </c>
      <c r="EL13" cm="1">
        <f t="array" ref="EL13">_xll.EQNXTDZ($A$1,$B13,EL$1)</f>
        <v>91.99</v>
      </c>
      <c r="EM13" cm="1">
        <f t="array" ref="EM13">_xll.EQNXTDZ($A$1,$B13,EM$1)</f>
        <v>93.26</v>
      </c>
      <c r="EN13" cm="1">
        <f t="array" ref="EN13">_xll.EQNXTDZ($A$1,$B13,EN$1)</f>
        <v>87.99</v>
      </c>
      <c r="EO13" cm="1">
        <f t="array" ref="EO13">_xll.EQNXTDZ($A$1,$B13,EO$1)</f>
        <v>74.97</v>
      </c>
      <c r="EP13" cm="1">
        <f t="array" ref="EP13">_xll.EQNXTDZ($A$1,$B13,EP$1)</f>
        <v>82.91</v>
      </c>
      <c r="EQ13" cm="1">
        <f t="array" ref="EQ13">_xll.EQNXTDZ($A$1,$B13,EQ$1)</f>
        <v>76.209999999999994</v>
      </c>
      <c r="ER13" cm="1">
        <f t="array" ref="ER13">_xll.EQNXTDZ($A$1,$B13,ER$1)</f>
        <v>79.11</v>
      </c>
      <c r="ES13" cm="1">
        <f t="array" ref="ES13">_xll.EQNXTDZ($A$1,$B13,ES$1)</f>
        <v>96.46</v>
      </c>
      <c r="ET13" cm="1">
        <f t="array" ref="ET13">_xll.EQNXTDZ($A$1,$B13,ET$1)</f>
        <v>96.57</v>
      </c>
      <c r="EU13" cm="1">
        <f t="array" ref="EU13">_xll.EQNXTDZ($A$1,$B13,EU$1)</f>
        <v>84.42</v>
      </c>
      <c r="EV13" cm="1">
        <f t="array" ref="EV13">_xll.EQNXTDZ($A$1,$B13,EV$1)</f>
        <v>73.930000000000007</v>
      </c>
      <c r="EW13" cm="1">
        <f t="array" ref="EW13">_xll.EQNXTDZ($A$1,$B13,EW$1)</f>
        <v>79.010000000000005</v>
      </c>
      <c r="EX13" cm="1">
        <f t="array" ref="EX13">_xll.EQNXTDZ($A$1,$B13,EX$1)</f>
        <v>75.510000000000005</v>
      </c>
      <c r="EY13" cm="1">
        <f t="array" ref="EY13">_xll.EQNXTDZ($A$1,$B13,EY$1)</f>
        <v>72.2</v>
      </c>
      <c r="EZ13" cm="1">
        <f t="array" ref="EZ13">_xll.EQNXTDZ($A$1,$B13,EZ$1)</f>
        <v>60.56</v>
      </c>
      <c r="FA13" cm="1">
        <f t="array" ref="FA13">_xll.EQNXTDZ($A$1,$B13,FA$1)</f>
        <v>56</v>
      </c>
      <c r="FB13" cm="1">
        <f t="array" ref="FB13">_xll.EQNXTDZ($A$1,$B13,FB$1)</f>
        <v>56.79</v>
      </c>
      <c r="FC13" cm="1">
        <f t="array" ref="FC13">_xll.EQNXTDZ($A$1,$B13,FC$1)</f>
        <v>72</v>
      </c>
      <c r="FD13" cm="1">
        <f t="array" ref="FD13">_xll.EQNXTDZ($A$1,$B13,FD$1)</f>
        <v>66</v>
      </c>
      <c r="FE13" cm="1">
        <f t="array" ref="FE13">_xll.EQNXTDZ($A$1,$B13,FE$1)</f>
        <v>58.3</v>
      </c>
      <c r="FF13" cm="1">
        <f t="array" ref="FF13">_xll.EQNXTDZ($A$1,$B13,FF$1)</f>
        <v>56.01</v>
      </c>
      <c r="FG13" cm="1">
        <f t="array" ref="FG13">_xll.EQNXTDZ($A$1,$B13,FG$1)</f>
        <v>55.66</v>
      </c>
      <c r="FH13" cm="1">
        <f t="array" ref="FH13">_xll.EQNXTDZ($A$1,$B13,FH$1)</f>
        <v>54.51</v>
      </c>
      <c r="FI13" cm="1">
        <f t="array" ref="FI13">_xll.EQNXTDZ($A$1,$B13,FI$1)</f>
        <v>51.92</v>
      </c>
      <c r="FJ13" cm="1">
        <f t="array" ref="FJ13">_xll.EQNXTDZ($A$1,$B13,FJ$1)</f>
        <v>49.51</v>
      </c>
      <c r="FK13" cm="1">
        <f t="array" ref="FK13">_xll.EQNXTDZ($A$1,$B13,FK$1)</f>
        <v>46.23</v>
      </c>
      <c r="FL13" cm="1">
        <f t="array" ref="FL13">_xll.EQNXTDZ($A$1,$B13,FL$1)</f>
        <v>38.229999999999997</v>
      </c>
      <c r="FM13" cm="1">
        <f t="array" ref="FM13">_xll.EQNXTDZ($A$1,$B13,FM$1)</f>
        <v>32.17</v>
      </c>
      <c r="FN13" cm="1">
        <f t="array" ref="FN13">_xll.EQNXTDZ($A$1,$B13,FN$1)</f>
        <v>43.52</v>
      </c>
      <c r="FO13" cm="1">
        <f t="array" ref="FO13">_xll.EQNXTDZ($A$1,$B13,FO$1)</f>
        <v>43.57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14.2718446601942</v>
      </c>
      <c r="D14" s="116" cm="1">
        <f t="array" ref="D14">_xll.EQNXTDZ($A$1,$B14,D$1)</f>
        <v>14.3883495145631</v>
      </c>
      <c r="E14" s="116" cm="1">
        <f t="array" ref="E14">_xll.EQNXTDZ($A$1,$B14,E$1)</f>
        <v>13.2038834951456</v>
      </c>
      <c r="F14" s="116" cm="1">
        <f t="array" ref="F14">_xll.EQNXTDZ($A$1,$B14,F$1)</f>
        <v>11.9902912621359</v>
      </c>
      <c r="G14" s="116" cm="1">
        <f t="array" ref="G14">_xll.EQNXTDZ($A$1,$B14,G$1)</f>
        <v>12.184466019417499</v>
      </c>
      <c r="H14" s="116" cm="1">
        <f t="array" ref="H14">_xll.EQNXTDZ($A$1,$B14,H$1)</f>
        <v>13.1650485436893</v>
      </c>
      <c r="I14" s="116" cm="1">
        <f t="array" ref="I14">_xll.EQNXTDZ($A$1,$B14,I$1)</f>
        <v>12.2330097087379</v>
      </c>
      <c r="J14" s="116" cm="1">
        <f t="array" ref="J14">_xll.EQNXTDZ($A$1,$B14,J$1)</f>
        <v>13.0097087378641</v>
      </c>
      <c r="K14" s="116" cm="1">
        <f t="array" ref="K14">_xll.EQNXTDZ($A$1,$B14,K$1)</f>
        <v>11.6504854368932</v>
      </c>
      <c r="L14" s="116" cm="1">
        <f t="array" ref="L14">_xll.EQNXTDZ($A$1,$B14,L$1)</f>
        <v>9.6893203883495094</v>
      </c>
      <c r="M14" s="116" cm="1">
        <f t="array" ref="M14">_xll.EQNXTDZ($A$1,$B14,M$1)</f>
        <v>8.9708737864077701</v>
      </c>
      <c r="N14" s="116" cm="1">
        <f t="array" ref="N14">_xll.EQNXTDZ($A$1,$B14,N$1)</f>
        <v>10.2718446601942</v>
      </c>
      <c r="O14" s="116" cm="1">
        <f t="array" ref="O14">_xll.EQNXTDZ($A$1,$B14,O$1)</f>
        <v>7.4077669902912602</v>
      </c>
      <c r="P14" s="116" cm="1">
        <f t="array" ref="P14">_xll.EQNXTDZ($A$1,$B14,P$1)</f>
        <v>7.55339805825243</v>
      </c>
      <c r="Q14" s="116" cm="1">
        <f t="array" ref="Q14">_xll.EQNXTDZ($A$1,$B14,Q$1)</f>
        <v>6.75</v>
      </c>
      <c r="R14" s="116" cm="1">
        <f t="array" ref="R14">_xll.EQNXTDZ($A$1,$B14,R$1)</f>
        <v>7.48</v>
      </c>
      <c r="S14" s="116" cm="1">
        <f t="array" ref="S14">_xll.EQNXTDZ($A$1,$B14,S$1)</f>
        <v>8.48</v>
      </c>
      <c r="T14" s="116" cm="1">
        <f t="array" ref="T14">_xll.EQNXTDZ($A$1,$B14,T$1)</f>
        <v>7.95</v>
      </c>
      <c r="U14" s="116" cm="1">
        <f t="array" ref="U14">_xll.EQNXTDZ($A$1,$B14,U$1)</f>
        <v>7.77</v>
      </c>
      <c r="V14" s="116" cm="1">
        <f t="array" ref="V14">_xll.EQNXTDZ($A$1,$B14,V$1)</f>
        <v>8.77</v>
      </c>
      <c r="W14" s="116" cm="1">
        <f t="array" ref="W14">_xll.EQNXTDZ($A$1,$B14,W$1)</f>
        <v>7.85</v>
      </c>
      <c r="X14" s="116" cm="1">
        <f t="array" ref="X14">_xll.EQNXTDZ($A$1,$B14,X$1)</f>
        <v>7.6</v>
      </c>
      <c r="Y14" s="116" cm="1">
        <f t="array" ref="Y14">_xll.EQNXTDZ($A$1,$B14,Y$1)</f>
        <v>9.6999999999999993</v>
      </c>
      <c r="Z14" s="116" cm="1">
        <f t="array" ref="Z14">_xll.EQNXTDZ($A$1,$B14,Z$1)</f>
        <v>13.25</v>
      </c>
      <c r="AA14" s="116" cm="1">
        <f t="array" ref="AA14">_xll.EQNXTDZ($A$1,$B14,AA$1)</f>
        <v>13.1</v>
      </c>
      <c r="AB14" s="116" cm="1">
        <f t="array" ref="AB14">_xll.EQNXTDZ($A$1,$B14,AB$1)</f>
        <v>14.05</v>
      </c>
      <c r="AC14" s="116" cm="1">
        <f t="array" ref="AC14">_xll.EQNXTDZ($A$1,$B14,AC$1)</f>
        <v>12.78</v>
      </c>
      <c r="AD14" s="116" cm="1">
        <f t="array" ref="AD14">_xll.EQNXTDZ($A$1,$B14,AD$1)</f>
        <v>12.27</v>
      </c>
      <c r="AE14" s="116" cm="1">
        <f t="array" ref="AE14">_xll.EQNXTDZ($A$1,$B14,AE$1)</f>
        <v>10.26</v>
      </c>
      <c r="AF14" s="116" cm="1">
        <f t="array" ref="AF14">_xll.EQNXTDZ($A$1,$B14,AF$1)</f>
        <v>10.039999999999999</v>
      </c>
      <c r="AG14" s="116" cm="1">
        <f t="array" ref="AG14">_xll.EQNXTDZ($A$1,$B14,AG$1)</f>
        <v>8.9700000000000006</v>
      </c>
      <c r="AH14" s="116" cm="1">
        <f t="array" ref="AH14">_xll.EQNXTDZ($A$1,$B14,AH$1)</f>
        <v>11.19</v>
      </c>
      <c r="AI14" s="116" cm="1">
        <f t="array" ref="AI14">_xll.EQNXTDZ($A$1,$B14,AI$1)</f>
        <v>9.4700000000000006</v>
      </c>
      <c r="AJ14" s="116" cm="1">
        <f t="array" ref="AJ14">_xll.EQNXTDZ($A$1,$B14,AJ$1)</f>
        <v>9.6</v>
      </c>
      <c r="AK14" s="116" cm="1">
        <f t="array" ref="AK14">_xll.EQNXTDZ($A$1,$B14,AK$1)</f>
        <v>8.93</v>
      </c>
      <c r="AL14" s="116" cm="1">
        <f t="array" ref="AL14">_xll.EQNXTDZ($A$1,$B14,AL$1)</f>
        <v>8</v>
      </c>
      <c r="AM14" s="116" cm="1">
        <f t="array" ref="AM14">_xll.EQNXTDZ($A$1,$B14,AM$1)</f>
        <v>7.15</v>
      </c>
      <c r="AN14" s="116" cm="1">
        <f t="array" ref="AN14">_xll.EQNXTDZ($A$1,$B14,AN$1)</f>
        <v>8.7799999999999994</v>
      </c>
      <c r="AO14" s="116" cm="1">
        <f t="array" ref="AO14">_xll.EQNXTDZ($A$1,$B14,AO$1)</f>
        <v>8.1</v>
      </c>
      <c r="AP14" s="116" cm="1">
        <f t="array" ref="AP14">_xll.EQNXTDZ($A$1,$B14,AP$1)</f>
        <v>6.89</v>
      </c>
      <c r="AQ14" s="116" cm="1">
        <f t="array" ref="AQ14">_xll.EQNXTDZ($A$1,$B14,AQ$1)</f>
        <v>7.97</v>
      </c>
      <c r="AR14" s="116" cm="1">
        <f t="array" ref="AR14">_xll.EQNXTDZ($A$1,$B14,AR$1)</f>
        <v>7.2</v>
      </c>
      <c r="AS14" s="116" cm="1">
        <f t="array" ref="AS14">_xll.EQNXTDZ($A$1,$B14,AS$1)</f>
        <v>9.4</v>
      </c>
      <c r="AT14" s="116" cm="1">
        <f t="array" ref="AT14">_xll.EQNXTDZ($A$1,$B14,AT$1)</f>
        <v>8.6</v>
      </c>
      <c r="AU14" s="116" cm="1">
        <f t="array" ref="AU14">_xll.EQNXTDZ($A$1,$B14,AU$1)</f>
        <v>7.09</v>
      </c>
      <c r="AV14" s="116" cm="1">
        <f t="array" ref="AV14">_xll.EQNXTDZ($A$1,$B14,AV$1)</f>
        <v>7.15</v>
      </c>
      <c r="AW14" s="116" cm="1">
        <f t="array" ref="AW14">_xll.EQNXTDZ($A$1,$B14,AW$1)</f>
        <v>7.56</v>
      </c>
      <c r="AX14" s="116" cm="1">
        <f t="array" ref="AX14">_xll.EQNXTDZ($A$1,$B14,AX$1)</f>
        <v>7.35</v>
      </c>
      <c r="AY14" s="116" cm="1">
        <f t="array" ref="AY14">_xll.EQNXTDZ($A$1,$B14,AY$1)</f>
        <v>7.24</v>
      </c>
      <c r="AZ14" s="116" cm="1">
        <f t="array" ref="AZ14">_xll.EQNXTDZ($A$1,$B14,AZ$1)</f>
        <v>7.5</v>
      </c>
      <c r="BA14" s="116" cm="1">
        <f t="array" ref="BA14">_xll.EQNXTDZ($A$1,$B14,BA$1)</f>
        <v>7.08</v>
      </c>
      <c r="BB14" s="116" cm="1">
        <f t="array" ref="BB14">_xll.EQNXTDZ($A$1,$B14,BB$1)</f>
        <v>6.49</v>
      </c>
      <c r="BC14" s="116" cm="1">
        <f t="array" ref="BC14">_xll.EQNXTDZ($A$1,$B14,BC$1)</f>
        <v>8.16</v>
      </c>
      <c r="BD14" s="116" cm="1">
        <f t="array" ref="BD14">_xll.EQNXTDZ($A$1,$B14,BD$1)</f>
        <v>7.35</v>
      </c>
      <c r="BE14" s="116" cm="1">
        <f t="array" ref="BE14">_xll.EQNXTDZ($A$1,$B14,BE$1)</f>
        <v>6.7</v>
      </c>
      <c r="BF14" s="116" cm="1">
        <f t="array" ref="BF14">_xll.EQNXTDZ($A$1,$B14,BF$1)</f>
        <v>6.54</v>
      </c>
      <c r="BG14" s="116" cm="1">
        <f t="array" ref="BG14">_xll.EQNXTDZ($A$1,$B14,BG$1)</f>
        <v>8.02</v>
      </c>
      <c r="BH14" s="116" cm="1">
        <f t="array" ref="BH14">_xll.EQNXTDZ($A$1,$B14,BH$1)</f>
        <v>10.48</v>
      </c>
      <c r="BI14" s="116" cm="1">
        <f t="array" ref="BI14">_xll.EQNXTDZ($A$1,$B14,BI$1)</f>
        <v>8.3000000000000007</v>
      </c>
      <c r="BJ14" s="116" cm="1">
        <f t="array" ref="BJ14">_xll.EQNXTDZ($A$1,$B14,BJ$1)</f>
        <v>9.4499999999999993</v>
      </c>
      <c r="BK14" s="116" cm="1">
        <f t="array" ref="BK14">_xll.EQNXTDZ($A$1,$B14,BK$1)</f>
        <v>7.45</v>
      </c>
      <c r="BL14" s="116" cm="1">
        <f t="array" ref="BL14">_xll.EQNXTDZ($A$1,$B14,BL$1)</f>
        <v>9.4499999999999993</v>
      </c>
      <c r="BM14" s="116" cm="1">
        <f t="array" ref="BM14">_xll.EQNXTDZ($A$1,$B14,BM$1)</f>
        <v>8.15</v>
      </c>
      <c r="BN14" s="116" cm="1">
        <f t="array" ref="BN14">_xll.EQNXTDZ($A$1,$B14,BN$1)</f>
        <v>7.15</v>
      </c>
      <c r="BO14" s="116" cm="1">
        <f t="array" ref="BO14">_xll.EQNXTDZ($A$1,$B14,BO$1)</f>
        <v>8.6300000000000008</v>
      </c>
      <c r="BP14" s="116" cm="1">
        <f t="array" ref="BP14">_xll.EQNXTDZ($A$1,$B14,BP$1)</f>
        <v>10.99</v>
      </c>
      <c r="BQ14" s="116" cm="1">
        <f t="array" ref="BQ14">_xll.EQNXTDZ($A$1,$B14,BQ$1)</f>
        <v>7.6</v>
      </c>
      <c r="BR14" s="116" cm="1">
        <f t="array" ref="BR14">_xll.EQNXTDZ($A$1,$B14,BR$1)</f>
        <v>8.01</v>
      </c>
      <c r="BS14" s="116" cm="1">
        <f t="array" ref="BS14">_xll.EQNXTDZ($A$1,$B14,BS$1)</f>
        <v>7.25</v>
      </c>
      <c r="BT14" s="116" cm="1">
        <f t="array" ref="BT14">_xll.EQNXTDZ($A$1,$B14,BT$1)</f>
        <v>7.04</v>
      </c>
      <c r="BU14" s="116" cm="1">
        <f t="array" ref="BU14">_xll.EQNXTDZ($A$1,$B14,BU$1)</f>
        <v>6.69</v>
      </c>
      <c r="BV14" s="116" cm="1">
        <f t="array" ref="BV14">_xll.EQNXTDZ($A$1,$B14,BV$1)</f>
        <v>5.84</v>
      </c>
      <c r="BW14" s="116" cm="1">
        <f t="array" ref="BW14">_xll.EQNXTDZ($A$1,$B14,BW$1)</f>
        <v>5.35</v>
      </c>
      <c r="BX14" s="116" cm="1">
        <f t="array" ref="BX14">_xll.EQNXTDZ($A$1,$B14,BX$1)</f>
        <v>5.87</v>
      </c>
      <c r="BY14" s="116" cm="1">
        <f t="array" ref="BY14">_xll.EQNXTDZ($A$1,$B14,BY$1)</f>
        <v>5.49</v>
      </c>
      <c r="BZ14" s="116" cm="1">
        <f t="array" ref="BZ14">_xll.EQNXTDZ($A$1,$B14,BZ$1)</f>
        <v>5.1100000000000003</v>
      </c>
      <c r="CA14" s="116" cm="1">
        <f t="array" ref="CA14">_xll.EQNXTDZ($A$1,$B14,CA$1)</f>
        <v>4.4800000000000004</v>
      </c>
      <c r="CB14" s="116" cm="1">
        <f t="array" ref="CB14">_xll.EQNXTDZ($A$1,$B14,CB$1)</f>
        <v>4.29</v>
      </c>
      <c r="CC14" s="116" cm="1">
        <f t="array" ref="CC14">_xll.EQNXTDZ($A$1,$B14,CC$1)</f>
        <v>4.62</v>
      </c>
      <c r="CD14" s="116" cm="1">
        <f t="array" ref="CD14">_xll.EQNXTDZ($A$1,$B14,CD$1)</f>
        <v>4.16</v>
      </c>
      <c r="CE14" s="116" cm="1">
        <f t="array" ref="CE14">_xll.EQNXTDZ($A$1,$B14,CE$1)</f>
        <v>3.74</v>
      </c>
      <c r="CF14" s="116" cm="1">
        <f t="array" ref="CF14">_xll.EQNXTDZ($A$1,$B14,CF$1)</f>
        <v>3.67</v>
      </c>
      <c r="CG14" s="116" cm="1">
        <f t="array" ref="CG14">_xll.EQNXTDZ($A$1,$B14,CG$1)</f>
        <v>3.29</v>
      </c>
      <c r="CH14" s="116" cm="1">
        <f t="array" ref="CH14">_xll.EQNXTDZ($A$1,$B14,CH$1)</f>
        <v>4.16</v>
      </c>
      <c r="CI14" s="116" cm="1">
        <f t="array" ref="CI14">_xll.EQNXTDZ($A$1,$B14,CI$1)</f>
        <v>5.27</v>
      </c>
      <c r="CJ14" s="116" cm="1">
        <f t="array" ref="CJ14">_xll.EQNXTDZ($A$1,$B14,CJ$1)</f>
        <v>4.3600000000000003</v>
      </c>
      <c r="CK14" s="116" cm="1">
        <f t="array" ref="CK14">_xll.EQNXTDZ($A$1,$B14,CK$1)</f>
        <v>3.1</v>
      </c>
      <c r="CL14" s="116" cm="1">
        <f t="array" ref="CL14">_xll.EQNXTDZ($A$1,$B14,CL$1)</f>
        <v>3.79</v>
      </c>
      <c r="CM14" s="116" cm="1">
        <f t="array" ref="CM14">_xll.EQNXTDZ($A$1,$B14,CM$1)</f>
        <v>2.89</v>
      </c>
      <c r="CN14" s="116" cm="1">
        <f t="array" ref="CN14">_xll.EQNXTDZ($A$1,$B14,CN$1)</f>
        <v>3.19</v>
      </c>
      <c r="CO14" s="116" cm="1">
        <f t="array" ref="CO14">_xll.EQNXTDZ($A$1,$B14,CO$1)</f>
        <v>2.9</v>
      </c>
      <c r="CP14" s="116" cm="1">
        <f t="array" ref="CP14">_xll.EQNXTDZ($A$1,$B14,CP$1)</f>
        <v>2.8</v>
      </c>
      <c r="CQ14" s="116" cm="1">
        <f t="array" ref="CQ14">_xll.EQNXTDZ($A$1,$B14,CQ$1)</f>
        <v>4.3099999999999996</v>
      </c>
      <c r="CR14" s="116" cm="1">
        <f t="array" ref="CR14">_xll.EQNXTDZ($A$1,$B14,CR$1)</f>
        <v>2.75</v>
      </c>
      <c r="CS14" s="116" cm="1">
        <f t="array" ref="CS14">_xll.EQNXTDZ($A$1,$B14,CS$1)</f>
        <v>3.09</v>
      </c>
      <c r="CT14" s="116" cm="1">
        <f t="array" ref="CT14">_xll.EQNXTDZ($A$1,$B14,CT$1)</f>
        <v>2.8</v>
      </c>
      <c r="CU14" s="116" cm="1">
        <f t="array" ref="CU14">_xll.EQNXTDZ($A$1,$B14,CU$1)</f>
        <v>4.55</v>
      </c>
      <c r="CV14" s="116" cm="1">
        <f t="array" ref="CV14">_xll.EQNXTDZ($A$1,$B14,CV$1)</f>
        <v>4.05</v>
      </c>
      <c r="CW14" s="116" cm="1">
        <f t="array" ref="CW14">_xll.EQNXTDZ($A$1,$B14,CW$1)</f>
        <v>3.92</v>
      </c>
      <c r="CX14" s="116" cm="1">
        <f t="array" ref="CX14">_xll.EQNXTDZ($A$1,$B14,CX$1)</f>
        <v>3.63</v>
      </c>
      <c r="CY14" s="116" cm="1">
        <f t="array" ref="CY14">_xll.EQNXTDZ($A$1,$B14,CY$1)</f>
        <v>7.82</v>
      </c>
      <c r="CZ14" s="116" cm="1">
        <f t="array" ref="CZ14">_xll.EQNXTDZ($A$1,$B14,CZ$1)</f>
        <v>9.0299999999999994</v>
      </c>
      <c r="DA14" s="116" cm="1">
        <f t="array" ref="DA14">_xll.EQNXTDZ($A$1,$B14,DA$1)</f>
        <v>8.6</v>
      </c>
      <c r="DB14" s="116" cm="1">
        <f t="array" ref="DB14">_xll.EQNXTDZ($A$1,$B14,DB$1)</f>
        <v>17.350000000000001</v>
      </c>
      <c r="DC14" s="116" cm="1">
        <f t="array" ref="DC14">_xll.EQNXTDZ($A$1,$B14,DC$1)</f>
        <v>23.2</v>
      </c>
      <c r="DD14" s="116" cm="1">
        <f t="array" ref="DD14">_xll.EQNXTDZ($A$1,$B14,DD$1)</f>
        <v>16.600000000000001</v>
      </c>
      <c r="DE14" s="116" cm="1">
        <f t="array" ref="DE14">_xll.EQNXTDZ($A$1,$B14,DE$1)</f>
        <v>14.55</v>
      </c>
      <c r="DF14" s="116" cm="1">
        <f t="array" ref="DF14">_xll.EQNXTDZ($A$1,$B14,DF$1)</f>
        <v>15.75</v>
      </c>
      <c r="DG14" s="116" cm="1">
        <f t="array" ref="DG14">_xll.EQNXTDZ($A$1,$B14,DG$1)</f>
        <v>45.4</v>
      </c>
      <c r="DH14" s="116" cm="1">
        <f t="array" ref="DH14">_xll.EQNXTDZ($A$1,$B14,DH$1)</f>
        <v>55.1</v>
      </c>
      <c r="DI14" s="116" cm="1">
        <f t="array" ref="DI14">_xll.EQNXTDZ($A$1,$B14,DI$1)</f>
        <v>46</v>
      </c>
      <c r="DJ14" s="116" cm="1">
        <f t="array" ref="DJ14">_xll.EQNXTDZ($A$1,$B14,DJ$1)</f>
        <v>37.9</v>
      </c>
      <c r="DK14" s="116" cm="1">
        <f t="array" ref="DK14">_xll.EQNXTDZ($A$1,$B14,DK$1)</f>
        <v>58.25</v>
      </c>
      <c r="DL14" s="116" cm="1">
        <f t="array" ref="DL14">_xll.EQNXTDZ($A$1,$B14,DL$1)</f>
        <v>111.9</v>
      </c>
      <c r="DM14" s="116" cm="1">
        <f t="array" ref="DM14">_xll.EQNXTDZ($A$1,$B14,DM$1)</f>
        <v>206.95</v>
      </c>
      <c r="DN14" s="116" cm="1">
        <f t="array" ref="DN14">_xll.EQNXTDZ($A$1,$B14,DN$1)</f>
        <v>291.05</v>
      </c>
      <c r="DO14" s="116" cm="1">
        <f t="array" ref="DO14">_xll.EQNXTDZ($A$1,$B14,DO$1)</f>
        <v>181.3</v>
      </c>
      <c r="DP14" s="116" cm="1">
        <f t="array" ref="DP14">_xll.EQNXTDZ($A$1,$B14,DP$1)</f>
        <v>171.9</v>
      </c>
      <c r="DQ14" s="116" cm="1">
        <f t="array" ref="DQ14">_xll.EQNXTDZ($A$1,$B14,DQ$1)</f>
        <v>210</v>
      </c>
      <c r="DR14" s="116" cm="1">
        <f t="array" ref="DR14">_xll.EQNXTDZ($A$1,$B14,DR$1)</f>
        <v>149.94999999999999</v>
      </c>
      <c r="DS14" s="116" cm="1">
        <f t="array" ref="DS14">_xll.EQNXTDZ($A$1,$B14,DS$1)</f>
        <v>147.35</v>
      </c>
      <c r="DT14" s="116" cm="1">
        <f t="array" ref="DT14">_xll.EQNXTDZ($A$1,$B14,DT$1)</f>
        <v>124.7</v>
      </c>
      <c r="DU14" s="116" cm="1">
        <f t="array" ref="DU14">_xll.EQNXTDZ($A$1,$B14,DU$1)</f>
        <v>117.1</v>
      </c>
      <c r="DV14" s="116" cm="1">
        <f t="array" ref="DV14">_xll.EQNXTDZ($A$1,$B14,DV$1)</f>
        <v>149</v>
      </c>
      <c r="DW14" s="116" cm="1">
        <f t="array" ref="DW14">_xll.EQNXTDZ($A$1,$B14,DW$1)</f>
        <v>114.25</v>
      </c>
      <c r="DX14" s="116" cm="1">
        <f t="array" ref="DX14">_xll.EQNXTDZ($A$1,$B14,DX$1)</f>
        <v>107.35</v>
      </c>
      <c r="DY14" s="116" cm="1">
        <f t="array" ref="DY14">_xll.EQNXTDZ($A$1,$B14,DY$1)</f>
        <v>103.55</v>
      </c>
      <c r="DZ14" s="116" cm="1">
        <f t="array" ref="DZ14">_xll.EQNXTDZ($A$1,$B14,DZ$1)</f>
        <v>93.65</v>
      </c>
      <c r="EA14" s="116" cm="1">
        <f t="array" ref="EA14">_xll.EQNXTDZ($A$1,$B14,EA$1)</f>
        <v>83.3</v>
      </c>
      <c r="EB14" s="116" cm="1">
        <f t="array" ref="EB14">_xll.EQNXTDZ($A$1,$B14,EB$1)</f>
        <v>70.7</v>
      </c>
      <c r="EC14" s="116" cm="1">
        <f t="array" ref="EC14">_xll.EQNXTDZ($A$1,$B14,EC$1)</f>
        <v>67.430000000000007</v>
      </c>
      <c r="ED14" s="116" cm="1">
        <f t="array" ref="ED14">_xll.EQNXTDZ($A$1,$B14,ED$1)</f>
        <v>71</v>
      </c>
      <c r="EE14" s="116" cm="1">
        <f t="array" ref="EE14">_xll.EQNXTDZ($A$1,$B14,EE$1)</f>
        <v>84.29</v>
      </c>
      <c r="EF14" s="116" cm="1">
        <f t="array" ref="EF14">_xll.EQNXTDZ($A$1,$B14,EF$1)</f>
        <v>87.05</v>
      </c>
      <c r="EG14" s="116" cm="1">
        <f t="array" ref="EG14">_xll.EQNXTDZ($A$1,$B14,EG$1)</f>
        <v>92.84</v>
      </c>
      <c r="EH14" s="116" cm="1">
        <f t="array" ref="EH14">_xll.EQNXTDZ($A$1,$B14,EH$1)</f>
        <v>109.1</v>
      </c>
      <c r="EI14" s="116" cm="1">
        <f t="array" ref="EI14">_xll.EQNXTDZ($A$1,$B14,EI$1)</f>
        <v>100.3</v>
      </c>
      <c r="EJ14" s="116" cm="1">
        <f t="array" ref="EJ14">_xll.EQNXTDZ($A$1,$B14,EJ$1)</f>
        <v>96.74</v>
      </c>
      <c r="EK14" s="116" cm="1">
        <f t="array" ref="EK14">_xll.EQNXTDZ($A$1,$B14,EK$1)</f>
        <v>98.3</v>
      </c>
      <c r="EL14" s="116" cm="1">
        <f t="array" ref="EL14">_xll.EQNXTDZ($A$1,$B14,EL$1)</f>
        <v>99</v>
      </c>
      <c r="EM14" s="116" cm="1">
        <f t="array" ref="EM14">_xll.EQNXTDZ($A$1,$B14,EM$1)</f>
        <v>106.56</v>
      </c>
      <c r="EN14" s="116" cm="1">
        <f t="array" ref="EN14">_xll.EQNXTDZ($A$1,$B14,EN$1)</f>
        <v>91</v>
      </c>
      <c r="EO14" s="116" cm="1">
        <f t="array" ref="EO14">_xll.EQNXTDZ($A$1,$B14,EO$1)</f>
        <v>89.75</v>
      </c>
      <c r="EP14" s="116" cm="1">
        <f t="array" ref="EP14">_xll.EQNXTDZ($A$1,$B14,EP$1)</f>
        <v>83.13</v>
      </c>
      <c r="EQ14" s="116" cm="1">
        <f t="array" ref="EQ14">_xll.EQNXTDZ($A$1,$B14,EQ$1)</f>
        <v>82.58</v>
      </c>
      <c r="ER14" s="116" cm="1">
        <f t="array" ref="ER14">_xll.EQNXTDZ($A$1,$B14,ER$1)</f>
        <v>111.48</v>
      </c>
      <c r="ES14" s="116" cm="1">
        <f t="array" ref="ES14">_xll.EQNXTDZ($A$1,$B14,ES$1)</f>
        <v>103.99</v>
      </c>
      <c r="ET14" s="116" cm="1">
        <f t="array" ref="ET14">_xll.EQNXTDZ($A$1,$B14,ET$1)</f>
        <v>98.81</v>
      </c>
      <c r="EU14" s="116" cm="1">
        <f t="array" ref="EU14">_xll.EQNXTDZ($A$1,$B14,EU$1)</f>
        <v>86.28</v>
      </c>
      <c r="EV14" s="116" cm="1">
        <f t="array" ref="EV14">_xll.EQNXTDZ($A$1,$B14,EV$1)</f>
        <v>85.4</v>
      </c>
      <c r="EW14" s="116" cm="1">
        <f t="array" ref="EW14">_xll.EQNXTDZ($A$1,$B14,EW$1)</f>
        <v>88.88</v>
      </c>
      <c r="EX14" s="116" cm="1">
        <f t="array" ref="EX14">_xll.EQNXTDZ($A$1,$B14,EX$1)</f>
        <v>84.5</v>
      </c>
      <c r="EY14" s="116" cm="1">
        <f t="array" ref="EY14">_xll.EQNXTDZ($A$1,$B14,EY$1)</f>
        <v>77.599999999999994</v>
      </c>
      <c r="EZ14" s="116" cm="1">
        <f t="array" ref="EZ14">_xll.EQNXTDZ($A$1,$B14,EZ$1)</f>
        <v>64.7</v>
      </c>
      <c r="FA14" s="116" cm="1">
        <f t="array" ref="FA14">_xll.EQNXTDZ($A$1,$B14,FA$1)</f>
        <v>62.16</v>
      </c>
      <c r="FB14" s="116" cm="1">
        <f t="array" ref="FB14">_xll.EQNXTDZ($A$1,$B14,FB$1)</f>
        <v>80.53</v>
      </c>
      <c r="FC14" s="116" cm="1">
        <f t="array" ref="FC14">_xll.EQNXTDZ($A$1,$B14,FC$1)</f>
        <v>81.16</v>
      </c>
      <c r="FD14" s="116" cm="1">
        <f t="array" ref="FD14">_xll.EQNXTDZ($A$1,$B14,FD$1)</f>
        <v>66.989999999999995</v>
      </c>
      <c r="FE14" s="116" cm="1">
        <f t="array" ref="FE14">_xll.EQNXTDZ($A$1,$B14,FE$1)</f>
        <v>60.68</v>
      </c>
      <c r="FF14" s="116" cm="1">
        <f t="array" ref="FF14">_xll.EQNXTDZ($A$1,$B14,FF$1)</f>
        <v>60.63</v>
      </c>
      <c r="FG14" s="116" cm="1">
        <f t="array" ref="FG14">_xll.EQNXTDZ($A$1,$B14,FG$1)</f>
        <v>60.08</v>
      </c>
      <c r="FH14" s="116" cm="1">
        <f t="array" ref="FH14">_xll.EQNXTDZ($A$1,$B14,FH$1)</f>
        <v>58.15</v>
      </c>
      <c r="FI14" s="116" cm="1">
        <f t="array" ref="FI14">_xll.EQNXTDZ($A$1,$B14,FI$1)</f>
        <v>54.71</v>
      </c>
      <c r="FJ14" s="116" cm="1">
        <f t="array" ref="FJ14">_xll.EQNXTDZ($A$1,$B14,FJ$1)</f>
        <v>50.15</v>
      </c>
      <c r="FK14" s="116" cm="1">
        <f t="array" ref="FK14">_xll.EQNXTDZ($A$1,$B14,FK$1)</f>
        <v>47.81</v>
      </c>
      <c r="FL14" s="116" cm="1">
        <f t="array" ref="FL14">_xll.EQNXTDZ($A$1,$B14,FL$1)</f>
        <v>42.1</v>
      </c>
      <c r="FM14" s="116" cm="1">
        <f t="array" ref="FM14">_xll.EQNXTDZ($A$1,$B14,FM$1)</f>
        <v>49.81</v>
      </c>
      <c r="FN14" s="116" cm="1">
        <f t="array" ref="FN14">_xll.EQNXTDZ($A$1,$B14,FN$1)</f>
        <v>45.75</v>
      </c>
      <c r="FO14" s="116" cm="1">
        <f t="array" ref="FO14">_xll.EQNXTDZ($A$1,$B14,FO$1)</f>
        <v>48.08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14.3883495145631</v>
      </c>
      <c r="HQ14" s="116">
        <f>+MAX(G14:I14)</f>
        <v>13.1650485436893</v>
      </c>
      <c r="HR14" s="116">
        <f>+MAX(J14:L14)</f>
        <v>13.0097087378641</v>
      </c>
      <c r="HS14" s="116">
        <f>+MAX(M14:O14)</f>
        <v>10.2718446601942</v>
      </c>
      <c r="HT14" s="116">
        <f>+MAX(P14:R14)</f>
        <v>7.55339805825243</v>
      </c>
      <c r="HU14" s="116">
        <f>+MAX(S14:U14)</f>
        <v>8.48</v>
      </c>
      <c r="HV14" s="116">
        <f>+MAX(V14:X14)</f>
        <v>8.77</v>
      </c>
      <c r="HW14" s="116">
        <f>+MAX(Y14:AA14)</f>
        <v>13.25</v>
      </c>
      <c r="HX14" s="116">
        <f>+MAX(AB14:AD14)</f>
        <v>14.05</v>
      </c>
      <c r="HY14" s="116">
        <f>+MAX(AE14:AG14)</f>
        <v>10.26</v>
      </c>
      <c r="HZ14" s="116">
        <f>+MAX(AH14:AJ14)</f>
        <v>11.19</v>
      </c>
      <c r="IA14" s="116">
        <f>+MAX(AK14:AM14)</f>
        <v>8.93</v>
      </c>
      <c r="IB14" s="116">
        <f>+MAX(AN14:AP14)</f>
        <v>8.7799999999999994</v>
      </c>
      <c r="IC14" s="116">
        <f>+MAX(AQ14:AS14)</f>
        <v>9.4</v>
      </c>
      <c r="ID14" s="116">
        <f>+MAX(AT14:AV14)</f>
        <v>8.6</v>
      </c>
      <c r="IE14" s="116">
        <f>+MAX(AW14:AY14)</f>
        <v>7.56</v>
      </c>
      <c r="IF14" s="116">
        <f>+MAX(AZ14:BB14)</f>
        <v>7.5</v>
      </c>
      <c r="IG14" s="116">
        <f>+MAX(BC14:BE14)</f>
        <v>8.16</v>
      </c>
      <c r="IH14" s="116">
        <f>+MAX(BF14:BH14)</f>
        <v>10.48</v>
      </c>
      <c r="II14" s="116">
        <f>+MAX(BI14:BK14)</f>
        <v>9.4499999999999993</v>
      </c>
      <c r="IJ14" s="116">
        <f>+MAX(BL14:BN14)</f>
        <v>9.4499999999999993</v>
      </c>
      <c r="IK14" s="116">
        <f>+MAX(BO14:BQ14)</f>
        <v>10.99</v>
      </c>
      <c r="IL14" s="116">
        <f>+MAX(BR14:BT14)</f>
        <v>8.01</v>
      </c>
      <c r="IM14" s="116">
        <f>+MAX(BU14:BW14)</f>
        <v>6.69</v>
      </c>
      <c r="IN14" s="116">
        <f>+MAX(BX14:BZ14)</f>
        <v>5.87</v>
      </c>
      <c r="IO14" s="116">
        <f>+MAX(CA14:CC14)</f>
        <v>4.62</v>
      </c>
      <c r="IP14" s="116">
        <f>+MAX(CD14:CF14)</f>
        <v>4.16</v>
      </c>
      <c r="IQ14" s="116">
        <f>+MAX(CG14:CI14)</f>
        <v>5.27</v>
      </c>
      <c r="IR14" s="116">
        <f>+MAX(CJ14:CL14)</f>
        <v>4.3600000000000003</v>
      </c>
      <c r="IS14" s="116">
        <f>+MAX(CM14:CO14)</f>
        <v>3.19</v>
      </c>
      <c r="IT14" s="116">
        <f>+MAX(CP14:CR14)</f>
        <v>4.3099999999999996</v>
      </c>
      <c r="IU14" s="116">
        <f>+MAX(CS14:CU14)</f>
        <v>4.55</v>
      </c>
      <c r="IV14" s="116">
        <f>+MAX(CV14:CX14)</f>
        <v>4.05</v>
      </c>
      <c r="IW14" s="116">
        <f>+MAX(CY14:DA14)</f>
        <v>9.0299999999999994</v>
      </c>
      <c r="IX14" s="116">
        <f>+MAX(DB14:DD14)</f>
        <v>23.2</v>
      </c>
      <c r="IY14" s="116">
        <f>+MAX(DE14:DG14)</f>
        <v>45.4</v>
      </c>
      <c r="IZ14" s="116">
        <f>+MAX(DH14:DJ14)</f>
        <v>55.1</v>
      </c>
      <c r="JA14" s="116">
        <f>+MAX(DK14:DM14)</f>
        <v>206.95</v>
      </c>
      <c r="JB14" s="116">
        <f>+MAX(DN14:DP14)</f>
        <v>291.05</v>
      </c>
      <c r="JC14" s="116">
        <f>+MAX(DQ14:DS14)</f>
        <v>210</v>
      </c>
      <c r="JD14" s="116">
        <f>+MAX(DT14:DV14)</f>
        <v>149</v>
      </c>
      <c r="JE14" s="116">
        <f>+MAX(DW14:DY14)</f>
        <v>114.25</v>
      </c>
      <c r="JF14" s="116">
        <f>+MAX(DZ14:EB14)</f>
        <v>93.65</v>
      </c>
      <c r="JG14" s="116">
        <f>+MAX(EC14:EE14)</f>
        <v>84.29</v>
      </c>
      <c r="JH14" s="116">
        <f>+MAX(EF14:EH14)</f>
        <v>109.1</v>
      </c>
      <c r="JI14" s="116">
        <f>+MAX(EI14:EK14)</f>
        <v>100.3</v>
      </c>
      <c r="JJ14" s="116">
        <f>+MAX(EL14:EN14)</f>
        <v>106.56</v>
      </c>
      <c r="JK14" s="116">
        <f>MAX(EO14:EQ14)</f>
        <v>89.75</v>
      </c>
      <c r="JL14" s="116">
        <f>MAX(ER14:ET14)</f>
        <v>111.48</v>
      </c>
      <c r="JM14" s="116">
        <f>MAX(EU14:EW14)</f>
        <v>88.88</v>
      </c>
      <c r="JN14" s="116">
        <f>MAX(EX14:EZ14)</f>
        <v>84.5</v>
      </c>
      <c r="JO14" s="116">
        <f>MAX(FA14:FC14)</f>
        <v>81.16</v>
      </c>
      <c r="JP14" s="116">
        <f>MAX(FD14:FF14)</f>
        <v>66.989999999999995</v>
      </c>
      <c r="JQ14" s="116">
        <f>MAX(FG14:FI14)</f>
        <v>60.08</v>
      </c>
      <c r="JR14" s="116">
        <f>MAX(FJ14:FL14)</f>
        <v>50.15</v>
      </c>
      <c r="JS14" s="116">
        <f>MAX(FM14:FO14)</f>
        <v>49.81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12.184466019417499</v>
      </c>
      <c r="D15" s="116" cm="1">
        <f t="array" ref="D15">_xll.EQNXTDZ($A$1,$B15,D$1)</f>
        <v>12.0873786407767</v>
      </c>
      <c r="E15" s="116" cm="1">
        <f t="array" ref="E15">_xll.EQNXTDZ($A$1,$B15,E$1)</f>
        <v>10.194174757281599</v>
      </c>
      <c r="F15" s="116" cm="1">
        <f t="array" ref="F15">_xll.EQNXTDZ($A$1,$B15,F$1)</f>
        <v>10.3495145631068</v>
      </c>
      <c r="G15" s="116" cm="1">
        <f t="array" ref="G15">_xll.EQNXTDZ($A$1,$B15,G$1)</f>
        <v>10.4854368932039</v>
      </c>
      <c r="H15" s="116" cm="1">
        <f t="array" ref="H15">_xll.EQNXTDZ($A$1,$B15,H$1)</f>
        <v>10.0485436893204</v>
      </c>
      <c r="I15" s="116" cm="1">
        <f t="array" ref="I15">_xll.EQNXTDZ($A$1,$B15,I$1)</f>
        <v>11.213592233009701</v>
      </c>
      <c r="J15" s="116" cm="1">
        <f t="array" ref="J15">_xll.EQNXTDZ($A$1,$B15,J$1)</f>
        <v>11.213592233009701</v>
      </c>
      <c r="K15" s="116" cm="1">
        <f t="array" ref="K15">_xll.EQNXTDZ($A$1,$B15,K$1)</f>
        <v>8.3009708737864099</v>
      </c>
      <c r="L15" s="116" cm="1">
        <f t="array" ref="L15">_xll.EQNXTDZ($A$1,$B15,L$1)</f>
        <v>7.1844660194174796</v>
      </c>
      <c r="M15" s="116" cm="1">
        <f t="array" ref="M15">_xll.EQNXTDZ($A$1,$B15,M$1)</f>
        <v>7.7669902912621396</v>
      </c>
      <c r="N15" s="116" cm="1">
        <f t="array" ref="N15">_xll.EQNXTDZ($A$1,$B15,N$1)</f>
        <v>7.15533980582524</v>
      </c>
      <c r="O15" s="116" cm="1">
        <f t="array" ref="O15">_xll.EQNXTDZ($A$1,$B15,O$1)</f>
        <v>4.8349514563106801</v>
      </c>
      <c r="P15" s="116" cm="1">
        <f t="array" ref="P15">_xll.EQNXTDZ($A$1,$B15,P$1)</f>
        <v>5.8932038834951497</v>
      </c>
      <c r="Q15" s="116" cm="1">
        <f t="array" ref="Q15">_xll.EQNXTDZ($A$1,$B15,Q$1)</f>
        <v>5.41</v>
      </c>
      <c r="R15" s="116" cm="1">
        <f t="array" ref="R15">_xll.EQNXTDZ($A$1,$B15,R$1)</f>
        <v>5.73</v>
      </c>
      <c r="S15" s="116" cm="1">
        <f t="array" ref="S15">_xll.EQNXTDZ($A$1,$B15,S$1)</f>
        <v>6.5</v>
      </c>
      <c r="T15" s="116" cm="1">
        <f t="array" ref="T15">_xll.EQNXTDZ($A$1,$B15,T$1)</f>
        <v>6.5</v>
      </c>
      <c r="U15" s="116" cm="1">
        <f t="array" ref="U15">_xll.EQNXTDZ($A$1,$B15,U$1)</f>
        <v>6.62</v>
      </c>
      <c r="V15" s="116" cm="1">
        <f t="array" ref="V15">_xll.EQNXTDZ($A$1,$B15,V$1)</f>
        <v>7.1</v>
      </c>
      <c r="W15" s="116" cm="1">
        <f t="array" ref="W15">_xll.EQNXTDZ($A$1,$B15,W$1)</f>
        <v>6.8</v>
      </c>
      <c r="X15" s="116" cm="1">
        <f t="array" ref="X15">_xll.EQNXTDZ($A$1,$B15,X$1)</f>
        <v>6.85</v>
      </c>
      <c r="Y15" s="116" cm="1">
        <f t="array" ref="Y15">_xll.EQNXTDZ($A$1,$B15,Y$1)</f>
        <v>7.01</v>
      </c>
      <c r="Z15" s="116" cm="1">
        <f t="array" ref="Z15">_xll.EQNXTDZ($A$1,$B15,Z$1)</f>
        <v>8.26</v>
      </c>
      <c r="AA15" s="116" cm="1">
        <f t="array" ref="AA15">_xll.EQNXTDZ($A$1,$B15,AA$1)</f>
        <v>10.76</v>
      </c>
      <c r="AB15" s="116" cm="1">
        <f t="array" ref="AB15">_xll.EQNXTDZ($A$1,$B15,AB$1)</f>
        <v>11.36</v>
      </c>
      <c r="AC15" s="116" cm="1">
        <f t="array" ref="AC15">_xll.EQNXTDZ($A$1,$B15,AC$1)</f>
        <v>10.32</v>
      </c>
      <c r="AD15" s="116" cm="1">
        <f t="array" ref="AD15">_xll.EQNXTDZ($A$1,$B15,AD$1)</f>
        <v>9.64</v>
      </c>
      <c r="AE15" s="116" cm="1">
        <f t="array" ref="AE15">_xll.EQNXTDZ($A$1,$B15,AE$1)</f>
        <v>8.85</v>
      </c>
      <c r="AF15" s="116" cm="1">
        <f t="array" ref="AF15">_xll.EQNXTDZ($A$1,$B15,AF$1)</f>
        <v>8.5299999999999994</v>
      </c>
      <c r="AG15" s="116" cm="1">
        <f t="array" ref="AG15">_xll.EQNXTDZ($A$1,$B15,AG$1)</f>
        <v>7.41</v>
      </c>
      <c r="AH15" s="116" cm="1">
        <f t="array" ref="AH15">_xll.EQNXTDZ($A$1,$B15,AH$1)</f>
        <v>7.6</v>
      </c>
      <c r="AI15" s="116" cm="1">
        <f t="array" ref="AI15">_xll.EQNXTDZ($A$1,$B15,AI$1)</f>
        <v>8.35</v>
      </c>
      <c r="AJ15" s="116" cm="1">
        <f t="array" ref="AJ15">_xll.EQNXTDZ($A$1,$B15,AJ$1)</f>
        <v>7.55</v>
      </c>
      <c r="AK15" s="116" cm="1">
        <f t="array" ref="AK15">_xll.EQNXTDZ($A$1,$B15,AK$1)</f>
        <v>7.5</v>
      </c>
      <c r="AL15" s="116" cm="1">
        <f t="array" ref="AL15">_xll.EQNXTDZ($A$1,$B15,AL$1)</f>
        <v>5.62</v>
      </c>
      <c r="AM15" s="116" cm="1">
        <f t="array" ref="AM15">_xll.EQNXTDZ($A$1,$B15,AM$1)</f>
        <v>6.1</v>
      </c>
      <c r="AN15" s="116" cm="1">
        <f t="array" ref="AN15">_xll.EQNXTDZ($A$1,$B15,AN$1)</f>
        <v>6.57</v>
      </c>
      <c r="AO15" s="116" cm="1">
        <f t="array" ref="AO15">_xll.EQNXTDZ($A$1,$B15,AO$1)</f>
        <v>5.75</v>
      </c>
      <c r="AP15" s="116" cm="1">
        <f t="array" ref="AP15">_xll.EQNXTDZ($A$1,$B15,AP$1)</f>
        <v>6</v>
      </c>
      <c r="AQ15" s="116" cm="1">
        <f t="array" ref="AQ15">_xll.EQNXTDZ($A$1,$B15,AQ$1)</f>
        <v>6.17</v>
      </c>
      <c r="AR15" s="116" cm="1">
        <f t="array" ref="AR15">_xll.EQNXTDZ($A$1,$B15,AR$1)</f>
        <v>6.23</v>
      </c>
      <c r="AS15" s="116" cm="1">
        <f t="array" ref="AS15">_xll.EQNXTDZ($A$1,$B15,AS$1)</f>
        <v>6.74</v>
      </c>
      <c r="AT15" s="116" cm="1">
        <f t="array" ref="AT15">_xll.EQNXTDZ($A$1,$B15,AT$1)</f>
        <v>6.35</v>
      </c>
      <c r="AU15" s="116" cm="1">
        <f t="array" ref="AU15">_xll.EQNXTDZ($A$1,$B15,AU$1)</f>
        <v>5.73</v>
      </c>
      <c r="AV15" s="116" cm="1">
        <f t="array" ref="AV15">_xll.EQNXTDZ($A$1,$B15,AV$1)</f>
        <v>5.9</v>
      </c>
      <c r="AW15" s="116" cm="1">
        <f t="array" ref="AW15">_xll.EQNXTDZ($A$1,$B15,AW$1)</f>
        <v>6.48</v>
      </c>
      <c r="AX15" s="116" cm="1">
        <f t="array" ref="AX15">_xll.EQNXTDZ($A$1,$B15,AX$1)</f>
        <v>6.26</v>
      </c>
      <c r="AY15" s="116" cm="1">
        <f t="array" ref="AY15">_xll.EQNXTDZ($A$1,$B15,AY$1)</f>
        <v>6.15</v>
      </c>
      <c r="AZ15" s="116" cm="1">
        <f t="array" ref="AZ15">_xll.EQNXTDZ($A$1,$B15,AZ$1)</f>
        <v>6.66</v>
      </c>
      <c r="BA15" s="116" cm="1">
        <f t="array" ref="BA15">_xll.EQNXTDZ($A$1,$B15,BA$1)</f>
        <v>6.22</v>
      </c>
      <c r="BB15" s="116" cm="1">
        <f t="array" ref="BB15">_xll.EQNXTDZ($A$1,$B15,BB$1)</f>
        <v>5.42</v>
      </c>
      <c r="BC15" s="116" cm="1">
        <f t="array" ref="BC15">_xll.EQNXTDZ($A$1,$B15,BC$1)</f>
        <v>5.64</v>
      </c>
      <c r="BD15" s="116" cm="1">
        <f t="array" ref="BD15">_xll.EQNXTDZ($A$1,$B15,BD$1)</f>
        <v>5.85</v>
      </c>
      <c r="BE15" s="116" cm="1">
        <f t="array" ref="BE15">_xll.EQNXTDZ($A$1,$B15,BE$1)</f>
        <v>5.75</v>
      </c>
      <c r="BF15" s="116" cm="1">
        <f t="array" ref="BF15">_xll.EQNXTDZ($A$1,$B15,BF$1)</f>
        <v>5.81</v>
      </c>
      <c r="BG15" s="116" cm="1">
        <f t="array" ref="BG15">_xll.EQNXTDZ($A$1,$B15,BG$1)</f>
        <v>5.95</v>
      </c>
      <c r="BH15" s="116" cm="1">
        <f t="array" ref="BH15">_xll.EQNXTDZ($A$1,$B15,BH$1)</f>
        <v>7.16</v>
      </c>
      <c r="BI15" s="116" cm="1">
        <f t="array" ref="BI15">_xll.EQNXTDZ($A$1,$B15,BI$1)</f>
        <v>6.86</v>
      </c>
      <c r="BJ15" s="116" cm="1">
        <f t="array" ref="BJ15">_xll.EQNXTDZ($A$1,$B15,BJ$1)</f>
        <v>6.46</v>
      </c>
      <c r="BK15" s="116" cm="1">
        <f t="array" ref="BK15">_xll.EQNXTDZ($A$1,$B15,BK$1)</f>
        <v>5.94</v>
      </c>
      <c r="BL15" s="116" cm="1">
        <f t="array" ref="BL15">_xll.EQNXTDZ($A$1,$B15,BL$1)</f>
        <v>6.7</v>
      </c>
      <c r="BM15" s="116" cm="1">
        <f t="array" ref="BM15">_xll.EQNXTDZ($A$1,$B15,BM$1)</f>
        <v>6.23</v>
      </c>
      <c r="BN15" s="116" cm="1">
        <f t="array" ref="BN15">_xll.EQNXTDZ($A$1,$B15,BN$1)</f>
        <v>5.93</v>
      </c>
      <c r="BO15" s="116" cm="1">
        <f t="array" ref="BO15">_xll.EQNXTDZ($A$1,$B15,BO$1)</f>
        <v>3.75</v>
      </c>
      <c r="BP15" s="116" cm="1">
        <f t="array" ref="BP15">_xll.EQNXTDZ($A$1,$B15,BP$1)</f>
        <v>6.9</v>
      </c>
      <c r="BQ15" s="116" cm="1">
        <f t="array" ref="BQ15">_xll.EQNXTDZ($A$1,$B15,BQ$1)</f>
        <v>6.35</v>
      </c>
      <c r="BR15" s="116" cm="1">
        <f t="array" ref="BR15">_xll.EQNXTDZ($A$1,$B15,BR$1)</f>
        <v>6.66</v>
      </c>
      <c r="BS15" s="116" cm="1">
        <f t="array" ref="BS15">_xll.EQNXTDZ($A$1,$B15,BS$1)</f>
        <v>6.01</v>
      </c>
      <c r="BT15" s="116" cm="1">
        <f t="array" ref="BT15">_xll.EQNXTDZ($A$1,$B15,BT$1)</f>
        <v>5.4</v>
      </c>
      <c r="BU15" s="116" cm="1">
        <f t="array" ref="BU15">_xll.EQNXTDZ($A$1,$B15,BU$1)</f>
        <v>5.3</v>
      </c>
      <c r="BV15" s="116" cm="1">
        <f t="array" ref="BV15">_xll.EQNXTDZ($A$1,$B15,BV$1)</f>
        <v>4.75</v>
      </c>
      <c r="BW15" s="116" cm="1">
        <f t="array" ref="BW15">_xll.EQNXTDZ($A$1,$B15,BW$1)</f>
        <v>4.51</v>
      </c>
      <c r="BX15" s="116" cm="1">
        <f t="array" ref="BX15">_xll.EQNXTDZ($A$1,$B15,BX$1)</f>
        <v>3.91</v>
      </c>
      <c r="BY15" s="116" cm="1">
        <f t="array" ref="BY15">_xll.EQNXTDZ($A$1,$B15,BY$1)</f>
        <v>4.7</v>
      </c>
      <c r="BZ15" s="116" cm="1">
        <f t="array" ref="BZ15">_xll.EQNXTDZ($A$1,$B15,BZ$1)</f>
        <v>4.1500000000000004</v>
      </c>
      <c r="CA15" s="116" cm="1">
        <f t="array" ref="CA15">_xll.EQNXTDZ($A$1,$B15,CA$1)</f>
        <v>3.75</v>
      </c>
      <c r="CB15" s="116" cm="1">
        <f t="array" ref="CB15">_xll.EQNXTDZ($A$1,$B15,CB$1)</f>
        <v>3.96</v>
      </c>
      <c r="CC15" s="116" cm="1">
        <f t="array" ref="CC15">_xll.EQNXTDZ($A$1,$B15,CC$1)</f>
        <v>3.73</v>
      </c>
      <c r="CD15" s="116" cm="1">
        <f t="array" ref="CD15">_xll.EQNXTDZ($A$1,$B15,CD$1)</f>
        <v>3.6</v>
      </c>
      <c r="CE15" s="116" cm="1">
        <f t="array" ref="CE15">_xll.EQNXTDZ($A$1,$B15,CE$1)</f>
        <v>2.71</v>
      </c>
      <c r="CF15" s="116" cm="1">
        <f t="array" ref="CF15">_xll.EQNXTDZ($A$1,$B15,CF$1)</f>
        <v>3</v>
      </c>
      <c r="CG15" s="116" cm="1">
        <f t="array" ref="CG15">_xll.EQNXTDZ($A$1,$B15,CG$1)</f>
        <v>2.91</v>
      </c>
      <c r="CH15" s="116" cm="1">
        <f t="array" ref="CH15">_xll.EQNXTDZ($A$1,$B15,CH$1)</f>
        <v>2.5499999999999998</v>
      </c>
      <c r="CI15" s="116" cm="1">
        <f t="array" ref="CI15">_xll.EQNXTDZ($A$1,$B15,CI$1)</f>
        <v>3.22</v>
      </c>
      <c r="CJ15" s="116" cm="1">
        <f t="array" ref="CJ15">_xll.EQNXTDZ($A$1,$B15,CJ$1)</f>
        <v>2.85</v>
      </c>
      <c r="CK15" s="116" cm="1">
        <f t="array" ref="CK15">_xll.EQNXTDZ($A$1,$B15,CK$1)</f>
        <v>2.34</v>
      </c>
      <c r="CL15" s="116" cm="1">
        <f t="array" ref="CL15">_xll.EQNXTDZ($A$1,$B15,CL$1)</f>
        <v>2.35</v>
      </c>
      <c r="CM15" s="116" cm="1">
        <f t="array" ref="CM15">_xll.EQNXTDZ($A$1,$B15,CM$1)</f>
        <v>2.44</v>
      </c>
      <c r="CN15" s="116" cm="1">
        <f t="array" ref="CN15">_xll.EQNXTDZ($A$1,$B15,CN$1)</f>
        <v>2.59</v>
      </c>
      <c r="CO15" s="116" cm="1">
        <f t="array" ref="CO15">_xll.EQNXTDZ($A$1,$B15,CO$1)</f>
        <v>2.21</v>
      </c>
      <c r="CP15" s="116" cm="1">
        <f t="array" ref="CP15">_xll.EQNXTDZ($A$1,$B15,CP$1)</f>
        <v>2.21</v>
      </c>
      <c r="CQ15" s="116" cm="1">
        <f t="array" ref="CQ15">_xll.EQNXTDZ($A$1,$B15,CQ$1)</f>
        <v>2.2200000000000002</v>
      </c>
      <c r="CR15" s="116" cm="1">
        <f t="array" ref="CR15">_xll.EQNXTDZ($A$1,$B15,CR$1)</f>
        <v>1.8</v>
      </c>
      <c r="CS15" s="116" cm="1">
        <f t="array" ref="CS15">_xll.EQNXTDZ($A$1,$B15,CS$1)</f>
        <v>1.8</v>
      </c>
      <c r="CT15" s="116" cm="1">
        <f t="array" ref="CT15">_xll.EQNXTDZ($A$1,$B15,CT$1)</f>
        <v>2.0699999999999998</v>
      </c>
      <c r="CU15" s="116" cm="1">
        <f t="array" ref="CU15">_xll.EQNXTDZ($A$1,$B15,CU$1)</f>
        <v>2.69</v>
      </c>
      <c r="CV15" s="116" cm="1">
        <f t="array" ref="CV15">_xll.EQNXTDZ($A$1,$B15,CV$1)</f>
        <v>3.3</v>
      </c>
      <c r="CW15" s="116" cm="1">
        <f t="array" ref="CW15">_xll.EQNXTDZ($A$1,$B15,CW$1)</f>
        <v>3.29</v>
      </c>
      <c r="CX15" s="116" cm="1">
        <f t="array" ref="CX15">_xll.EQNXTDZ($A$1,$B15,CX$1)</f>
        <v>2.74</v>
      </c>
      <c r="CY15" s="116" cm="1">
        <f t="array" ref="CY15">_xll.EQNXTDZ($A$1,$B15,CY$1)</f>
        <v>2.75</v>
      </c>
      <c r="CZ15" s="116" cm="1">
        <f t="array" ref="CZ15">_xll.EQNXTDZ($A$1,$B15,CZ$1)</f>
        <v>5.75</v>
      </c>
      <c r="DA15" s="116" cm="1">
        <f t="array" ref="DA15">_xll.EQNXTDZ($A$1,$B15,DA$1)</f>
        <v>6.7</v>
      </c>
      <c r="DB15" s="116" cm="1">
        <f t="array" ref="DB15">_xll.EQNXTDZ($A$1,$B15,DB$1)</f>
        <v>7.55</v>
      </c>
      <c r="DC15" s="116" cm="1">
        <f t="array" ref="DC15">_xll.EQNXTDZ($A$1,$B15,DC$1)</f>
        <v>14.4</v>
      </c>
      <c r="DD15" s="116" cm="1">
        <f t="array" ref="DD15">_xll.EQNXTDZ($A$1,$B15,DD$1)</f>
        <v>12.65</v>
      </c>
      <c r="DE15" s="116" cm="1">
        <f t="array" ref="DE15">_xll.EQNXTDZ($A$1,$B15,DE$1)</f>
        <v>10.55</v>
      </c>
      <c r="DF15" s="116" cm="1">
        <f t="array" ref="DF15">_xll.EQNXTDZ($A$1,$B15,DF$1)</f>
        <v>12.15</v>
      </c>
      <c r="DG15" s="116" cm="1">
        <f t="array" ref="DG15">_xll.EQNXTDZ($A$1,$B15,DG$1)</f>
        <v>16.5</v>
      </c>
      <c r="DH15" s="116" cm="1">
        <f t="array" ref="DH15">_xll.EQNXTDZ($A$1,$B15,DH$1)</f>
        <v>32.85</v>
      </c>
      <c r="DI15" s="116" cm="1">
        <f t="array" ref="DI15">_xll.EQNXTDZ($A$1,$B15,DI$1)</f>
        <v>33.1</v>
      </c>
      <c r="DJ15" s="116" cm="1">
        <f t="array" ref="DJ15">_xll.EQNXTDZ($A$1,$B15,DJ$1)</f>
        <v>33.299999999999997</v>
      </c>
      <c r="DK15" s="116" cm="1">
        <f t="array" ref="DK15">_xll.EQNXTDZ($A$1,$B15,DK$1)</f>
        <v>35</v>
      </c>
      <c r="DL15" s="116" cm="1">
        <f t="array" ref="DL15">_xll.EQNXTDZ($A$1,$B15,DL$1)</f>
        <v>54</v>
      </c>
      <c r="DM15" s="116" cm="1">
        <f t="array" ref="DM15">_xll.EQNXTDZ($A$1,$B15,DM$1)</f>
        <v>117.45</v>
      </c>
      <c r="DN15" s="116" cm="1">
        <f t="array" ref="DN15">_xll.EQNXTDZ($A$1,$B15,DN$1)</f>
        <v>149.6</v>
      </c>
      <c r="DO15" s="116" cm="1">
        <f t="array" ref="DO15">_xll.EQNXTDZ($A$1,$B15,DO$1)</f>
        <v>105.9</v>
      </c>
      <c r="DP15" s="116" cm="1">
        <f t="array" ref="DP15">_xll.EQNXTDZ($A$1,$B15,DP$1)</f>
        <v>89.15</v>
      </c>
      <c r="DQ15" s="116" cm="1">
        <f t="array" ref="DQ15">_xll.EQNXTDZ($A$1,$B15,DQ$1)</f>
        <v>139.55000000000001</v>
      </c>
      <c r="DR15" s="116" cm="1">
        <f t="array" ref="DR15">_xll.EQNXTDZ($A$1,$B15,DR$1)</f>
        <v>111.5</v>
      </c>
      <c r="DS15" s="116" cm="1">
        <f t="array" ref="DS15">_xll.EQNXTDZ($A$1,$B15,DS$1)</f>
        <v>102.95</v>
      </c>
      <c r="DT15" s="116" cm="1">
        <f t="array" ref="DT15">_xll.EQNXTDZ($A$1,$B15,DT$1)</f>
        <v>105</v>
      </c>
      <c r="DU15" s="116" cm="1">
        <f t="array" ref="DU15">_xll.EQNXTDZ($A$1,$B15,DU$1)</f>
        <v>88.4</v>
      </c>
      <c r="DV15" s="116" cm="1">
        <f t="array" ref="DV15">_xll.EQNXTDZ($A$1,$B15,DV$1)</f>
        <v>100</v>
      </c>
      <c r="DW15" s="116" cm="1">
        <f t="array" ref="DW15">_xll.EQNXTDZ($A$1,$B15,DW$1)</f>
        <v>98.55</v>
      </c>
      <c r="DX15" s="116" cm="1">
        <f t="array" ref="DX15">_xll.EQNXTDZ($A$1,$B15,DX$1)</f>
        <v>97</v>
      </c>
      <c r="DY15" s="116" cm="1">
        <f t="array" ref="DY15">_xll.EQNXTDZ($A$1,$B15,DY$1)</f>
        <v>78.8</v>
      </c>
      <c r="DZ15" s="116" cm="1">
        <f t="array" ref="DZ15">_xll.EQNXTDZ($A$1,$B15,DZ$1)</f>
        <v>73.5</v>
      </c>
      <c r="EA15" s="116" cm="1">
        <f t="array" ref="EA15">_xll.EQNXTDZ($A$1,$B15,EA$1)</f>
        <v>52.55</v>
      </c>
      <c r="EB15" s="116" cm="1">
        <f t="array" ref="EB15">_xll.EQNXTDZ($A$1,$B15,EB$1)</f>
        <v>49.8</v>
      </c>
      <c r="EC15" s="116" cm="1">
        <f t="array" ref="EC15">_xll.EQNXTDZ($A$1,$B15,EC$1)</f>
        <v>53.54</v>
      </c>
      <c r="ED15" s="116" cm="1">
        <f t="array" ref="ED15">_xll.EQNXTDZ($A$1,$B15,ED$1)</f>
        <v>60.35</v>
      </c>
      <c r="EE15" s="116" cm="1">
        <f t="array" ref="EE15">_xll.EQNXTDZ($A$1,$B15,EE$1)</f>
        <v>61.15</v>
      </c>
      <c r="EF15" s="116" cm="1">
        <f t="array" ref="EF15">_xll.EQNXTDZ($A$1,$B15,EF$1)</f>
        <v>70.7</v>
      </c>
      <c r="EG15" s="116" cm="1">
        <f t="array" ref="EG15">_xll.EQNXTDZ($A$1,$B15,EG$1)</f>
        <v>75.39</v>
      </c>
      <c r="EH15" s="116" cm="1">
        <f t="array" ref="EH15">_xll.EQNXTDZ($A$1,$B15,EH$1)</f>
        <v>87.12</v>
      </c>
      <c r="EI15" s="116" cm="1">
        <f t="array" ref="EI15">_xll.EQNXTDZ($A$1,$B15,EI$1)</f>
        <v>83.5</v>
      </c>
      <c r="EJ15" s="116" cm="1">
        <f t="array" ref="EJ15">_xll.EQNXTDZ($A$1,$B15,EJ$1)</f>
        <v>85.5</v>
      </c>
      <c r="EK15" s="116" cm="1">
        <f t="array" ref="EK15">_xll.EQNXTDZ($A$1,$B15,EK$1)</f>
        <v>87.07</v>
      </c>
      <c r="EL15" s="116" cm="1">
        <f t="array" ref="EL15">_xll.EQNXTDZ($A$1,$B15,EL$1)</f>
        <v>85.71</v>
      </c>
      <c r="EM15" s="116" cm="1">
        <f t="array" ref="EM15">_xll.EQNXTDZ($A$1,$B15,EM$1)</f>
        <v>84.55</v>
      </c>
      <c r="EN15" s="116" cm="1">
        <f t="array" ref="EN15">_xll.EQNXTDZ($A$1,$B15,EN$1)</f>
        <v>73.349999999999994</v>
      </c>
      <c r="EO15" s="116" cm="1">
        <f t="array" ref="EO15">_xll.EQNXTDZ($A$1,$B15,EO$1)</f>
        <v>74.5</v>
      </c>
      <c r="EP15" s="116" cm="1">
        <f t="array" ref="EP15">_xll.EQNXTDZ($A$1,$B15,EP$1)</f>
        <v>73.22</v>
      </c>
      <c r="EQ15" s="116" cm="1">
        <f t="array" ref="EQ15">_xll.EQNXTDZ($A$1,$B15,EQ$1)</f>
        <v>65.290000000000006</v>
      </c>
      <c r="ER15" s="116" cm="1">
        <f t="array" ref="ER15">_xll.EQNXTDZ($A$1,$B15,ER$1)</f>
        <v>74.11</v>
      </c>
      <c r="ES15" s="116" cm="1">
        <f t="array" ref="ES15">_xll.EQNXTDZ($A$1,$B15,ES$1)</f>
        <v>87.14</v>
      </c>
      <c r="ET15" s="116" cm="1">
        <f t="array" ref="ET15">_xll.EQNXTDZ($A$1,$B15,ET$1)</f>
        <v>83.18</v>
      </c>
      <c r="EU15" s="116" cm="1">
        <f t="array" ref="EU15">_xll.EQNXTDZ($A$1,$B15,EU$1)</f>
        <v>68.290000000000006</v>
      </c>
      <c r="EV15" s="116" cm="1">
        <f t="array" ref="EV15">_xll.EQNXTDZ($A$1,$B15,EV$1)</f>
        <v>65.91</v>
      </c>
      <c r="EW15" s="116" cm="1">
        <f t="array" ref="EW15">_xll.EQNXTDZ($A$1,$B15,EW$1)</f>
        <v>73.89</v>
      </c>
      <c r="EX15" s="116" cm="1">
        <f t="array" ref="EX15">_xll.EQNXTDZ($A$1,$B15,EX$1)</f>
        <v>65.61</v>
      </c>
      <c r="EY15" s="116" cm="1">
        <f t="array" ref="EY15">_xll.EQNXTDZ($A$1,$B15,EY$1)</f>
        <v>59.02</v>
      </c>
      <c r="EZ15" s="116" cm="1">
        <f t="array" ref="EZ15">_xll.EQNXTDZ($A$1,$B15,EZ$1)</f>
        <v>54.01</v>
      </c>
      <c r="FA15" s="116" cm="1">
        <f t="array" ref="FA15">_xll.EQNXTDZ($A$1,$B15,FA$1)</f>
        <v>50.01</v>
      </c>
      <c r="FB15" s="116" cm="1">
        <f t="array" ref="FB15">_xll.EQNXTDZ($A$1,$B15,FB$1)</f>
        <v>51.53</v>
      </c>
      <c r="FC15" s="116" cm="1">
        <f t="array" ref="FC15">_xll.EQNXTDZ($A$1,$B15,FC$1)</f>
        <v>61.51</v>
      </c>
      <c r="FD15" s="116" cm="1">
        <f t="array" ref="FD15">_xll.EQNXTDZ($A$1,$B15,FD$1)</f>
        <v>58.15</v>
      </c>
      <c r="FE15" s="116" cm="1">
        <f t="array" ref="FE15">_xll.EQNXTDZ($A$1,$B15,FE$1)</f>
        <v>55.11</v>
      </c>
      <c r="FF15" s="116" cm="1">
        <f t="array" ref="FF15">_xll.EQNXTDZ($A$1,$B15,FF$1)</f>
        <v>54.81</v>
      </c>
      <c r="FG15" s="116" cm="1">
        <f t="array" ref="FG15">_xll.EQNXTDZ($A$1,$B15,FG$1)</f>
        <v>54.25</v>
      </c>
      <c r="FH15" s="116" cm="1">
        <f t="array" ref="FH15">_xll.EQNXTDZ($A$1,$B15,FH$1)</f>
        <v>50.16</v>
      </c>
      <c r="FI15" s="116" cm="1">
        <f t="array" ref="FI15">_xll.EQNXTDZ($A$1,$B15,FI$1)</f>
        <v>44.6</v>
      </c>
      <c r="FJ15" s="116" cm="1">
        <f t="array" ref="FJ15">_xll.EQNXTDZ($A$1,$B15,FJ$1)</f>
        <v>41.09</v>
      </c>
      <c r="FK15" s="116" cm="1">
        <f t="array" ref="FK15">_xll.EQNXTDZ($A$1,$B15,FK$1)</f>
        <v>41.11</v>
      </c>
      <c r="FL15" s="116" cm="1">
        <f t="array" ref="FL15">_xll.EQNXTDZ($A$1,$B15,FL$1)</f>
        <v>30.12</v>
      </c>
      <c r="FM15" s="116" cm="1">
        <f t="array" ref="FM15">_xll.EQNXTDZ($A$1,$B15,FM$1)</f>
        <v>32.17</v>
      </c>
      <c r="FN15" s="116" cm="1">
        <f t="array" ref="FN15">_xll.EQNXTDZ($A$1,$B15,FN$1)</f>
        <v>40.840000000000003</v>
      </c>
      <c r="FO15" s="116" cm="1">
        <f t="array" ref="FO15">_xll.EQNXTDZ($A$1,$B15,FO$1)</f>
        <v>41.52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10.194174757281599</v>
      </c>
      <c r="HQ15" s="116">
        <f>+MIN(G15:I15)</f>
        <v>10.0485436893204</v>
      </c>
      <c r="HR15" s="116">
        <f>+MIN(J15:L15)</f>
        <v>7.1844660194174796</v>
      </c>
      <c r="HS15" s="116">
        <f>+MIN(M15:O15)</f>
        <v>4.8349514563106801</v>
      </c>
      <c r="HT15" s="116">
        <f>+MIN(P15:R15)</f>
        <v>5.41</v>
      </c>
      <c r="HU15" s="116">
        <f>+MIN(S15:U15)</f>
        <v>6.5</v>
      </c>
      <c r="HV15" s="116">
        <f>+MIN(V15:X15)</f>
        <v>6.8</v>
      </c>
      <c r="HW15" s="116">
        <f>+MIN(Y15:AA15)</f>
        <v>7.01</v>
      </c>
      <c r="HX15" s="116">
        <f>+MIN(AB15:AD15)</f>
        <v>9.64</v>
      </c>
      <c r="HY15" s="116">
        <f>+MIN(AE15:AG15)</f>
        <v>7.41</v>
      </c>
      <c r="HZ15" s="116">
        <f>+MIN(AH15:AJ15)</f>
        <v>7.55</v>
      </c>
      <c r="IA15" s="116">
        <f>+MIN(AK15:AM15)</f>
        <v>5.62</v>
      </c>
      <c r="IB15" s="116">
        <f>+MIN(AN15:AP15)</f>
        <v>5.75</v>
      </c>
      <c r="IC15" s="116">
        <f>+MIN(AQ15:AS15)</f>
        <v>6.17</v>
      </c>
      <c r="ID15" s="116">
        <f>+MIN(AT15:AV15)</f>
        <v>5.73</v>
      </c>
      <c r="IE15" s="116">
        <f>+MIN(AW15:AY15)</f>
        <v>6.15</v>
      </c>
      <c r="IF15" s="116">
        <f>+MIN(AZ15:BB15)</f>
        <v>5.42</v>
      </c>
      <c r="IG15" s="116">
        <f>+MIN(BC15:BE15)</f>
        <v>5.64</v>
      </c>
      <c r="IH15" s="116">
        <f>+MIN(BF15:BH15)</f>
        <v>5.81</v>
      </c>
      <c r="II15" s="116">
        <f>+MIN(BI15:BK15)</f>
        <v>5.94</v>
      </c>
      <c r="IJ15" s="116">
        <f>+MIN(BL15:BN15)</f>
        <v>5.93</v>
      </c>
      <c r="IK15" s="116">
        <f>+MIN(BO15:BQ15)</f>
        <v>3.75</v>
      </c>
      <c r="IL15" s="116">
        <f>+MIN(BR15:BT15)</f>
        <v>5.4</v>
      </c>
      <c r="IM15" s="116">
        <f>+MIN(BU15:BW15)</f>
        <v>4.51</v>
      </c>
      <c r="IN15" s="116">
        <f>+MIN(BX15:BZ15)</f>
        <v>3.91</v>
      </c>
      <c r="IO15" s="116">
        <f>+MIN(CA15:CC15)</f>
        <v>3.73</v>
      </c>
      <c r="IP15" s="116">
        <f>+MIN(CD15:CF15)</f>
        <v>2.71</v>
      </c>
      <c r="IQ15" s="116">
        <f>+MIN(CG15:CI15)</f>
        <v>2.5499999999999998</v>
      </c>
      <c r="IR15" s="116">
        <f>+MIN(CJ15:CL15)</f>
        <v>2.34</v>
      </c>
      <c r="IS15" s="116">
        <f>+MIN(CM15:CO15)</f>
        <v>2.21</v>
      </c>
      <c r="IT15" s="116">
        <f>+MIN(CP15:CR15)</f>
        <v>1.8</v>
      </c>
      <c r="IU15" s="116">
        <f>+MIN(CS15:CU15)</f>
        <v>1.8</v>
      </c>
      <c r="IV15" s="116">
        <f>+MIN(CV15:CX15)</f>
        <v>2.74</v>
      </c>
      <c r="IW15" s="116">
        <f>+MIN(CY15:DA15)</f>
        <v>2.75</v>
      </c>
      <c r="IX15" s="116">
        <f>+MIN(DB15:DD15)</f>
        <v>7.55</v>
      </c>
      <c r="IY15" s="116">
        <f>+MIN(DE15:DG15)</f>
        <v>10.55</v>
      </c>
      <c r="IZ15" s="116">
        <f>+MIN(DH15:DJ15)</f>
        <v>32.85</v>
      </c>
      <c r="JA15" s="116">
        <f>+MIN(DK15:DM15)</f>
        <v>35</v>
      </c>
      <c r="JB15" s="116">
        <f>+MIN(DN15:DP15)</f>
        <v>89.15</v>
      </c>
      <c r="JC15" s="116">
        <f>+MIN(DQ15:DS15)</f>
        <v>102.95</v>
      </c>
      <c r="JD15" s="116">
        <f>+MIN(DT15:DV15)</f>
        <v>88.4</v>
      </c>
      <c r="JE15" s="116">
        <f>+MIN(DW15:DY15)</f>
        <v>78.8</v>
      </c>
      <c r="JF15" s="116">
        <f>+MIN(DZ15:EB15)</f>
        <v>49.8</v>
      </c>
      <c r="JG15" s="116">
        <f>+MIN(EC15:EE15)</f>
        <v>53.54</v>
      </c>
      <c r="JH15" s="116">
        <f>+MIN(EF15:EH15)</f>
        <v>70.7</v>
      </c>
      <c r="JI15" s="116">
        <f>+MIN(EI15:EK15)</f>
        <v>83.5</v>
      </c>
      <c r="JJ15" s="116">
        <f>+MIN(EL15:EN15)</f>
        <v>73.349999999999994</v>
      </c>
      <c r="JK15" s="116">
        <f>MIN(EO15:EQ15)</f>
        <v>65.290000000000006</v>
      </c>
      <c r="JL15" s="116">
        <f>MIN(ER15:ET15)</f>
        <v>74.11</v>
      </c>
      <c r="JM15" s="116">
        <f>MIN(EU15:EW15)</f>
        <v>65.91</v>
      </c>
      <c r="JN15" s="116">
        <f>MIN(EX15:EZ15)</f>
        <v>54.01</v>
      </c>
      <c r="JO15" s="116">
        <f>MIN(FA15:FC15)</f>
        <v>50.01</v>
      </c>
      <c r="JP15" s="116">
        <f>MIN(FD15:FF15)</f>
        <v>54.81</v>
      </c>
      <c r="JQ15" s="116">
        <f>MIN(FG15:FI15)</f>
        <v>44.6</v>
      </c>
      <c r="JR15" s="116">
        <f>MIN(FJ15:FL15)</f>
        <v>30.12</v>
      </c>
      <c r="JS15" s="116">
        <f>MIN(FM15:FO15)</f>
        <v>32.17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13.699029126213601</v>
      </c>
      <c r="D16" s="116" cm="1">
        <f t="array" ref="D16">_xll.EQNXTDZ($A$1,$B16,D$1)</f>
        <v>12.4757281553398</v>
      </c>
      <c r="E16" s="116" cm="1">
        <f t="array" ref="E16">_xll.EQNXTDZ($A$1,$B16,E$1)</f>
        <v>10.3106796116505</v>
      </c>
      <c r="F16" s="116" cm="1">
        <f t="array" ref="F16">_xll.EQNXTDZ($A$1,$B16,F$1)</f>
        <v>11.4757281553398</v>
      </c>
      <c r="G16" s="116" cm="1">
        <f t="array" ref="G16">_xll.EQNXTDZ($A$1,$B16,G$1)</f>
        <v>10.5339805825243</v>
      </c>
      <c r="H16" s="116" cm="1">
        <f t="array" ref="H16">_xll.EQNXTDZ($A$1,$B16,H$1)</f>
        <v>12.0873786407767</v>
      </c>
      <c r="I16" s="116" cm="1">
        <f t="array" ref="I16">_xll.EQNXTDZ($A$1,$B16,I$1)</f>
        <v>11.631067961165</v>
      </c>
      <c r="J16" s="116" cm="1">
        <f t="array" ref="J16">_xll.EQNXTDZ($A$1,$B16,J$1)</f>
        <v>11.339805825242699</v>
      </c>
      <c r="K16" s="116" cm="1">
        <f t="array" ref="K16">_xll.EQNXTDZ($A$1,$B16,K$1)</f>
        <v>9.4563106796116507</v>
      </c>
      <c r="L16" s="116" cm="1">
        <f t="array" ref="L16">_xll.EQNXTDZ($A$1,$B16,L$1)</f>
        <v>7.6699029126213603</v>
      </c>
      <c r="M16" s="116" cm="1">
        <f t="array" ref="M16">_xll.EQNXTDZ($A$1,$B16,M$1)</f>
        <v>8.2621359223300992</v>
      </c>
      <c r="N16" s="116" cm="1">
        <f t="array" ref="N16">_xll.EQNXTDZ($A$1,$B16,N$1)</f>
        <v>7.29126213592233</v>
      </c>
      <c r="O16" s="116" cm="1">
        <f t="array" ref="O16">_xll.EQNXTDZ($A$1,$B16,O$1)</f>
        <v>6.13592233009709</v>
      </c>
      <c r="P16" s="116" cm="1">
        <f t="array" ref="P16">_xll.EQNXTDZ($A$1,$B16,P$1)</f>
        <v>6.4174757281553401</v>
      </c>
      <c r="Q16" s="116" cm="1">
        <f t="array" ref="Q16">_xll.EQNXTDZ($A$1,$B16,Q$1)</f>
        <v>5.86</v>
      </c>
      <c r="R16" s="116" cm="1">
        <f t="array" ref="R16">_xll.EQNXTDZ($A$1,$B16,R$1)</f>
        <v>6.84</v>
      </c>
      <c r="S16" s="116" cm="1">
        <f t="array" ref="S16">_xll.EQNXTDZ($A$1,$B16,S$1)</f>
        <v>7.02</v>
      </c>
      <c r="T16" s="116" cm="1">
        <f t="array" ref="T16">_xll.EQNXTDZ($A$1,$B16,T$1)</f>
        <v>6.81</v>
      </c>
      <c r="U16" s="116" cm="1">
        <f t="array" ref="U16">_xll.EQNXTDZ($A$1,$B16,U$1)</f>
        <v>7.41</v>
      </c>
      <c r="V16" s="116" cm="1">
        <f t="array" ref="V16">_xll.EQNXTDZ($A$1,$B16,V$1)</f>
        <v>7.23</v>
      </c>
      <c r="W16" s="116" cm="1">
        <f t="array" ref="W16">_xll.EQNXTDZ($A$1,$B16,W$1)</f>
        <v>7.4</v>
      </c>
      <c r="X16" s="116" cm="1">
        <f t="array" ref="X16">_xll.EQNXTDZ($A$1,$B16,X$1)</f>
        <v>7.41</v>
      </c>
      <c r="Y16" s="116" cm="1">
        <f t="array" ref="Y16">_xll.EQNXTDZ($A$1,$B16,Y$1)</f>
        <v>8.93</v>
      </c>
      <c r="Z16" s="116" cm="1">
        <f t="array" ref="Z16">_xll.EQNXTDZ($A$1,$B16,Z$1)</f>
        <v>11.04</v>
      </c>
      <c r="AA16" s="116" cm="1">
        <f t="array" ref="AA16">_xll.EQNXTDZ($A$1,$B16,AA$1)</f>
        <v>11.89</v>
      </c>
      <c r="AB16" s="116" cm="1">
        <f t="array" ref="AB16">_xll.EQNXTDZ($A$1,$B16,AB$1)</f>
        <v>11.7</v>
      </c>
      <c r="AC16" s="116" cm="1">
        <f t="array" ref="AC16">_xll.EQNXTDZ($A$1,$B16,AC$1)</f>
        <v>11.06</v>
      </c>
      <c r="AD16" s="116" cm="1">
        <f t="array" ref="AD16">_xll.EQNXTDZ($A$1,$B16,AD$1)</f>
        <v>10.050000000000001</v>
      </c>
      <c r="AE16" s="116" cm="1">
        <f t="array" ref="AE16">_xll.EQNXTDZ($A$1,$B16,AE$1)</f>
        <v>9.2200000000000006</v>
      </c>
      <c r="AF16" s="116" cm="1">
        <f t="array" ref="AF16">_xll.EQNXTDZ($A$1,$B16,AF$1)</f>
        <v>8.64</v>
      </c>
      <c r="AG16" s="116" cm="1">
        <f t="array" ref="AG16">_xll.EQNXTDZ($A$1,$B16,AG$1)</f>
        <v>7.6</v>
      </c>
      <c r="AH16" s="116" cm="1">
        <f t="array" ref="AH16">_xll.EQNXTDZ($A$1,$B16,AH$1)</f>
        <v>9.17</v>
      </c>
      <c r="AI16" s="116" cm="1">
        <f t="array" ref="AI16">_xll.EQNXTDZ($A$1,$B16,AI$1)</f>
        <v>8.67</v>
      </c>
      <c r="AJ16" s="116" cm="1">
        <f t="array" ref="AJ16">_xll.EQNXTDZ($A$1,$B16,AJ$1)</f>
        <v>7.9</v>
      </c>
      <c r="AK16" s="116" cm="1">
        <f t="array" ref="AK16">_xll.EQNXTDZ($A$1,$B16,AK$1)</f>
        <v>7.58</v>
      </c>
      <c r="AL16" s="116" cm="1">
        <f t="array" ref="AL16">_xll.EQNXTDZ($A$1,$B16,AL$1)</f>
        <v>7.07</v>
      </c>
      <c r="AM16" s="116" cm="1">
        <f t="array" ref="AM16">_xll.EQNXTDZ($A$1,$B16,AM$1)</f>
        <v>6.63</v>
      </c>
      <c r="AN16" s="116" cm="1">
        <f t="array" ref="AN16">_xll.EQNXTDZ($A$1,$B16,AN$1)</f>
        <v>7.54</v>
      </c>
      <c r="AO16" s="116" cm="1">
        <f t="array" ref="AO16">_xll.EQNXTDZ($A$1,$B16,AO$1)</f>
        <v>6.5</v>
      </c>
      <c r="AP16" s="116" cm="1">
        <f t="array" ref="AP16">_xll.EQNXTDZ($A$1,$B16,AP$1)</f>
        <v>6.19</v>
      </c>
      <c r="AQ16" s="116" cm="1">
        <f t="array" ref="AQ16">_xll.EQNXTDZ($A$1,$B16,AQ$1)</f>
        <v>7.09</v>
      </c>
      <c r="AR16" s="116" cm="1">
        <f t="array" ref="AR16">_xll.EQNXTDZ($A$1,$B16,AR$1)</f>
        <v>6.74</v>
      </c>
      <c r="AS16" s="116" cm="1">
        <f t="array" ref="AS16">_xll.EQNXTDZ($A$1,$B16,AS$1)</f>
        <v>8.1999999999999993</v>
      </c>
      <c r="AT16" s="116" cm="1">
        <f t="array" ref="AT16">_xll.EQNXTDZ($A$1,$B16,AT$1)</f>
        <v>6.68</v>
      </c>
      <c r="AU16" s="116" cm="1">
        <f t="array" ref="AU16">_xll.EQNXTDZ($A$1,$B16,AU$1)</f>
        <v>5.91</v>
      </c>
      <c r="AV16" s="116" cm="1">
        <f t="array" ref="AV16">_xll.EQNXTDZ($A$1,$B16,AV$1)</f>
        <v>6.63</v>
      </c>
      <c r="AW16" s="116" cm="1">
        <f t="array" ref="AW16">_xll.EQNXTDZ($A$1,$B16,AW$1)</f>
        <v>6.83</v>
      </c>
      <c r="AX16" s="116" cm="1">
        <f t="array" ref="AX16">_xll.EQNXTDZ($A$1,$B16,AX$1)</f>
        <v>6.41</v>
      </c>
      <c r="AY16" s="116" cm="1">
        <f t="array" ref="AY16">_xll.EQNXTDZ($A$1,$B16,AY$1)</f>
        <v>6.93</v>
      </c>
      <c r="AZ16" s="116" cm="1">
        <f t="array" ref="AZ16">_xll.EQNXTDZ($A$1,$B16,AZ$1)</f>
        <v>6.82</v>
      </c>
      <c r="BA16" s="116" cm="1">
        <f t="array" ref="BA16">_xll.EQNXTDZ($A$1,$B16,BA$1)</f>
        <v>6.37</v>
      </c>
      <c r="BB16" s="116" cm="1">
        <f t="array" ref="BB16">_xll.EQNXTDZ($A$1,$B16,BB$1)</f>
        <v>5.64</v>
      </c>
      <c r="BC16" s="116" cm="1">
        <f t="array" ref="BC16">_xll.EQNXTDZ($A$1,$B16,BC$1)</f>
        <v>7.17</v>
      </c>
      <c r="BD16" s="116" cm="1">
        <f t="array" ref="BD16">_xll.EQNXTDZ($A$1,$B16,BD$1)</f>
        <v>6.31</v>
      </c>
      <c r="BE16" s="116" cm="1">
        <f t="array" ref="BE16">_xll.EQNXTDZ($A$1,$B16,BE$1)</f>
        <v>6.02</v>
      </c>
      <c r="BF16" s="116" cm="1">
        <f t="array" ref="BF16">_xll.EQNXTDZ($A$1,$B16,BF$1)</f>
        <v>6.06</v>
      </c>
      <c r="BG16" s="116" cm="1">
        <f t="array" ref="BG16">_xll.EQNXTDZ($A$1,$B16,BG$1)</f>
        <v>8.02</v>
      </c>
      <c r="BH16" s="116" cm="1">
        <f t="array" ref="BH16">_xll.EQNXTDZ($A$1,$B16,BH$1)</f>
        <v>7.2</v>
      </c>
      <c r="BI16" s="116" cm="1">
        <f t="array" ref="BI16">_xll.EQNXTDZ($A$1,$B16,BI$1)</f>
        <v>8.3000000000000007</v>
      </c>
      <c r="BJ16" s="116" cm="1">
        <f t="array" ref="BJ16">_xll.EQNXTDZ($A$1,$B16,BJ$1)</f>
        <v>6.52</v>
      </c>
      <c r="BK16" s="116" cm="1">
        <f t="array" ref="BK16">_xll.EQNXTDZ($A$1,$B16,BK$1)</f>
        <v>6.85</v>
      </c>
      <c r="BL16" s="116" cm="1">
        <f t="array" ref="BL16">_xll.EQNXTDZ($A$1,$B16,BL$1)</f>
        <v>7.86</v>
      </c>
      <c r="BM16" s="116" cm="1">
        <f t="array" ref="BM16">_xll.EQNXTDZ($A$1,$B16,BM$1)</f>
        <v>6.67</v>
      </c>
      <c r="BN16" s="116" cm="1">
        <f t="array" ref="BN16">_xll.EQNXTDZ($A$1,$B16,BN$1)</f>
        <v>5.96</v>
      </c>
      <c r="BO16" s="116" cm="1">
        <f t="array" ref="BO16">_xll.EQNXTDZ($A$1,$B16,BO$1)</f>
        <v>8.6300000000000008</v>
      </c>
      <c r="BP16" s="116" cm="1">
        <f t="array" ref="BP16">_xll.EQNXTDZ($A$1,$B16,BP$1)</f>
        <v>7.43</v>
      </c>
      <c r="BQ16" s="116" cm="1">
        <f t="array" ref="BQ16">_xll.EQNXTDZ($A$1,$B16,BQ$1)</f>
        <v>7.06</v>
      </c>
      <c r="BR16" s="116" cm="1">
        <f t="array" ref="BR16">_xll.EQNXTDZ($A$1,$B16,BR$1)</f>
        <v>6.93</v>
      </c>
      <c r="BS16" s="116" cm="1">
        <f t="array" ref="BS16">_xll.EQNXTDZ($A$1,$B16,BS$1)</f>
        <v>6.21</v>
      </c>
      <c r="BT16" s="116" cm="1">
        <f t="array" ref="BT16">_xll.EQNXTDZ($A$1,$B16,BT$1)</f>
        <v>5.51</v>
      </c>
      <c r="BU16" s="116" cm="1">
        <f t="array" ref="BU16">_xll.EQNXTDZ($A$1,$B16,BU$1)</f>
        <v>5.66</v>
      </c>
      <c r="BV16" s="116" cm="1">
        <f t="array" ref="BV16">_xll.EQNXTDZ($A$1,$B16,BV$1)</f>
        <v>5.28</v>
      </c>
      <c r="BW16" s="116" cm="1">
        <f t="array" ref="BW16">_xll.EQNXTDZ($A$1,$B16,BW$1)</f>
        <v>4.57</v>
      </c>
      <c r="BX16" s="116" cm="1">
        <f t="array" ref="BX16">_xll.EQNXTDZ($A$1,$B16,BX$1)</f>
        <v>4.96</v>
      </c>
      <c r="BY16" s="116" cm="1">
        <f t="array" ref="BY16">_xll.EQNXTDZ($A$1,$B16,BY$1)</f>
        <v>5.08</v>
      </c>
      <c r="BZ16" s="116" cm="1">
        <f t="array" ref="BZ16">_xll.EQNXTDZ($A$1,$B16,BZ$1)</f>
        <v>4.34</v>
      </c>
      <c r="CA16" s="116" cm="1">
        <f t="array" ref="CA16">_xll.EQNXTDZ($A$1,$B16,CA$1)</f>
        <v>4.03</v>
      </c>
      <c r="CB16" s="116" cm="1">
        <f t="array" ref="CB16">_xll.EQNXTDZ($A$1,$B16,CB$1)</f>
        <v>4.0599999999999996</v>
      </c>
      <c r="CC16" s="116" cm="1">
        <f t="array" ref="CC16">_xll.EQNXTDZ($A$1,$B16,CC$1)</f>
        <v>4</v>
      </c>
      <c r="CD16" s="116" cm="1">
        <f t="array" ref="CD16">_xll.EQNXTDZ($A$1,$B16,CD$1)</f>
        <v>3.66</v>
      </c>
      <c r="CE16" s="116" cm="1">
        <f t="array" ref="CE16">_xll.EQNXTDZ($A$1,$B16,CE$1)</f>
        <v>3.06</v>
      </c>
      <c r="CF16" s="116" cm="1">
        <f t="array" ref="CF16">_xll.EQNXTDZ($A$1,$B16,CF$1)</f>
        <v>3.07</v>
      </c>
      <c r="CG16" s="116" cm="1">
        <f t="array" ref="CG16">_xll.EQNXTDZ($A$1,$B16,CG$1)</f>
        <v>2.91</v>
      </c>
      <c r="CH16" s="116" cm="1">
        <f t="array" ref="CH16">_xll.EQNXTDZ($A$1,$B16,CH$1)</f>
        <v>4.16</v>
      </c>
      <c r="CI16" s="116" cm="1">
        <f t="array" ref="CI16">_xll.EQNXTDZ($A$1,$B16,CI$1)</f>
        <v>3.69</v>
      </c>
      <c r="CJ16" s="116" cm="1">
        <f t="array" ref="CJ16">_xll.EQNXTDZ($A$1,$B16,CJ$1)</f>
        <v>2.93</v>
      </c>
      <c r="CK16" s="116" cm="1">
        <f t="array" ref="CK16">_xll.EQNXTDZ($A$1,$B16,CK$1)</f>
        <v>2.4500000000000002</v>
      </c>
      <c r="CL16" s="116" cm="1">
        <f t="array" ref="CL16">_xll.EQNXTDZ($A$1,$B16,CL$1)</f>
        <v>2.82</v>
      </c>
      <c r="CM16" s="116" cm="1">
        <f t="array" ref="CM16">_xll.EQNXTDZ($A$1,$B16,CM$1)</f>
        <v>2.69</v>
      </c>
      <c r="CN16" s="116" cm="1">
        <f t="array" ref="CN16">_xll.EQNXTDZ($A$1,$B16,CN$1)</f>
        <v>2.74</v>
      </c>
      <c r="CO16" s="116" cm="1">
        <f t="array" ref="CO16">_xll.EQNXTDZ($A$1,$B16,CO$1)</f>
        <v>2.25</v>
      </c>
      <c r="CP16" s="116" cm="1">
        <f t="array" ref="CP16">_xll.EQNXTDZ($A$1,$B16,CP$1)</f>
        <v>2.38</v>
      </c>
      <c r="CQ16" s="116" cm="1">
        <f t="array" ref="CQ16">_xll.EQNXTDZ($A$1,$B16,CQ$1)</f>
        <v>2.64</v>
      </c>
      <c r="CR16" s="116" cm="1">
        <f t="array" ref="CR16">_xll.EQNXTDZ($A$1,$B16,CR$1)</f>
        <v>1.8</v>
      </c>
      <c r="CS16" s="116" cm="1">
        <f t="array" ref="CS16">_xll.EQNXTDZ($A$1,$B16,CS$1)</f>
        <v>2.52</v>
      </c>
      <c r="CT16" s="116" cm="1">
        <f t="array" ref="CT16">_xll.EQNXTDZ($A$1,$B16,CT$1)</f>
        <v>2.78</v>
      </c>
      <c r="CU16" s="116" cm="1">
        <f t="array" ref="CU16">_xll.EQNXTDZ($A$1,$B16,CU$1)</f>
        <v>3.97</v>
      </c>
      <c r="CV16" s="116" cm="1">
        <f t="array" ref="CV16">_xll.EQNXTDZ($A$1,$B16,CV$1)</f>
        <v>3.33</v>
      </c>
      <c r="CW16" s="116" cm="1">
        <f t="array" ref="CW16">_xll.EQNXTDZ($A$1,$B16,CW$1)</f>
        <v>3.54</v>
      </c>
      <c r="CX16" s="116" cm="1">
        <f t="array" ref="CX16">_xll.EQNXTDZ($A$1,$B16,CX$1)</f>
        <v>2.93</v>
      </c>
      <c r="CY16" s="116" cm="1">
        <f t="array" ref="CY16">_xll.EQNXTDZ($A$1,$B16,CY$1)</f>
        <v>7.82</v>
      </c>
      <c r="CZ16" s="116" cm="1">
        <f t="array" ref="CZ16">_xll.EQNXTDZ($A$1,$B16,CZ$1)</f>
        <v>7.21</v>
      </c>
      <c r="DA16" s="116" cm="1">
        <f t="array" ref="DA16">_xll.EQNXTDZ($A$1,$B16,DA$1)</f>
        <v>7.97</v>
      </c>
      <c r="DB16" s="116" cm="1">
        <f t="array" ref="DB16">_xll.EQNXTDZ($A$1,$B16,DB$1)</f>
        <v>17.350000000000001</v>
      </c>
      <c r="DC16" s="116" cm="1">
        <f t="array" ref="DC16">_xll.EQNXTDZ($A$1,$B16,DC$1)</f>
        <v>15.7</v>
      </c>
      <c r="DD16" s="116" cm="1">
        <f t="array" ref="DD16">_xll.EQNXTDZ($A$1,$B16,DD$1)</f>
        <v>14.1</v>
      </c>
      <c r="DE16" s="116" cm="1">
        <f t="array" ref="DE16">_xll.EQNXTDZ($A$1,$B16,DE$1)</f>
        <v>13.99</v>
      </c>
      <c r="DF16" s="116" cm="1">
        <f t="array" ref="DF16">_xll.EQNXTDZ($A$1,$B16,DF$1)</f>
        <v>15.75</v>
      </c>
      <c r="DG16" s="116" cm="1">
        <f t="array" ref="DG16">_xll.EQNXTDZ($A$1,$B16,DG$1)</f>
        <v>45.4</v>
      </c>
      <c r="DH16" s="116" cm="1">
        <f t="array" ref="DH16">_xll.EQNXTDZ($A$1,$B16,DH$1)</f>
        <v>38.049999999999997</v>
      </c>
      <c r="DI16" s="116" cm="1">
        <f t="array" ref="DI16">_xll.EQNXTDZ($A$1,$B16,DI$1)</f>
        <v>36.6</v>
      </c>
      <c r="DJ16" s="116" cm="1">
        <f t="array" ref="DJ16">_xll.EQNXTDZ($A$1,$B16,DJ$1)</f>
        <v>35.4</v>
      </c>
      <c r="DK16" s="116" cm="1">
        <f t="array" ref="DK16">_xll.EQNXTDZ($A$1,$B16,DK$1)</f>
        <v>52.55</v>
      </c>
      <c r="DL16" s="116" cm="1">
        <f t="array" ref="DL16">_xll.EQNXTDZ($A$1,$B16,DL$1)</f>
        <v>111.9</v>
      </c>
      <c r="DM16" s="116" cm="1">
        <f t="array" ref="DM16">_xll.EQNXTDZ($A$1,$B16,DM$1)</f>
        <v>206.95</v>
      </c>
      <c r="DN16" s="116" cm="1">
        <f t="array" ref="DN16">_xll.EQNXTDZ($A$1,$B16,DN$1)</f>
        <v>149.6</v>
      </c>
      <c r="DO16" s="116" cm="1">
        <f t="array" ref="DO16">_xll.EQNXTDZ($A$1,$B16,DO$1)</f>
        <v>117</v>
      </c>
      <c r="DP16" s="116" cm="1">
        <f t="array" ref="DP16">_xll.EQNXTDZ($A$1,$B16,DP$1)</f>
        <v>166.85</v>
      </c>
      <c r="DQ16" s="116" cm="1">
        <f t="array" ref="DQ16">_xll.EQNXTDZ($A$1,$B16,DQ$1)</f>
        <v>139.6</v>
      </c>
      <c r="DR16" s="116" cm="1">
        <f t="array" ref="DR16">_xll.EQNXTDZ($A$1,$B16,DR$1)</f>
        <v>125.35</v>
      </c>
      <c r="DS16" s="116" cm="1">
        <f t="array" ref="DS16">_xll.EQNXTDZ($A$1,$B16,DS$1)</f>
        <v>121.1</v>
      </c>
      <c r="DT16" s="116" cm="1">
        <f t="array" ref="DT16">_xll.EQNXTDZ($A$1,$B16,DT$1)</f>
        <v>107.65</v>
      </c>
      <c r="DU16" s="116" cm="1">
        <f t="array" ref="DU16">_xll.EQNXTDZ($A$1,$B16,DU$1)</f>
        <v>108.45</v>
      </c>
      <c r="DV16" s="116" cm="1">
        <f t="array" ref="DV16">_xll.EQNXTDZ($A$1,$B16,DV$1)</f>
        <v>103.45</v>
      </c>
      <c r="DW16" s="116" cm="1">
        <f t="array" ref="DW16">_xll.EQNXTDZ($A$1,$B16,DW$1)</f>
        <v>101.8</v>
      </c>
      <c r="DX16" s="116" cm="1">
        <f t="array" ref="DX16">_xll.EQNXTDZ($A$1,$B16,DX$1)</f>
        <v>102.2</v>
      </c>
      <c r="DY16" s="116" cm="1">
        <f t="array" ref="DY16">_xll.EQNXTDZ($A$1,$B16,DY$1)</f>
        <v>92.7</v>
      </c>
      <c r="DZ16" s="116" cm="1">
        <f t="array" ref="DZ16">_xll.EQNXTDZ($A$1,$B16,DZ$1)</f>
        <v>79.349999999999994</v>
      </c>
      <c r="EA16" s="116" cm="1">
        <f t="array" ref="EA16">_xll.EQNXTDZ($A$1,$B16,EA$1)</f>
        <v>56.1</v>
      </c>
      <c r="EB16" s="116" cm="1">
        <f t="array" ref="EB16">_xll.EQNXTDZ($A$1,$B16,EB$1)</f>
        <v>55.49</v>
      </c>
      <c r="EC16" s="116" cm="1">
        <f t="array" ref="EC16">_xll.EQNXTDZ($A$1,$B16,EC$1)</f>
        <v>61.29</v>
      </c>
      <c r="ED16" s="116" cm="1">
        <f t="array" ref="ED16">_xll.EQNXTDZ($A$1,$B16,ED$1)</f>
        <v>61.5</v>
      </c>
      <c r="EE16" s="116" cm="1">
        <f t="array" ref="EE16">_xll.EQNXTDZ($A$1,$B16,EE$1)</f>
        <v>71.150000000000006</v>
      </c>
      <c r="EF16" s="116" cm="1">
        <f t="array" ref="EF16">_xll.EQNXTDZ($A$1,$B16,EF$1)</f>
        <v>79.040000000000006</v>
      </c>
      <c r="EG16" s="116" cm="1">
        <f t="array" ref="EG16">_xll.EQNXTDZ($A$1,$B16,EG$1)</f>
        <v>87.79</v>
      </c>
      <c r="EH16" s="116" cm="1">
        <f t="array" ref="EH16">_xll.EQNXTDZ($A$1,$B16,EH$1)</f>
        <v>99.43</v>
      </c>
      <c r="EI16" s="116" cm="1">
        <f t="array" ref="EI16">_xll.EQNXTDZ($A$1,$B16,EI$1)</f>
        <v>86.1</v>
      </c>
      <c r="EJ16" s="116" cm="1">
        <f t="array" ref="EJ16">_xll.EQNXTDZ($A$1,$B16,EJ$1)</f>
        <v>95.21</v>
      </c>
      <c r="EK16" s="116" cm="1">
        <f t="array" ref="EK16">_xll.EQNXTDZ($A$1,$B16,EK$1)</f>
        <v>91.72</v>
      </c>
      <c r="EL16" s="116" cm="1">
        <f t="array" ref="EL16">_xll.EQNXTDZ($A$1,$B16,EL$1)</f>
        <v>92.68</v>
      </c>
      <c r="EM16" s="116" cm="1">
        <f t="array" ref="EM16">_xll.EQNXTDZ($A$1,$B16,EM$1)</f>
        <v>87.34</v>
      </c>
      <c r="EN16" s="116" cm="1">
        <f t="array" ref="EN16">_xll.EQNXTDZ($A$1,$B16,EN$1)</f>
        <v>73.959999999999994</v>
      </c>
      <c r="EO16" s="116" cm="1">
        <f t="array" ref="EO16">_xll.EQNXTDZ($A$1,$B16,EO$1)</f>
        <v>82.26</v>
      </c>
      <c r="EP16" s="116" cm="1">
        <f t="array" ref="EP16">_xll.EQNXTDZ($A$1,$B16,EP$1)</f>
        <v>74.58</v>
      </c>
      <c r="EQ16" s="116" cm="1">
        <f t="array" ref="EQ16">_xll.EQNXTDZ($A$1,$B16,EQ$1)</f>
        <v>77.73</v>
      </c>
      <c r="ER16" s="116" cm="1">
        <f t="array" ref="ER16">_xll.EQNXTDZ($A$1,$B16,ER$1)</f>
        <v>96.12</v>
      </c>
      <c r="ES16" s="116" cm="1">
        <f t="array" ref="ES16">_xll.EQNXTDZ($A$1,$B16,ES$1)</f>
        <v>97.24</v>
      </c>
      <c r="ET16" s="116" cm="1">
        <f t="array" ref="ET16">_xll.EQNXTDZ($A$1,$B16,ET$1)</f>
        <v>84.41</v>
      </c>
      <c r="EU16" s="116" cm="1">
        <f t="array" ref="EU16">_xll.EQNXTDZ($A$1,$B16,EU$1)</f>
        <v>73.58</v>
      </c>
      <c r="EV16" s="116" cm="1">
        <f t="array" ref="EV16">_xll.EQNXTDZ($A$1,$B16,EV$1)</f>
        <v>78.790000000000006</v>
      </c>
      <c r="EW16" s="116" cm="1">
        <f t="array" ref="EW16">_xll.EQNXTDZ($A$1,$B16,EW$1)</f>
        <v>75.489999999999995</v>
      </c>
      <c r="EX16" s="116" cm="1">
        <f t="array" ref="EX16">_xll.EQNXTDZ($A$1,$B16,EX$1)</f>
        <v>71.78</v>
      </c>
      <c r="EY16" s="116" cm="1">
        <f t="array" ref="EY16">_xll.EQNXTDZ($A$1,$B16,EY$1)</f>
        <v>59.4</v>
      </c>
      <c r="EZ16" s="116" cm="1">
        <f t="array" ref="EZ16">_xll.EQNXTDZ($A$1,$B16,EZ$1)</f>
        <v>56.33</v>
      </c>
      <c r="FA16" s="116" cm="1">
        <f t="array" ref="FA16">_xll.EQNXTDZ($A$1,$B16,FA$1)</f>
        <v>56.87</v>
      </c>
      <c r="FB16" s="116" cm="1">
        <f t="array" ref="FB16">_xll.EQNXTDZ($A$1,$B16,FB$1)</f>
        <v>72.94</v>
      </c>
      <c r="FC16" s="116" cm="1">
        <f t="array" ref="FC16">_xll.EQNXTDZ($A$1,$B16,FC$1)</f>
        <v>66.19</v>
      </c>
      <c r="FD16" s="116" cm="1">
        <f t="array" ref="FD16">_xll.EQNXTDZ($A$1,$B16,FD$1)</f>
        <v>59.2</v>
      </c>
      <c r="FE16" s="116" cm="1">
        <f t="array" ref="FE16">_xll.EQNXTDZ($A$1,$B16,FE$1)</f>
        <v>56.12</v>
      </c>
      <c r="FF16" s="116" cm="1">
        <f t="array" ref="FF16">_xll.EQNXTDZ($A$1,$B16,FF$1)</f>
        <v>54.99</v>
      </c>
      <c r="FG16" s="116" cm="1">
        <f t="array" ref="FG16">_xll.EQNXTDZ($A$1,$B16,FG$1)</f>
        <v>54.62</v>
      </c>
      <c r="FH16" s="116" cm="1">
        <f t="array" ref="FH16">_xll.EQNXTDZ($A$1,$B16,FH$1)</f>
        <v>51.81</v>
      </c>
      <c r="FI16" s="116" cm="1">
        <f t="array" ref="FI16">_xll.EQNXTDZ($A$1,$B16,FI$1)</f>
        <v>49.59</v>
      </c>
      <c r="FJ16" s="116" cm="1">
        <f t="array" ref="FJ16">_xll.EQNXTDZ($A$1,$B16,FJ$1)</f>
        <v>45.83</v>
      </c>
      <c r="FK16" s="116" cm="1">
        <f t="array" ref="FK16">_xll.EQNXTDZ($A$1,$B16,FK$1)</f>
        <v>41.66</v>
      </c>
      <c r="FL16" s="116" cm="1">
        <f t="array" ref="FL16">_xll.EQNXTDZ($A$1,$B16,FL$1)</f>
        <v>31.29</v>
      </c>
      <c r="FM16" s="116" cm="1">
        <f t="array" ref="FM16">_xll.EQNXTDZ($A$1,$B16,FM$1)</f>
        <v>42.96</v>
      </c>
      <c r="FN16" s="116" cm="1">
        <f t="array" ref="FN16">_xll.EQNXTDZ($A$1,$B16,FN$1)</f>
        <v>42.83</v>
      </c>
      <c r="FO16" s="116" cm="1">
        <f t="array" ref="FO16">_xll.EQNXTDZ($A$1,$B16,FO$1)</f>
        <v>46.43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11.4757281553398</v>
      </c>
      <c r="HQ16" s="116">
        <f>+I16</f>
        <v>11.631067961165</v>
      </c>
      <c r="HR16" s="116">
        <f>+L16</f>
        <v>7.6699029126213603</v>
      </c>
      <c r="HS16" s="116">
        <f>+O16</f>
        <v>6.13592233009709</v>
      </c>
      <c r="HT16" s="116">
        <f>+R16</f>
        <v>6.84</v>
      </c>
      <c r="HU16" s="116">
        <f>+U16</f>
        <v>7.41</v>
      </c>
      <c r="HV16" s="116">
        <f>+X16</f>
        <v>7.41</v>
      </c>
      <c r="HW16" s="116">
        <f>+AA16</f>
        <v>11.89</v>
      </c>
      <c r="HX16" s="116">
        <f>+AD16</f>
        <v>10.050000000000001</v>
      </c>
      <c r="HY16" s="116">
        <f>+AG16</f>
        <v>7.6</v>
      </c>
      <c r="HZ16" s="116">
        <f>+AJ16</f>
        <v>7.9</v>
      </c>
      <c r="IA16" s="116">
        <f>+AM16</f>
        <v>6.63</v>
      </c>
      <c r="IB16" s="116">
        <f>+AP16</f>
        <v>6.19</v>
      </c>
      <c r="IC16" s="116">
        <f>+AS16</f>
        <v>8.1999999999999993</v>
      </c>
      <c r="ID16" s="116">
        <f>+AV16</f>
        <v>6.63</v>
      </c>
      <c r="IE16" s="116">
        <f>+AY16</f>
        <v>6.93</v>
      </c>
      <c r="IF16" s="116">
        <f>+BB16</f>
        <v>5.64</v>
      </c>
      <c r="IG16" s="116">
        <f>+BE16</f>
        <v>6.02</v>
      </c>
      <c r="IH16" s="116">
        <f>+BH16</f>
        <v>7.2</v>
      </c>
      <c r="II16" s="116">
        <f>+BK16</f>
        <v>6.85</v>
      </c>
      <c r="IJ16" s="116">
        <f>+BN16</f>
        <v>5.96</v>
      </c>
      <c r="IK16" s="116">
        <f>+BQ16</f>
        <v>7.06</v>
      </c>
      <c r="IL16" s="116">
        <f>+BT16</f>
        <v>5.51</v>
      </c>
      <c r="IM16" s="116">
        <f>+BW16</f>
        <v>4.57</v>
      </c>
      <c r="IN16" s="116">
        <f>+BZ16</f>
        <v>4.34</v>
      </c>
      <c r="IO16" s="116">
        <f>+CC16</f>
        <v>4</v>
      </c>
      <c r="IP16" s="116">
        <f>+CF16</f>
        <v>3.07</v>
      </c>
      <c r="IQ16" s="116">
        <f>+CI16</f>
        <v>3.69</v>
      </c>
      <c r="IR16" s="116">
        <f>+CL16</f>
        <v>2.82</v>
      </c>
      <c r="IS16" s="116">
        <f>+CO16</f>
        <v>2.25</v>
      </c>
      <c r="IT16" s="116">
        <f>+CR16</f>
        <v>1.8</v>
      </c>
      <c r="IU16" s="116">
        <f>+CU16</f>
        <v>3.97</v>
      </c>
      <c r="IV16" s="116">
        <f>+CX16</f>
        <v>2.93</v>
      </c>
      <c r="IW16" s="116">
        <f>+DA16</f>
        <v>7.97</v>
      </c>
      <c r="IX16" s="116">
        <f>+DD16</f>
        <v>14.1</v>
      </c>
      <c r="IY16" s="116">
        <f>+DG16</f>
        <v>45.4</v>
      </c>
      <c r="IZ16" s="116">
        <f>+DJ16</f>
        <v>35.4</v>
      </c>
      <c r="JA16" s="116">
        <f>+DM16</f>
        <v>206.95</v>
      </c>
      <c r="JB16" s="116">
        <f>+DP16</f>
        <v>166.85</v>
      </c>
      <c r="JC16" s="116">
        <f>+DS16</f>
        <v>121.1</v>
      </c>
      <c r="JD16" s="116">
        <f>+DV16</f>
        <v>103.45</v>
      </c>
      <c r="JE16" s="116">
        <f>+DY16</f>
        <v>92.7</v>
      </c>
      <c r="JF16" s="116">
        <f>+EB16</f>
        <v>55.49</v>
      </c>
      <c r="JG16" s="116">
        <f>+EE16</f>
        <v>71.150000000000006</v>
      </c>
      <c r="JH16" s="116">
        <f>+EH16</f>
        <v>99.43</v>
      </c>
      <c r="JI16" s="116">
        <f>+EK16</f>
        <v>91.72</v>
      </c>
      <c r="JJ16" s="116">
        <f>+EN16</f>
        <v>73.959999999999994</v>
      </c>
      <c r="JK16" s="116">
        <f>EQ16</f>
        <v>77.73</v>
      </c>
      <c r="JL16" s="116">
        <f>ET16</f>
        <v>84.41</v>
      </c>
      <c r="JM16" s="116">
        <f>EW16</f>
        <v>75.489999999999995</v>
      </c>
      <c r="JN16" s="116">
        <f>EZ16</f>
        <v>56.33</v>
      </c>
      <c r="JO16" s="116">
        <f>FC16</f>
        <v>66.19</v>
      </c>
      <c r="JP16" s="116">
        <f>FF16</f>
        <v>54.99</v>
      </c>
      <c r="JQ16" s="116">
        <f>FI16</f>
        <v>49.59</v>
      </c>
      <c r="JR16" s="116">
        <f>FL16</f>
        <v>31.29</v>
      </c>
      <c r="JS16" s="116">
        <f>FO16</f>
        <v>46.43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14.3883495145631</v>
      </c>
      <c r="HQ19" s="116">
        <f t="shared" ref="HQ19:JI21" si="1">+IF(HQ14=0,HQ7,HQ14)</f>
        <v>13.1650485436893</v>
      </c>
      <c r="HR19" s="116">
        <f t="shared" si="1"/>
        <v>13.0097087378641</v>
      </c>
      <c r="HS19" s="116">
        <f t="shared" si="1"/>
        <v>10.2718446601942</v>
      </c>
      <c r="HT19" s="116">
        <f t="shared" si="1"/>
        <v>7.55339805825243</v>
      </c>
      <c r="HU19" s="116">
        <f t="shared" si="1"/>
        <v>8.48</v>
      </c>
      <c r="HV19" s="116">
        <f t="shared" si="1"/>
        <v>8.77</v>
      </c>
      <c r="HW19" s="116">
        <f t="shared" si="1"/>
        <v>13.25</v>
      </c>
      <c r="HX19" s="116">
        <f t="shared" si="1"/>
        <v>14.05</v>
      </c>
      <c r="HY19" s="116">
        <f t="shared" si="1"/>
        <v>10.26</v>
      </c>
      <c r="HZ19" s="116">
        <f t="shared" si="1"/>
        <v>11.19</v>
      </c>
      <c r="IA19" s="116">
        <f t="shared" si="1"/>
        <v>8.93</v>
      </c>
      <c r="IB19" s="116">
        <f t="shared" si="1"/>
        <v>8.7799999999999994</v>
      </c>
      <c r="IC19" s="116">
        <f t="shared" si="1"/>
        <v>9.4</v>
      </c>
      <c r="ID19" s="116">
        <f t="shared" si="1"/>
        <v>8.6</v>
      </c>
      <c r="IE19" s="116">
        <f t="shared" si="1"/>
        <v>7.56</v>
      </c>
      <c r="IF19" s="116">
        <f t="shared" si="1"/>
        <v>7.5</v>
      </c>
      <c r="IG19" s="116">
        <f t="shared" si="1"/>
        <v>8.16</v>
      </c>
      <c r="IH19" s="116">
        <f t="shared" si="1"/>
        <v>10.48</v>
      </c>
      <c r="II19" s="116">
        <f t="shared" si="1"/>
        <v>9.4499999999999993</v>
      </c>
      <c r="IJ19" s="116">
        <f t="shared" si="1"/>
        <v>9.4499999999999993</v>
      </c>
      <c r="IK19" s="116">
        <f t="shared" si="1"/>
        <v>10.99</v>
      </c>
      <c r="IL19" s="116">
        <f t="shared" si="1"/>
        <v>8.01</v>
      </c>
      <c r="IM19" s="116">
        <f t="shared" si="1"/>
        <v>6.69</v>
      </c>
      <c r="IN19" s="116">
        <f t="shared" si="1"/>
        <v>5.87</v>
      </c>
      <c r="IO19" s="116">
        <f t="shared" si="1"/>
        <v>4.62</v>
      </c>
      <c r="IP19" s="116">
        <f t="shared" si="1"/>
        <v>4.16</v>
      </c>
      <c r="IQ19" s="116">
        <f t="shared" si="1"/>
        <v>5.27</v>
      </c>
      <c r="IR19" s="116">
        <f t="shared" si="1"/>
        <v>4.3600000000000003</v>
      </c>
      <c r="IS19" s="116">
        <f t="shared" si="1"/>
        <v>3.19</v>
      </c>
      <c r="IT19" s="116">
        <f t="shared" si="1"/>
        <v>4.3099999999999996</v>
      </c>
      <c r="IU19" s="116">
        <f t="shared" si="1"/>
        <v>4.55</v>
      </c>
      <c r="IV19" s="116">
        <f t="shared" si="1"/>
        <v>4.05</v>
      </c>
      <c r="IW19" s="116">
        <f t="shared" si="1"/>
        <v>9.0299999999999994</v>
      </c>
      <c r="IX19" s="116">
        <f t="shared" si="1"/>
        <v>23.2</v>
      </c>
      <c r="IY19" s="116">
        <f t="shared" si="1"/>
        <v>45.4</v>
      </c>
      <c r="IZ19" s="116">
        <f t="shared" si="1"/>
        <v>55.1</v>
      </c>
      <c r="JA19" s="116">
        <f t="shared" si="1"/>
        <v>206.95</v>
      </c>
      <c r="JB19" s="116">
        <f t="shared" si="1"/>
        <v>291.05</v>
      </c>
      <c r="JC19" s="116">
        <f t="shared" si="1"/>
        <v>210</v>
      </c>
      <c r="JD19" s="116">
        <f t="shared" si="1"/>
        <v>149</v>
      </c>
      <c r="JE19" s="116">
        <f t="shared" si="1"/>
        <v>114.25</v>
      </c>
      <c r="JF19" s="116">
        <f t="shared" si="1"/>
        <v>93.65</v>
      </c>
      <c r="JG19" s="116">
        <f t="shared" si="1"/>
        <v>84.29</v>
      </c>
      <c r="JH19" s="116">
        <f t="shared" si="1"/>
        <v>109.1</v>
      </c>
      <c r="JI19" s="116">
        <f t="shared" si="1"/>
        <v>100.3</v>
      </c>
      <c r="JJ19" s="116">
        <f t="shared" ref="JJ19:JJ21" si="2">+IF(JJ14=0,JJ7,JJ14)</f>
        <v>106.56</v>
      </c>
      <c r="JK19" s="116">
        <f t="shared" ref="JK19" si="3">+IF(JK14=0,JK7,JK14)</f>
        <v>89.75</v>
      </c>
      <c r="JL19" s="116">
        <f t="shared" ref="JL19:JM19" si="4">+IF(JL14=0,JL7,JL14)</f>
        <v>111.48</v>
      </c>
      <c r="JM19" s="116">
        <f t="shared" si="4"/>
        <v>88.88</v>
      </c>
      <c r="JN19" s="116">
        <f t="shared" ref="JN19:JO19" si="5">+IF(JN14=0,JN7,JN14)</f>
        <v>84.5</v>
      </c>
      <c r="JO19" s="116">
        <f t="shared" si="5"/>
        <v>81.16</v>
      </c>
      <c r="JP19" s="116">
        <f t="shared" ref="JP19" si="6">+IF(JP14=0,JP7,JP14)</f>
        <v>66.989999999999995</v>
      </c>
      <c r="JQ19" s="116">
        <f t="shared" ref="JQ19:KH19" si="7">+IF(JQ14=0,JQ7,JQ14)</f>
        <v>60.08</v>
      </c>
      <c r="JR19" s="116">
        <f t="shared" si="7"/>
        <v>50.15</v>
      </c>
      <c r="JS19" s="116">
        <f t="shared" si="7"/>
        <v>49.81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10.194174757281599</v>
      </c>
      <c r="HQ20" s="116">
        <f t="shared" si="8"/>
        <v>10.0485436893204</v>
      </c>
      <c r="HR20" s="116">
        <f t="shared" si="8"/>
        <v>7.1844660194174796</v>
      </c>
      <c r="HS20" s="116">
        <f t="shared" si="8"/>
        <v>4.8349514563106801</v>
      </c>
      <c r="HT20" s="116">
        <f t="shared" si="8"/>
        <v>5.41</v>
      </c>
      <c r="HU20" s="116">
        <f t="shared" si="8"/>
        <v>6.5</v>
      </c>
      <c r="HV20" s="116">
        <f t="shared" si="8"/>
        <v>6.8</v>
      </c>
      <c r="HW20" s="116">
        <f t="shared" si="8"/>
        <v>7.01</v>
      </c>
      <c r="HX20" s="116">
        <f t="shared" si="8"/>
        <v>9.64</v>
      </c>
      <c r="HY20" s="116">
        <f t="shared" si="8"/>
        <v>7.41</v>
      </c>
      <c r="HZ20" s="116">
        <f t="shared" si="8"/>
        <v>7.55</v>
      </c>
      <c r="IA20" s="116">
        <f t="shared" si="8"/>
        <v>5.62</v>
      </c>
      <c r="IB20" s="116">
        <f t="shared" si="8"/>
        <v>5.75</v>
      </c>
      <c r="IC20" s="116">
        <f t="shared" si="8"/>
        <v>6.17</v>
      </c>
      <c r="ID20" s="116">
        <f t="shared" si="8"/>
        <v>5.73</v>
      </c>
      <c r="IE20" s="116">
        <f t="shared" si="8"/>
        <v>6.15</v>
      </c>
      <c r="IF20" s="116">
        <f t="shared" si="1"/>
        <v>5.42</v>
      </c>
      <c r="IG20" s="116">
        <f t="shared" si="1"/>
        <v>5.64</v>
      </c>
      <c r="IH20" s="116">
        <f t="shared" si="1"/>
        <v>5.81</v>
      </c>
      <c r="II20" s="116">
        <f t="shared" si="1"/>
        <v>5.94</v>
      </c>
      <c r="IJ20" s="116">
        <f t="shared" si="1"/>
        <v>5.93</v>
      </c>
      <c r="IK20" s="116">
        <f t="shared" si="1"/>
        <v>3.75</v>
      </c>
      <c r="IL20" s="116">
        <f t="shared" si="1"/>
        <v>5.4</v>
      </c>
      <c r="IM20" s="116">
        <f t="shared" si="1"/>
        <v>4.51</v>
      </c>
      <c r="IN20" s="116">
        <f t="shared" si="1"/>
        <v>3.91</v>
      </c>
      <c r="IO20" s="116">
        <f t="shared" si="1"/>
        <v>3.73</v>
      </c>
      <c r="IP20" s="116">
        <f t="shared" si="1"/>
        <v>2.71</v>
      </c>
      <c r="IQ20" s="116">
        <f t="shared" si="1"/>
        <v>2.5499999999999998</v>
      </c>
      <c r="IR20" s="116">
        <f t="shared" si="1"/>
        <v>2.34</v>
      </c>
      <c r="IS20" s="116">
        <f t="shared" si="1"/>
        <v>2.21</v>
      </c>
      <c r="IT20" s="116">
        <f t="shared" si="1"/>
        <v>1.8</v>
      </c>
      <c r="IU20" s="116">
        <f t="shared" si="1"/>
        <v>1.8</v>
      </c>
      <c r="IV20" s="116">
        <f t="shared" si="1"/>
        <v>2.74</v>
      </c>
      <c r="IW20" s="116">
        <f t="shared" si="1"/>
        <v>2.75</v>
      </c>
      <c r="IX20" s="116">
        <f t="shared" si="1"/>
        <v>7.55</v>
      </c>
      <c r="IY20" s="116">
        <f t="shared" si="1"/>
        <v>10.55</v>
      </c>
      <c r="IZ20" s="116">
        <f t="shared" si="1"/>
        <v>32.85</v>
      </c>
      <c r="JA20" s="116">
        <f t="shared" si="1"/>
        <v>35</v>
      </c>
      <c r="JB20" s="116">
        <f t="shared" si="1"/>
        <v>89.15</v>
      </c>
      <c r="JC20" s="116">
        <f t="shared" si="1"/>
        <v>102.95</v>
      </c>
      <c r="JD20" s="116">
        <f t="shared" si="1"/>
        <v>88.4</v>
      </c>
      <c r="JE20" s="116">
        <f t="shared" si="1"/>
        <v>78.8</v>
      </c>
      <c r="JF20" s="116">
        <f t="shared" si="1"/>
        <v>49.8</v>
      </c>
      <c r="JG20" s="116">
        <f t="shared" si="1"/>
        <v>53.54</v>
      </c>
      <c r="JH20" s="116">
        <f t="shared" si="1"/>
        <v>70.7</v>
      </c>
      <c r="JI20" s="116">
        <f t="shared" si="1"/>
        <v>83.5</v>
      </c>
      <c r="JJ20" s="116">
        <f t="shared" si="2"/>
        <v>73.349999999999994</v>
      </c>
      <c r="JK20" s="116">
        <f t="shared" ref="JK20" si="9">+IF(JK15=0,JK8,JK15)</f>
        <v>65.290000000000006</v>
      </c>
      <c r="JL20" s="116">
        <f t="shared" ref="JL20:JM20" si="10">+IF(JL15=0,JL8,JL15)</f>
        <v>74.11</v>
      </c>
      <c r="JM20" s="116">
        <f t="shared" si="10"/>
        <v>65.91</v>
      </c>
      <c r="JN20" s="116">
        <f t="shared" ref="JN20:JO20" si="11">+IF(JN15=0,JN8,JN15)</f>
        <v>54.01</v>
      </c>
      <c r="JO20" s="116">
        <f t="shared" si="11"/>
        <v>50.01</v>
      </c>
      <c r="JP20" s="116">
        <f t="shared" ref="JP20" si="12">+IF(JP15=0,JP8,JP15)</f>
        <v>54.81</v>
      </c>
      <c r="JQ20" s="116">
        <f t="shared" ref="JQ20:KH20" si="13">+IF(JQ15=0,JQ8,JQ15)</f>
        <v>44.6</v>
      </c>
      <c r="JR20" s="116">
        <f t="shared" si="13"/>
        <v>30.12</v>
      </c>
      <c r="JS20" s="116">
        <f t="shared" si="13"/>
        <v>32.17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11.4757281553398</v>
      </c>
      <c r="HQ21" s="116">
        <f t="shared" si="1"/>
        <v>11.631067961165</v>
      </c>
      <c r="HR21" s="116">
        <f t="shared" si="1"/>
        <v>7.6699029126213603</v>
      </c>
      <c r="HS21" s="116">
        <f t="shared" si="1"/>
        <v>6.13592233009709</v>
      </c>
      <c r="HT21" s="116">
        <f t="shared" si="1"/>
        <v>6.84</v>
      </c>
      <c r="HU21" s="116">
        <f t="shared" si="1"/>
        <v>7.41</v>
      </c>
      <c r="HV21" s="116">
        <f t="shared" si="1"/>
        <v>7.41</v>
      </c>
      <c r="HW21" s="116">
        <f t="shared" si="1"/>
        <v>11.89</v>
      </c>
      <c r="HX21" s="116">
        <f t="shared" si="1"/>
        <v>10.050000000000001</v>
      </c>
      <c r="HY21" s="116">
        <f t="shared" si="1"/>
        <v>7.6</v>
      </c>
      <c r="HZ21" s="116">
        <f t="shared" si="1"/>
        <v>7.9</v>
      </c>
      <c r="IA21" s="116">
        <f t="shared" si="1"/>
        <v>6.63</v>
      </c>
      <c r="IB21" s="116">
        <f t="shared" si="1"/>
        <v>6.19</v>
      </c>
      <c r="IC21" s="116">
        <f t="shared" si="1"/>
        <v>8.1999999999999993</v>
      </c>
      <c r="ID21" s="116">
        <f t="shared" si="1"/>
        <v>6.63</v>
      </c>
      <c r="IE21" s="116">
        <f t="shared" si="1"/>
        <v>6.93</v>
      </c>
      <c r="IF21" s="116">
        <f t="shared" si="1"/>
        <v>5.64</v>
      </c>
      <c r="IG21" s="116">
        <f t="shared" si="1"/>
        <v>6.02</v>
      </c>
      <c r="IH21" s="116">
        <f t="shared" si="1"/>
        <v>7.2</v>
      </c>
      <c r="II21" s="116">
        <f t="shared" si="1"/>
        <v>6.85</v>
      </c>
      <c r="IJ21" s="116">
        <f t="shared" si="1"/>
        <v>5.96</v>
      </c>
      <c r="IK21" s="116">
        <f t="shared" si="1"/>
        <v>7.06</v>
      </c>
      <c r="IL21" s="116">
        <f t="shared" si="1"/>
        <v>5.51</v>
      </c>
      <c r="IM21" s="116">
        <f t="shared" si="1"/>
        <v>4.57</v>
      </c>
      <c r="IN21" s="116">
        <f t="shared" si="1"/>
        <v>4.34</v>
      </c>
      <c r="IO21" s="116">
        <f t="shared" si="1"/>
        <v>4</v>
      </c>
      <c r="IP21" s="116">
        <f t="shared" si="1"/>
        <v>3.07</v>
      </c>
      <c r="IQ21" s="116">
        <f t="shared" si="1"/>
        <v>3.69</v>
      </c>
      <c r="IR21" s="116">
        <f t="shared" si="1"/>
        <v>2.82</v>
      </c>
      <c r="IS21" s="116">
        <f t="shared" si="1"/>
        <v>2.25</v>
      </c>
      <c r="IT21" s="116">
        <f t="shared" si="1"/>
        <v>1.8</v>
      </c>
      <c r="IU21" s="116">
        <f t="shared" si="1"/>
        <v>3.97</v>
      </c>
      <c r="IV21" s="116">
        <f t="shared" si="1"/>
        <v>2.93</v>
      </c>
      <c r="IW21" s="116">
        <f t="shared" si="1"/>
        <v>7.97</v>
      </c>
      <c r="IX21" s="116">
        <f t="shared" si="1"/>
        <v>14.1</v>
      </c>
      <c r="IY21" s="116">
        <f t="shared" si="1"/>
        <v>45.4</v>
      </c>
      <c r="IZ21" s="116">
        <f t="shared" si="1"/>
        <v>35.4</v>
      </c>
      <c r="JA21" s="116">
        <f t="shared" si="1"/>
        <v>206.95</v>
      </c>
      <c r="JB21" s="116">
        <f t="shared" si="1"/>
        <v>166.85</v>
      </c>
      <c r="JC21" s="116">
        <f t="shared" si="1"/>
        <v>121.1</v>
      </c>
      <c r="JD21" s="116">
        <f t="shared" si="1"/>
        <v>103.45</v>
      </c>
      <c r="JE21" s="116">
        <f t="shared" si="1"/>
        <v>92.7</v>
      </c>
      <c r="JF21" s="116">
        <f t="shared" si="1"/>
        <v>55.49</v>
      </c>
      <c r="JG21" s="116">
        <f t="shared" si="1"/>
        <v>71.150000000000006</v>
      </c>
      <c r="JH21" s="116">
        <f t="shared" si="1"/>
        <v>99.43</v>
      </c>
      <c r="JI21" s="116">
        <f t="shared" si="1"/>
        <v>91.72</v>
      </c>
      <c r="JJ21" s="116">
        <f t="shared" si="2"/>
        <v>73.959999999999994</v>
      </c>
      <c r="JK21" s="116">
        <f t="shared" ref="JK21" si="14">+IF(JK16=0,JK9,JK16)</f>
        <v>77.73</v>
      </c>
      <c r="JL21" s="116">
        <f t="shared" ref="JL21:JM21" si="15">+IF(JL16=0,JL9,JL16)</f>
        <v>84.41</v>
      </c>
      <c r="JM21" s="116">
        <f t="shared" si="15"/>
        <v>75.489999999999995</v>
      </c>
      <c r="JN21" s="116">
        <f t="shared" ref="JN21:JO21" si="16">+IF(JN16=0,JN9,JN16)</f>
        <v>56.33</v>
      </c>
      <c r="JO21" s="116">
        <f t="shared" si="16"/>
        <v>66.19</v>
      </c>
      <c r="JP21" s="116">
        <f t="shared" ref="JP21" si="17">+IF(JP16=0,JP9,JP16)</f>
        <v>54.99</v>
      </c>
      <c r="JQ21" s="116">
        <f t="shared" ref="JQ21:KH21" si="18">+IF(JQ16=0,JQ9,JQ16)</f>
        <v>49.59</v>
      </c>
      <c r="JR21" s="116">
        <f t="shared" si="18"/>
        <v>31.29</v>
      </c>
      <c r="JS21" s="116">
        <f t="shared" si="18"/>
        <v>46.43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132371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1897196854</v>
      </c>
      <c r="D6" cm="1">
        <f t="array" ref="D6">_xll.EQNXTDZ($A$1,$B6,D$1)</f>
        <v>1897196854</v>
      </c>
      <c r="E6" cm="1">
        <f t="array" ref="E6">_xll.EQNXTDZ($A$1,$B6,E$1)</f>
        <v>1897196854</v>
      </c>
      <c r="F6" cm="1">
        <f t="array" ref="F6">_xll.EQNXTDZ($A$1,$B6,F$1)</f>
        <v>1897196854</v>
      </c>
      <c r="G6" cm="1">
        <f t="array" ref="G6">_xll.EQNXTDZ($A$1,$B6,G$1)</f>
        <v>1897196854</v>
      </c>
      <c r="H6" cm="1">
        <f t="array" ref="H6">_xll.EQNXTDZ($A$1,$B6,H$1)</f>
        <v>1954927727</v>
      </c>
      <c r="I6" cm="1">
        <f t="array" ref="I6">_xll.EQNXTDZ($A$1,$B6,I$1)</f>
        <v>1954927727</v>
      </c>
      <c r="J6" cm="1">
        <f t="array" ref="J6">_xll.EQNXTDZ($A$1,$B6,J$1)</f>
        <v>1954927727</v>
      </c>
      <c r="K6" cm="1">
        <f t="array" ref="K6">_xll.EQNXTDZ($A$1,$B6,K$1)</f>
        <v>1954927727</v>
      </c>
      <c r="L6" cm="1">
        <f t="array" ref="L6">_xll.EQNXTDZ($A$1,$B6,L$1)</f>
        <v>1954927727</v>
      </c>
      <c r="M6" cm="1">
        <f t="array" ref="M6">_xll.EQNXTDZ($A$1,$B6,M$1)</f>
        <v>1954927727</v>
      </c>
      <c r="N6" cm="1">
        <f t="array" ref="N6">_xll.EQNXTDZ($A$1,$B6,N$1)</f>
        <v>1954927727</v>
      </c>
      <c r="O6" cm="1">
        <f t="array" ref="O6">_xll.EQNXTDZ($A$1,$B6,O$1)</f>
        <v>1954927727</v>
      </c>
      <c r="P6" cm="1">
        <f t="array" ref="P6">_xll.EQNXTDZ($A$1,$B6,P$1)</f>
        <v>1954927727</v>
      </c>
      <c r="Q6" cm="1">
        <f t="array" ref="Q6">_xll.EQNXTDZ($A$1,$B6,Q$1)</f>
        <v>1954927727</v>
      </c>
      <c r="R6" cm="1">
        <f t="array" ref="R6">_xll.EQNXTDZ($A$1,$B6,R$1)</f>
        <v>1954927727</v>
      </c>
      <c r="S6" cm="1">
        <f t="array" ref="S6">_xll.EQNXTDZ($A$1,$B6,S$1)</f>
        <v>1954927727</v>
      </c>
      <c r="T6" cm="1">
        <f t="array" ref="T6">_xll.EQNXTDZ($A$1,$B6,T$1)</f>
        <v>1954927727</v>
      </c>
      <c r="U6" cm="1">
        <f t="array" ref="U6">_xll.EQNXTDZ($A$1,$B6,U$1)</f>
        <v>1954927727</v>
      </c>
      <c r="V6" cm="1">
        <f t="array" ref="V6">_xll.EQNXTDZ($A$1,$B6,V$1)</f>
        <v>1954927727</v>
      </c>
      <c r="W6" cm="1">
        <f t="array" ref="W6">_xll.EQNXTDZ($A$1,$B6,W$1)</f>
        <v>1954927727</v>
      </c>
      <c r="X6" cm="1">
        <f t="array" ref="X6">_xll.EQNXTDZ($A$1,$B6,X$1)</f>
        <v>1954927727</v>
      </c>
      <c r="Y6" cm="1">
        <f t="array" ref="Y6">_xll.EQNXTDZ($A$1,$B6,Y$1)</f>
        <v>1954927727</v>
      </c>
      <c r="Z6" cm="1">
        <f t="array" ref="Z6">_xll.EQNXTDZ($A$1,$B6,Z$1)</f>
        <v>1954927727</v>
      </c>
      <c r="AA6" cm="1">
        <f t="array" ref="AA6">_xll.EQNXTDZ($A$1,$B6,AA$1)</f>
        <v>1954927727</v>
      </c>
      <c r="AB6" cm="1">
        <f t="array" ref="AB6">_xll.EQNXTDZ($A$1,$B6,AB$1)</f>
        <v>1954927727</v>
      </c>
      <c r="AC6" cm="1">
        <f t="array" ref="AC6">_xll.EQNXTDZ($A$1,$B6,AC$1)</f>
        <v>1954927727</v>
      </c>
      <c r="AD6" cm="1">
        <f t="array" ref="AD6">_xll.EQNXTDZ($A$1,$B6,AD$1)</f>
        <v>1954927727</v>
      </c>
      <c r="AE6" cm="1">
        <f t="array" ref="AE6">_xll.EQNXTDZ($A$1,$B6,AE$1)</f>
        <v>1954927727</v>
      </c>
      <c r="AF6" cm="1">
        <f t="array" ref="AF6">_xll.EQNXTDZ($A$1,$B6,AF$1)</f>
        <v>1954927727</v>
      </c>
      <c r="AG6" cm="1">
        <f t="array" ref="AG6">_xll.EQNXTDZ($A$1,$B6,AG$1)</f>
        <v>1954927727</v>
      </c>
      <c r="AH6" cm="1">
        <f t="array" ref="AH6">_xll.EQNXTDZ($A$1,$B6,AH$1)</f>
        <v>1954927727</v>
      </c>
      <c r="AI6" cm="1">
        <f t="array" ref="AI6">_xll.EQNXTDZ($A$1,$B6,AI$1)</f>
        <v>1954927727</v>
      </c>
      <c r="AJ6" cm="1">
        <f t="array" ref="AJ6">_xll.EQNXTDZ($A$1,$B6,AJ$1)</f>
        <v>1954927727</v>
      </c>
      <c r="AK6" cm="1">
        <f t="array" ref="AK6">_xll.EQNXTDZ($A$1,$B6,AK$1)</f>
        <v>1954927727</v>
      </c>
      <c r="AL6" cm="1">
        <f t="array" ref="AL6">_xll.EQNXTDZ($A$1,$B6,AL$1)</f>
        <v>1954927727</v>
      </c>
      <c r="AM6" cm="1">
        <f t="array" ref="AM6">_xll.EQNXTDZ($A$1,$B6,AM$1)</f>
        <v>1954927727</v>
      </c>
      <c r="AN6" cm="1">
        <f t="array" ref="AN6">_xll.EQNXTDZ($A$1,$B6,AN$1)</f>
        <v>1954927727</v>
      </c>
      <c r="AO6" cm="1">
        <f t="array" ref="AO6">_xll.EQNXTDZ($A$1,$B6,AO$1)</f>
        <v>1954927727</v>
      </c>
      <c r="AP6" cm="1">
        <f t="array" ref="AP6">_xll.EQNXTDZ($A$1,$B6,AP$1)</f>
        <v>1954927727</v>
      </c>
      <c r="AQ6" cm="1">
        <f t="array" ref="AQ6">_xll.EQNXTDZ($A$1,$B6,AQ$1)</f>
        <v>1954927727</v>
      </c>
      <c r="AR6" cm="1">
        <f t="array" ref="AR6">_xll.EQNXTDZ($A$1,$B6,AR$1)</f>
        <v>1954927727</v>
      </c>
      <c r="AS6" cm="1">
        <f t="array" ref="AS6">_xll.EQNXTDZ($A$1,$B6,AS$1)</f>
        <v>1954927727</v>
      </c>
      <c r="AT6" cm="1">
        <f t="array" ref="AT6">_xll.EQNXTDZ($A$1,$B6,AT$1)</f>
        <v>1954927727</v>
      </c>
      <c r="AU6" cm="1">
        <f t="array" ref="AU6">_xll.EQNXTDZ($A$1,$B6,AU$1)</f>
        <v>1954927727</v>
      </c>
      <c r="AV6" cm="1">
        <f t="array" ref="AV6">_xll.EQNXTDZ($A$1,$B6,AV$1)</f>
        <v>1954927727</v>
      </c>
      <c r="AW6" cm="1">
        <f t="array" ref="AW6">_xll.EQNXTDZ($A$1,$B6,AW$1)</f>
        <v>1954927727</v>
      </c>
      <c r="AX6" cm="1">
        <f t="array" ref="AX6">_xll.EQNXTDZ($A$1,$B6,AX$1)</f>
        <v>1954927727</v>
      </c>
      <c r="AY6" cm="1">
        <f t="array" ref="AY6">_xll.EQNXTDZ($A$1,$B6,AY$1)</f>
        <v>1954927727</v>
      </c>
    </row>
    <row r="7" spans="1:51" x14ac:dyDescent="0.25">
      <c r="B7" t="s">
        <v>429</v>
      </c>
      <c r="C7" s="100">
        <f>+C6/10^7</f>
        <v>189.7196854</v>
      </c>
      <c r="D7" s="100">
        <f t="shared" ref="D7:X7" si="0">+D6/10^7</f>
        <v>189.7196854</v>
      </c>
      <c r="E7" s="100">
        <f t="shared" si="0"/>
        <v>189.7196854</v>
      </c>
      <c r="F7" s="100">
        <f t="shared" si="0"/>
        <v>189.7196854</v>
      </c>
      <c r="G7" s="100">
        <f t="shared" si="0"/>
        <v>189.7196854</v>
      </c>
      <c r="H7" s="100">
        <f t="shared" si="0"/>
        <v>195.49277269999999</v>
      </c>
      <c r="I7" s="100">
        <f t="shared" si="0"/>
        <v>195.49277269999999</v>
      </c>
      <c r="J7" s="100">
        <f t="shared" si="0"/>
        <v>195.49277269999999</v>
      </c>
      <c r="K7" s="100">
        <f t="shared" si="0"/>
        <v>195.49277269999999</v>
      </c>
      <c r="L7" s="100">
        <f t="shared" si="0"/>
        <v>195.49277269999999</v>
      </c>
      <c r="M7" s="100">
        <f t="shared" si="0"/>
        <v>195.49277269999999</v>
      </c>
      <c r="N7" s="100">
        <f t="shared" si="0"/>
        <v>195.49277269999999</v>
      </c>
      <c r="O7" s="100">
        <f t="shared" si="0"/>
        <v>195.49277269999999</v>
      </c>
      <c r="P7" s="100">
        <f t="shared" si="0"/>
        <v>195.49277269999999</v>
      </c>
      <c r="Q7" s="100">
        <f t="shared" si="0"/>
        <v>195.49277269999999</v>
      </c>
      <c r="R7" s="100">
        <f t="shared" si="0"/>
        <v>195.49277269999999</v>
      </c>
      <c r="S7" s="100">
        <f t="shared" si="0"/>
        <v>195.49277269999999</v>
      </c>
      <c r="T7" s="100">
        <f t="shared" si="0"/>
        <v>195.49277269999999</v>
      </c>
      <c r="U7" s="100">
        <f t="shared" si="0"/>
        <v>195.49277269999999</v>
      </c>
      <c r="V7" s="100">
        <f t="shared" si="0"/>
        <v>195.49277269999999</v>
      </c>
      <c r="W7" s="100">
        <f t="shared" si="0"/>
        <v>195.49277269999999</v>
      </c>
      <c r="X7" s="100">
        <f t="shared" si="0"/>
        <v>195.49277269999999</v>
      </c>
      <c r="Y7" s="100">
        <f t="shared" ref="Y7:AS7" si="1">+Y6/10^7</f>
        <v>195.49277269999999</v>
      </c>
      <c r="Z7" s="100">
        <f t="shared" si="1"/>
        <v>195.49277269999999</v>
      </c>
      <c r="AA7" s="100">
        <f t="shared" si="1"/>
        <v>195.49277269999999</v>
      </c>
      <c r="AB7" s="100">
        <f t="shared" si="1"/>
        <v>195.49277269999999</v>
      </c>
      <c r="AC7" s="100">
        <f t="shared" si="1"/>
        <v>195.49277269999999</v>
      </c>
      <c r="AD7" s="100">
        <f t="shared" si="1"/>
        <v>195.49277269999999</v>
      </c>
      <c r="AE7" s="100">
        <f t="shared" si="1"/>
        <v>195.49277269999999</v>
      </c>
      <c r="AF7" s="100">
        <f t="shared" si="1"/>
        <v>195.49277269999999</v>
      </c>
      <c r="AG7" s="100">
        <f t="shared" si="1"/>
        <v>195.49277269999999</v>
      </c>
      <c r="AH7" s="100">
        <f t="shared" si="1"/>
        <v>195.49277269999999</v>
      </c>
      <c r="AI7" s="100">
        <f t="shared" si="1"/>
        <v>195.49277269999999</v>
      </c>
      <c r="AJ7" s="100">
        <f t="shared" si="1"/>
        <v>195.49277269999999</v>
      </c>
      <c r="AK7" s="100">
        <f t="shared" si="1"/>
        <v>195.49277269999999</v>
      </c>
      <c r="AL7" s="100">
        <f t="shared" si="1"/>
        <v>195.49277269999999</v>
      </c>
      <c r="AM7" s="100">
        <f t="shared" si="1"/>
        <v>195.49277269999999</v>
      </c>
      <c r="AN7" s="100">
        <f t="shared" si="1"/>
        <v>195.49277269999999</v>
      </c>
      <c r="AO7" s="100">
        <f t="shared" si="1"/>
        <v>195.49277269999999</v>
      </c>
      <c r="AP7" s="100">
        <f t="shared" si="1"/>
        <v>195.49277269999999</v>
      </c>
      <c r="AQ7" s="100">
        <f t="shared" si="1"/>
        <v>195.49277269999999</v>
      </c>
      <c r="AR7" s="100">
        <f t="shared" si="1"/>
        <v>195.49277269999999</v>
      </c>
      <c r="AS7" s="100">
        <f t="shared" si="1"/>
        <v>195.49277269999999</v>
      </c>
      <c r="AT7" s="100">
        <f t="shared" ref="AT7:AX7" si="2">+AT6/10^7</f>
        <v>195.49277269999999</v>
      </c>
      <c r="AU7" s="100">
        <f t="shared" si="2"/>
        <v>195.49277269999999</v>
      </c>
      <c r="AV7" s="100">
        <f t="shared" si="2"/>
        <v>195.49277269999999</v>
      </c>
      <c r="AW7" s="100">
        <f t="shared" si="2"/>
        <v>195.49277269999999</v>
      </c>
      <c r="AX7" s="100">
        <f t="shared" si="2"/>
        <v>195.49277269999999</v>
      </c>
      <c r="AY7" s="100">
        <f t="shared" ref="AY7" si="3">+AY6/10^7</f>
        <v>195.49277269999999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132371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8.3000000000000007</v>
      </c>
      <c r="C4" s="116">
        <v>8.07</v>
      </c>
      <c r="D4" s="116">
        <v>7.6</v>
      </c>
      <c r="E4" s="116">
        <v>7.6</v>
      </c>
      <c r="F4" s="116">
        <v>8.07</v>
      </c>
      <c r="G4">
        <v>813632</v>
      </c>
      <c r="H4" s="116"/>
      <c r="I4" s="116"/>
      <c r="L4" s="170">
        <v>42005</v>
      </c>
      <c r="M4" s="116">
        <v>8.0500000000000007</v>
      </c>
      <c r="N4" s="116">
        <v>8.3000000000000007</v>
      </c>
      <c r="O4" s="116">
        <v>7.55</v>
      </c>
      <c r="P4" s="116">
        <v>7.6</v>
      </c>
      <c r="Q4" s="116">
        <v>8.0500000000000007</v>
      </c>
      <c r="R4">
        <v>3257232</v>
      </c>
    </row>
    <row r="5" spans="1:18" x14ac:dyDescent="0.25">
      <c r="A5" s="170">
        <v>42006</v>
      </c>
      <c r="B5" s="116">
        <v>9.1999999999999993</v>
      </c>
      <c r="C5" s="116">
        <v>8.8000000000000007</v>
      </c>
      <c r="D5" s="116">
        <v>8.06</v>
      </c>
      <c r="E5" s="116">
        <v>8.06</v>
      </c>
      <c r="F5" s="116">
        <v>8.8000000000000007</v>
      </c>
      <c r="G5">
        <v>2292656</v>
      </c>
      <c r="H5" s="116"/>
      <c r="I5" s="116"/>
      <c r="L5" s="170">
        <v>42006</v>
      </c>
      <c r="M5" s="116">
        <v>8.8000000000000007</v>
      </c>
      <c r="N5" s="116">
        <v>9.1999999999999993</v>
      </c>
      <c r="O5" s="116">
        <v>8.1999999999999993</v>
      </c>
      <c r="P5" s="116">
        <v>8.1999999999999993</v>
      </c>
      <c r="Q5" s="116">
        <v>8.8000000000000007</v>
      </c>
      <c r="R5">
        <v>8090913</v>
      </c>
    </row>
    <row r="6" spans="1:18" x14ac:dyDescent="0.25">
      <c r="A6" s="170">
        <v>42009</v>
      </c>
      <c r="B6" s="116">
        <v>9.57</v>
      </c>
      <c r="C6" s="116">
        <v>9.2899999999999991</v>
      </c>
      <c r="D6" s="116">
        <v>9.01</v>
      </c>
      <c r="E6" s="116">
        <v>9.01</v>
      </c>
      <c r="F6" s="116">
        <v>9.2899999999999991</v>
      </c>
      <c r="G6">
        <v>1978705</v>
      </c>
      <c r="H6" s="116"/>
      <c r="I6" s="116"/>
      <c r="L6" s="170">
        <v>42009</v>
      </c>
      <c r="M6" s="116">
        <v>9.3000000000000007</v>
      </c>
      <c r="N6" s="116">
        <v>9.6</v>
      </c>
      <c r="O6" s="116">
        <v>9.1</v>
      </c>
      <c r="P6" s="116">
        <v>9.1</v>
      </c>
      <c r="Q6" s="116">
        <v>9.3000000000000007</v>
      </c>
      <c r="R6">
        <v>6422031</v>
      </c>
    </row>
    <row r="7" spans="1:18" x14ac:dyDescent="0.25">
      <c r="A7" s="170">
        <v>42010</v>
      </c>
      <c r="B7" s="116">
        <v>9.24</v>
      </c>
      <c r="C7" s="116">
        <v>8.7100000000000009</v>
      </c>
      <c r="D7" s="116">
        <v>8.68</v>
      </c>
      <c r="E7" s="116">
        <v>9.1999999999999993</v>
      </c>
      <c r="F7" s="116">
        <v>8.7100000000000009</v>
      </c>
      <c r="G7">
        <v>834293</v>
      </c>
      <c r="H7" s="116"/>
      <c r="I7" s="116"/>
      <c r="L7" s="170">
        <v>42010</v>
      </c>
      <c r="M7" s="116">
        <v>8.75</v>
      </c>
      <c r="N7" s="116">
        <v>9.25</v>
      </c>
      <c r="O7" s="116">
        <v>8.6999999999999993</v>
      </c>
      <c r="P7" s="116">
        <v>9.15</v>
      </c>
      <c r="Q7" s="116">
        <v>8.75</v>
      </c>
      <c r="R7">
        <v>2676482</v>
      </c>
    </row>
    <row r="8" spans="1:18" x14ac:dyDescent="0.25">
      <c r="A8" s="170">
        <v>42011</v>
      </c>
      <c r="B8" s="116">
        <v>9.1</v>
      </c>
      <c r="C8" s="116">
        <v>8.82</v>
      </c>
      <c r="D8" s="116">
        <v>8.57</v>
      </c>
      <c r="E8" s="116">
        <v>8.82</v>
      </c>
      <c r="F8" s="116">
        <v>8.82</v>
      </c>
      <c r="G8">
        <v>460131</v>
      </c>
      <c r="H8" s="116"/>
      <c r="I8" s="116"/>
      <c r="L8" s="170">
        <v>42011</v>
      </c>
      <c r="M8" s="116">
        <v>8.8000000000000007</v>
      </c>
      <c r="N8" s="116">
        <v>9.15</v>
      </c>
      <c r="O8" s="116">
        <v>8.5500000000000007</v>
      </c>
      <c r="P8" s="116">
        <v>8.75</v>
      </c>
      <c r="Q8" s="116">
        <v>8.8000000000000007</v>
      </c>
      <c r="R8">
        <v>1971971</v>
      </c>
    </row>
    <row r="9" spans="1:18" x14ac:dyDescent="0.25">
      <c r="A9" s="170">
        <v>42012</v>
      </c>
      <c r="B9" s="116">
        <v>9</v>
      </c>
      <c r="C9" s="116">
        <v>8.64</v>
      </c>
      <c r="D9" s="116">
        <v>8.61</v>
      </c>
      <c r="E9" s="116">
        <v>8.85</v>
      </c>
      <c r="F9" s="116">
        <v>8.64</v>
      </c>
      <c r="G9">
        <v>506792</v>
      </c>
      <c r="H9" s="116"/>
      <c r="I9" s="116"/>
      <c r="L9" s="170">
        <v>42012</v>
      </c>
      <c r="M9" s="116">
        <v>8.65</v>
      </c>
      <c r="N9" s="116">
        <v>9.0500000000000007</v>
      </c>
      <c r="O9" s="116">
        <v>8.6</v>
      </c>
      <c r="P9" s="116">
        <v>8.9</v>
      </c>
      <c r="Q9" s="116">
        <v>8.65</v>
      </c>
      <c r="R9">
        <v>2305007</v>
      </c>
    </row>
    <row r="10" spans="1:18" x14ac:dyDescent="0.25">
      <c r="A10" s="170">
        <v>42013</v>
      </c>
      <c r="B10" s="116">
        <v>8.6999999999999993</v>
      </c>
      <c r="C10" s="116">
        <v>8.5500000000000007</v>
      </c>
      <c r="D10" s="116">
        <v>8.51</v>
      </c>
      <c r="E10" s="116">
        <v>8.6999999999999993</v>
      </c>
      <c r="F10" s="116">
        <v>8.5500000000000007</v>
      </c>
      <c r="G10">
        <v>414465</v>
      </c>
      <c r="H10" s="116"/>
      <c r="I10" s="116"/>
      <c r="L10" s="170">
        <v>42013</v>
      </c>
      <c r="M10" s="116">
        <v>8.5500000000000007</v>
      </c>
      <c r="N10" s="116">
        <v>8.75</v>
      </c>
      <c r="O10" s="116">
        <v>8.5</v>
      </c>
      <c r="P10" s="116">
        <v>8.65</v>
      </c>
      <c r="Q10" s="116">
        <v>8.5500000000000007</v>
      </c>
      <c r="R10">
        <v>1112230</v>
      </c>
    </row>
    <row r="11" spans="1:18" x14ac:dyDescent="0.25">
      <c r="A11" s="170">
        <v>42016</v>
      </c>
      <c r="B11" s="116">
        <v>8.58</v>
      </c>
      <c r="C11" s="116">
        <v>8.49</v>
      </c>
      <c r="D11" s="116">
        <v>8.4</v>
      </c>
      <c r="E11" s="116">
        <v>8.5299999999999994</v>
      </c>
      <c r="F11" s="116">
        <v>8.49</v>
      </c>
      <c r="G11">
        <v>447321</v>
      </c>
      <c r="H11" s="116"/>
      <c r="I11" s="116"/>
      <c r="L11" s="170">
        <v>42016</v>
      </c>
      <c r="M11" s="116">
        <v>8.4499999999999993</v>
      </c>
      <c r="N11" s="116">
        <v>8.6</v>
      </c>
      <c r="O11" s="116">
        <v>8.4</v>
      </c>
      <c r="P11" s="116">
        <v>8.5500000000000007</v>
      </c>
      <c r="Q11" s="116">
        <v>8.4499999999999993</v>
      </c>
      <c r="R11">
        <v>838284</v>
      </c>
    </row>
    <row r="12" spans="1:18" x14ac:dyDescent="0.25">
      <c r="A12" s="170">
        <v>42017</v>
      </c>
      <c r="B12" s="116">
        <v>8.5</v>
      </c>
      <c r="C12" s="116">
        <v>8.35</v>
      </c>
      <c r="D12" s="116">
        <v>8.3000000000000007</v>
      </c>
      <c r="E12" s="116">
        <v>8.4</v>
      </c>
      <c r="F12" s="116">
        <v>8.35</v>
      </c>
      <c r="G12">
        <v>151012</v>
      </c>
      <c r="H12" s="116"/>
      <c r="I12" s="116"/>
      <c r="L12" s="170">
        <v>42017</v>
      </c>
      <c r="M12" s="116">
        <v>8.35</v>
      </c>
      <c r="N12" s="116">
        <v>8.6</v>
      </c>
      <c r="O12" s="116">
        <v>8.3000000000000007</v>
      </c>
      <c r="P12" s="116">
        <v>8.4499999999999993</v>
      </c>
      <c r="Q12" s="116">
        <v>8.35</v>
      </c>
      <c r="R12">
        <v>585430</v>
      </c>
    </row>
    <row r="13" spans="1:18" x14ac:dyDescent="0.25">
      <c r="A13" s="170">
        <v>42018</v>
      </c>
      <c r="B13" s="116">
        <v>10.02</v>
      </c>
      <c r="C13" s="116">
        <v>10.02</v>
      </c>
      <c r="D13" s="116">
        <v>9.57</v>
      </c>
      <c r="E13" s="116">
        <v>10</v>
      </c>
      <c r="F13" s="116">
        <v>10.02</v>
      </c>
      <c r="G13">
        <v>1820207</v>
      </c>
      <c r="H13" s="116"/>
      <c r="I13" s="116"/>
      <c r="L13" s="170">
        <v>42018</v>
      </c>
      <c r="M13" s="116">
        <v>10</v>
      </c>
      <c r="N13" s="116">
        <v>10</v>
      </c>
      <c r="O13" s="116">
        <v>9.8000000000000007</v>
      </c>
      <c r="P13" s="116">
        <v>9.8000000000000007</v>
      </c>
      <c r="Q13" s="116">
        <v>10</v>
      </c>
      <c r="R13">
        <v>2711728</v>
      </c>
    </row>
    <row r="14" spans="1:18" x14ac:dyDescent="0.25">
      <c r="A14" s="170">
        <v>42019</v>
      </c>
      <c r="B14" s="116">
        <v>11.19</v>
      </c>
      <c r="C14" s="116">
        <v>10.14</v>
      </c>
      <c r="D14" s="116">
        <v>10.050000000000001</v>
      </c>
      <c r="E14" s="116">
        <v>11.19</v>
      </c>
      <c r="F14" s="116">
        <v>10.14</v>
      </c>
      <c r="G14">
        <v>4925222</v>
      </c>
      <c r="H14" s="116"/>
      <c r="I14" s="116"/>
      <c r="L14" s="170">
        <v>42019</v>
      </c>
      <c r="M14" s="116">
        <v>10.15</v>
      </c>
      <c r="N14" s="116">
        <v>11.25</v>
      </c>
      <c r="O14" s="116">
        <v>10.050000000000001</v>
      </c>
      <c r="P14" s="116">
        <v>11.25</v>
      </c>
      <c r="Q14" s="116">
        <v>10.15</v>
      </c>
      <c r="R14">
        <v>17164185</v>
      </c>
    </row>
    <row r="15" spans="1:18" x14ac:dyDescent="0.25">
      <c r="A15" s="170">
        <v>42020</v>
      </c>
      <c r="B15" s="116">
        <v>10.28</v>
      </c>
      <c r="C15" s="116">
        <v>9.1300000000000008</v>
      </c>
      <c r="D15" s="116">
        <v>8.66</v>
      </c>
      <c r="E15" s="116">
        <v>10</v>
      </c>
      <c r="F15" s="116">
        <v>9.1300000000000008</v>
      </c>
      <c r="G15">
        <v>3863605</v>
      </c>
      <c r="H15" s="116"/>
      <c r="I15" s="116"/>
      <c r="L15" s="170">
        <v>42020</v>
      </c>
      <c r="M15" s="116">
        <v>9.1</v>
      </c>
      <c r="N15" s="116">
        <v>10.25</v>
      </c>
      <c r="O15" s="116">
        <v>8.65</v>
      </c>
      <c r="P15" s="116">
        <v>10</v>
      </c>
      <c r="Q15" s="116">
        <v>9.1</v>
      </c>
      <c r="R15">
        <v>13783113</v>
      </c>
    </row>
    <row r="16" spans="1:18" x14ac:dyDescent="0.25">
      <c r="A16" s="170">
        <v>42023</v>
      </c>
      <c r="B16" s="116">
        <v>9.9</v>
      </c>
      <c r="C16" s="116">
        <v>9.26</v>
      </c>
      <c r="D16" s="116">
        <v>9.15</v>
      </c>
      <c r="E16" s="116">
        <v>9.9</v>
      </c>
      <c r="F16" s="116">
        <v>9.26</v>
      </c>
      <c r="G16">
        <v>824094</v>
      </c>
      <c r="H16" s="116"/>
      <c r="I16" s="116"/>
      <c r="L16" s="170">
        <v>42023</v>
      </c>
      <c r="M16" s="116">
        <v>9.25</v>
      </c>
      <c r="N16" s="116">
        <v>9.4499999999999993</v>
      </c>
      <c r="O16" s="116">
        <v>9.15</v>
      </c>
      <c r="P16" s="116">
        <v>9.15</v>
      </c>
      <c r="Q16" s="116">
        <v>9.25</v>
      </c>
      <c r="R16">
        <v>1908360</v>
      </c>
    </row>
    <row r="17" spans="1:18" x14ac:dyDescent="0.25">
      <c r="A17" s="170">
        <v>42024</v>
      </c>
      <c r="B17" s="116">
        <v>10.4</v>
      </c>
      <c r="C17" s="116">
        <v>9.89</v>
      </c>
      <c r="D17" s="116">
        <v>9.1999999999999993</v>
      </c>
      <c r="E17" s="116">
        <v>9.1999999999999993</v>
      </c>
      <c r="F17" s="116">
        <v>9.89</v>
      </c>
      <c r="G17">
        <v>3313385</v>
      </c>
      <c r="H17" s="116"/>
      <c r="I17" s="116"/>
      <c r="L17" s="170">
        <v>42024</v>
      </c>
      <c r="M17" s="116">
        <v>9.9499999999999993</v>
      </c>
      <c r="N17" s="116">
        <v>10.4</v>
      </c>
      <c r="O17" s="116">
        <v>9.0500000000000007</v>
      </c>
      <c r="P17" s="116">
        <v>9.0500000000000007</v>
      </c>
      <c r="Q17" s="116">
        <v>9.9499999999999993</v>
      </c>
      <c r="R17">
        <v>10726130</v>
      </c>
    </row>
    <row r="18" spans="1:18" x14ac:dyDescent="0.25">
      <c r="A18" s="170">
        <v>42025</v>
      </c>
      <c r="B18" s="116">
        <v>10.55</v>
      </c>
      <c r="C18" s="116">
        <v>10.199999999999999</v>
      </c>
      <c r="D18" s="116">
        <v>10.050000000000001</v>
      </c>
      <c r="E18" s="116">
        <v>10.45</v>
      </c>
      <c r="F18" s="116">
        <v>10.199999999999999</v>
      </c>
      <c r="G18">
        <v>1901696</v>
      </c>
      <c r="H18" s="116"/>
      <c r="I18" s="116"/>
      <c r="L18" s="170">
        <v>42025</v>
      </c>
      <c r="M18" s="116">
        <v>10.199999999999999</v>
      </c>
      <c r="N18" s="116">
        <v>10.6</v>
      </c>
      <c r="O18" s="116">
        <v>10.050000000000001</v>
      </c>
      <c r="P18" s="116">
        <v>10.35</v>
      </c>
      <c r="Q18" s="116">
        <v>10.199999999999999</v>
      </c>
      <c r="R18">
        <v>5449947</v>
      </c>
    </row>
    <row r="19" spans="1:18" x14ac:dyDescent="0.25">
      <c r="A19" s="170">
        <v>42026</v>
      </c>
      <c r="B19" s="116">
        <v>10.35</v>
      </c>
      <c r="C19" s="116">
        <v>9.9</v>
      </c>
      <c r="D19" s="116">
        <v>9.85</v>
      </c>
      <c r="E19" s="116">
        <v>10.3</v>
      </c>
      <c r="F19" s="116">
        <v>9.9</v>
      </c>
      <c r="G19">
        <v>527111</v>
      </c>
      <c r="H19" s="116"/>
      <c r="I19" s="116"/>
      <c r="L19" s="170">
        <v>42026</v>
      </c>
      <c r="M19" s="116">
        <v>9.9</v>
      </c>
      <c r="N19" s="116">
        <v>10.35</v>
      </c>
      <c r="O19" s="116">
        <v>9.8000000000000007</v>
      </c>
      <c r="P19" s="116">
        <v>10.25</v>
      </c>
      <c r="Q19" s="116">
        <v>9.9</v>
      </c>
      <c r="R19">
        <v>2516427</v>
      </c>
    </row>
    <row r="20" spans="1:18" x14ac:dyDescent="0.25">
      <c r="A20" s="170">
        <v>42027</v>
      </c>
      <c r="B20" s="116">
        <v>10.039999999999999</v>
      </c>
      <c r="C20" s="116">
        <v>9.56</v>
      </c>
      <c r="D20" s="116">
        <v>9.4700000000000006</v>
      </c>
      <c r="E20" s="116">
        <v>9.6999999999999993</v>
      </c>
      <c r="F20" s="116">
        <v>9.56</v>
      </c>
      <c r="G20">
        <v>693331</v>
      </c>
      <c r="H20" s="116"/>
      <c r="I20" s="116"/>
      <c r="L20" s="170">
        <v>42027</v>
      </c>
      <c r="M20" s="116">
        <v>9.6</v>
      </c>
      <c r="N20" s="116">
        <v>10.050000000000001</v>
      </c>
      <c r="O20" s="116">
        <v>9.5</v>
      </c>
      <c r="P20" s="116">
        <v>9.9499999999999993</v>
      </c>
      <c r="Q20" s="116">
        <v>9.6</v>
      </c>
      <c r="R20">
        <v>2276195</v>
      </c>
    </row>
    <row r="21" spans="1:18" x14ac:dyDescent="0.25">
      <c r="A21" s="170">
        <v>42031</v>
      </c>
      <c r="B21" s="116">
        <v>9.89</v>
      </c>
      <c r="C21" s="116">
        <v>9.4</v>
      </c>
      <c r="D21" s="116">
        <v>9.31</v>
      </c>
      <c r="E21" s="116">
        <v>9.89</v>
      </c>
      <c r="F21" s="116">
        <v>9.4</v>
      </c>
      <c r="G21">
        <v>560179</v>
      </c>
      <c r="H21" s="116"/>
      <c r="I21" s="116"/>
      <c r="L21" s="170">
        <v>42031</v>
      </c>
      <c r="M21" s="116">
        <v>9.4</v>
      </c>
      <c r="N21" s="116">
        <v>9.75</v>
      </c>
      <c r="O21" s="116">
        <v>9.3000000000000007</v>
      </c>
      <c r="P21" s="116">
        <v>9.6</v>
      </c>
      <c r="Q21" s="116">
        <v>9.4</v>
      </c>
      <c r="R21">
        <v>1480764</v>
      </c>
    </row>
    <row r="22" spans="1:18" x14ac:dyDescent="0.25">
      <c r="A22" s="170">
        <v>42032</v>
      </c>
      <c r="B22" s="116">
        <v>9.42</v>
      </c>
      <c r="C22" s="116">
        <v>9.26</v>
      </c>
      <c r="D22" s="116">
        <v>9.1</v>
      </c>
      <c r="E22" s="116">
        <v>9.32</v>
      </c>
      <c r="F22" s="116">
        <v>9.26</v>
      </c>
      <c r="G22">
        <v>476857</v>
      </c>
      <c r="H22" s="116"/>
      <c r="I22" s="116"/>
      <c r="L22" s="170">
        <v>42032</v>
      </c>
      <c r="M22" s="116">
        <v>9.1999999999999993</v>
      </c>
      <c r="N22" s="116">
        <v>9.5</v>
      </c>
      <c r="O22" s="116">
        <v>9.1</v>
      </c>
      <c r="P22" s="116">
        <v>9.4</v>
      </c>
      <c r="Q22" s="116">
        <v>9.1999999999999993</v>
      </c>
      <c r="R22">
        <v>1553999</v>
      </c>
    </row>
    <row r="23" spans="1:18" x14ac:dyDescent="0.25">
      <c r="A23" s="170">
        <v>42033</v>
      </c>
      <c r="B23" s="116">
        <v>9.39</v>
      </c>
      <c r="C23" s="116">
        <v>9.26</v>
      </c>
      <c r="D23" s="116">
        <v>9.0500000000000007</v>
      </c>
      <c r="E23" s="116">
        <v>9.26</v>
      </c>
      <c r="F23" s="116">
        <v>9.26</v>
      </c>
      <c r="G23">
        <v>598911</v>
      </c>
      <c r="H23" s="116"/>
      <c r="I23" s="116"/>
      <c r="L23" s="170">
        <v>42033</v>
      </c>
      <c r="M23" s="116">
        <v>9.3000000000000007</v>
      </c>
      <c r="N23" s="116">
        <v>9.4499999999999993</v>
      </c>
      <c r="O23" s="116">
        <v>9.0500000000000007</v>
      </c>
      <c r="P23" s="116">
        <v>9.1999999999999993</v>
      </c>
      <c r="Q23" s="116">
        <v>9.3000000000000007</v>
      </c>
      <c r="R23">
        <v>2386102</v>
      </c>
    </row>
    <row r="24" spans="1:18" x14ac:dyDescent="0.25">
      <c r="A24" s="170">
        <v>42034</v>
      </c>
      <c r="B24" s="116">
        <v>9.5</v>
      </c>
      <c r="C24" s="116">
        <v>9.17</v>
      </c>
      <c r="D24" s="116">
        <v>9.1</v>
      </c>
      <c r="E24" s="116">
        <v>9.5</v>
      </c>
      <c r="F24" s="116">
        <v>9.17</v>
      </c>
      <c r="G24">
        <v>426599</v>
      </c>
      <c r="H24" s="116"/>
      <c r="I24" s="116"/>
      <c r="L24" s="170">
        <v>42034</v>
      </c>
      <c r="M24" s="116">
        <v>9.15</v>
      </c>
      <c r="N24" s="116">
        <v>9.5</v>
      </c>
      <c r="O24" s="116">
        <v>9.1</v>
      </c>
      <c r="P24" s="116">
        <v>9.3000000000000007</v>
      </c>
      <c r="Q24" s="116">
        <v>9.15</v>
      </c>
      <c r="R24">
        <v>1744668</v>
      </c>
    </row>
    <row r="25" spans="1:18" x14ac:dyDescent="0.25">
      <c r="A25" s="170">
        <v>42037</v>
      </c>
      <c r="B25" s="116">
        <v>9.43</v>
      </c>
      <c r="C25" s="116">
        <v>9.18</v>
      </c>
      <c r="D25" s="116">
        <v>9.07</v>
      </c>
      <c r="E25" s="116">
        <v>9.1999999999999993</v>
      </c>
      <c r="F25" s="116">
        <v>9.18</v>
      </c>
      <c r="G25">
        <v>312028</v>
      </c>
      <c r="H25" s="116"/>
      <c r="I25" s="116"/>
      <c r="L25" s="170">
        <v>42037</v>
      </c>
      <c r="M25" s="116">
        <v>9.1999999999999993</v>
      </c>
      <c r="N25" s="116">
        <v>9.4</v>
      </c>
      <c r="O25" s="116">
        <v>9.1</v>
      </c>
      <c r="P25" s="116">
        <v>9.1999999999999993</v>
      </c>
      <c r="Q25" s="116">
        <v>9.1999999999999993</v>
      </c>
      <c r="R25">
        <v>1320889</v>
      </c>
    </row>
    <row r="26" spans="1:18" x14ac:dyDescent="0.25">
      <c r="A26" s="170">
        <v>42038</v>
      </c>
      <c r="B26" s="116">
        <v>9.25</v>
      </c>
      <c r="C26" s="116">
        <v>9.09</v>
      </c>
      <c r="D26" s="116">
        <v>9.0500000000000007</v>
      </c>
      <c r="E26" s="116">
        <v>9.23</v>
      </c>
      <c r="F26" s="116">
        <v>9.09</v>
      </c>
      <c r="G26">
        <v>339258</v>
      </c>
      <c r="H26" s="116"/>
      <c r="I26" s="116"/>
      <c r="L26" s="170">
        <v>42038</v>
      </c>
      <c r="M26" s="116">
        <v>9.1</v>
      </c>
      <c r="N26" s="116">
        <v>9.3000000000000007</v>
      </c>
      <c r="O26" s="116">
        <v>9.0500000000000007</v>
      </c>
      <c r="P26" s="116">
        <v>9.3000000000000007</v>
      </c>
      <c r="Q26" s="116">
        <v>9.1</v>
      </c>
      <c r="R26">
        <v>1042451</v>
      </c>
    </row>
    <row r="27" spans="1:18" x14ac:dyDescent="0.25">
      <c r="A27" s="170">
        <v>42039</v>
      </c>
      <c r="B27" s="116">
        <v>9.4700000000000006</v>
      </c>
      <c r="C27" s="116">
        <v>9.07</v>
      </c>
      <c r="D27" s="116">
        <v>8.9700000000000006</v>
      </c>
      <c r="E27" s="116">
        <v>9.4</v>
      </c>
      <c r="F27" s="116">
        <v>9.07</v>
      </c>
      <c r="G27">
        <v>500023</v>
      </c>
      <c r="H27" s="116"/>
      <c r="I27" s="116"/>
      <c r="L27" s="170">
        <v>42039</v>
      </c>
      <c r="M27" s="116">
        <v>9.1</v>
      </c>
      <c r="N27" s="116">
        <v>9.5</v>
      </c>
      <c r="O27" s="116">
        <v>9</v>
      </c>
      <c r="P27" s="116">
        <v>9.1</v>
      </c>
      <c r="Q27" s="116">
        <v>9.1</v>
      </c>
      <c r="R27">
        <v>2212221</v>
      </c>
    </row>
    <row r="28" spans="1:18" x14ac:dyDescent="0.25">
      <c r="A28" s="170">
        <v>42040</v>
      </c>
      <c r="B28" s="116">
        <v>9.2799999999999994</v>
      </c>
      <c r="C28" s="116">
        <v>8.8800000000000008</v>
      </c>
      <c r="D28" s="116">
        <v>8.8000000000000007</v>
      </c>
      <c r="E28" s="116">
        <v>9.06</v>
      </c>
      <c r="F28" s="116">
        <v>8.8800000000000008</v>
      </c>
      <c r="G28">
        <v>371881</v>
      </c>
      <c r="H28" s="116"/>
      <c r="I28" s="116"/>
      <c r="L28" s="170">
        <v>42040</v>
      </c>
      <c r="M28" s="116">
        <v>8.9</v>
      </c>
      <c r="N28" s="116">
        <v>9.3000000000000007</v>
      </c>
      <c r="O28" s="116">
        <v>8.75</v>
      </c>
      <c r="P28" s="116">
        <v>9.15</v>
      </c>
      <c r="Q28" s="116">
        <v>8.9</v>
      </c>
      <c r="R28">
        <v>1756181</v>
      </c>
    </row>
    <row r="29" spans="1:18" x14ac:dyDescent="0.25">
      <c r="A29" s="170">
        <v>42041</v>
      </c>
      <c r="B29" s="116">
        <v>8.9499999999999993</v>
      </c>
      <c r="C29" s="116">
        <v>8.74</v>
      </c>
      <c r="D29" s="116">
        <v>8.65</v>
      </c>
      <c r="E29" s="116">
        <v>8.9499999999999993</v>
      </c>
      <c r="F29" s="116">
        <v>8.74</v>
      </c>
      <c r="G29">
        <v>357410</v>
      </c>
      <c r="H29" s="116"/>
      <c r="I29" s="116"/>
      <c r="L29" s="170">
        <v>42041</v>
      </c>
      <c r="M29" s="116">
        <v>8.75</v>
      </c>
      <c r="N29" s="116">
        <v>8.9499999999999993</v>
      </c>
      <c r="O29" s="116">
        <v>8.65</v>
      </c>
      <c r="P29" s="116">
        <v>8.9</v>
      </c>
      <c r="Q29" s="116">
        <v>8.75</v>
      </c>
      <c r="R29">
        <v>1267242</v>
      </c>
    </row>
    <row r="30" spans="1:18" x14ac:dyDescent="0.25">
      <c r="A30" s="170">
        <v>42044</v>
      </c>
      <c r="B30" s="116">
        <v>8.83</v>
      </c>
      <c r="C30" s="116">
        <v>8.4600000000000009</v>
      </c>
      <c r="D30" s="116">
        <v>8.35</v>
      </c>
      <c r="E30" s="116">
        <v>8.69</v>
      </c>
      <c r="F30" s="116">
        <v>8.4600000000000009</v>
      </c>
      <c r="G30">
        <v>236154</v>
      </c>
      <c r="H30" s="116"/>
      <c r="I30" s="116"/>
      <c r="L30" s="170">
        <v>42044</v>
      </c>
      <c r="M30" s="116">
        <v>8.4499999999999993</v>
      </c>
      <c r="N30" s="116">
        <v>8.8000000000000007</v>
      </c>
      <c r="O30" s="116">
        <v>8.3000000000000007</v>
      </c>
      <c r="P30" s="116">
        <v>8.6999999999999993</v>
      </c>
      <c r="Q30" s="116">
        <v>8.4499999999999993</v>
      </c>
      <c r="R30">
        <v>1069203</v>
      </c>
    </row>
    <row r="31" spans="1:18" x14ac:dyDescent="0.25">
      <c r="A31" s="170">
        <v>42045</v>
      </c>
      <c r="B31" s="116">
        <v>8.56</v>
      </c>
      <c r="C31" s="116">
        <v>8.43</v>
      </c>
      <c r="D31" s="116">
        <v>8.35</v>
      </c>
      <c r="E31" s="116">
        <v>8.4</v>
      </c>
      <c r="F31" s="116">
        <v>8.43</v>
      </c>
      <c r="G31">
        <v>444994</v>
      </c>
      <c r="H31" s="116"/>
      <c r="I31" s="116"/>
      <c r="L31" s="170">
        <v>42045</v>
      </c>
      <c r="M31" s="116">
        <v>8.4499999999999993</v>
      </c>
      <c r="N31" s="116">
        <v>8.6</v>
      </c>
      <c r="O31" s="116">
        <v>8.35</v>
      </c>
      <c r="P31" s="116">
        <v>8.4499999999999993</v>
      </c>
      <c r="Q31" s="116">
        <v>8.4499999999999993</v>
      </c>
      <c r="R31">
        <v>1049282</v>
      </c>
    </row>
    <row r="32" spans="1:18" x14ac:dyDescent="0.25">
      <c r="A32" s="170">
        <v>42046</v>
      </c>
      <c r="B32" s="116">
        <v>8.58</v>
      </c>
      <c r="C32" s="116">
        <v>8.44</v>
      </c>
      <c r="D32" s="116">
        <v>8.35</v>
      </c>
      <c r="E32" s="116">
        <v>8.35</v>
      </c>
      <c r="F32" s="116">
        <v>8.44</v>
      </c>
      <c r="G32">
        <v>175298</v>
      </c>
      <c r="H32" s="116"/>
      <c r="I32" s="116"/>
      <c r="L32" s="170">
        <v>42046</v>
      </c>
      <c r="M32" s="116">
        <v>8.4499999999999993</v>
      </c>
      <c r="N32" s="116">
        <v>8.6</v>
      </c>
      <c r="O32" s="116">
        <v>8.35</v>
      </c>
      <c r="P32" s="116">
        <v>8.5</v>
      </c>
      <c r="Q32" s="116">
        <v>8.4499999999999993</v>
      </c>
      <c r="R32">
        <v>1029070</v>
      </c>
    </row>
    <row r="33" spans="1:18" x14ac:dyDescent="0.25">
      <c r="A33" s="170">
        <v>42047</v>
      </c>
      <c r="B33" s="116">
        <v>9.1</v>
      </c>
      <c r="C33" s="116">
        <v>8.92</v>
      </c>
      <c r="D33" s="116">
        <v>8.4600000000000009</v>
      </c>
      <c r="E33" s="116">
        <v>8.57</v>
      </c>
      <c r="F33" s="116">
        <v>8.92</v>
      </c>
      <c r="G33">
        <v>490228</v>
      </c>
      <c r="H33" s="116"/>
      <c r="I33" s="116"/>
      <c r="L33" s="170">
        <v>42047</v>
      </c>
      <c r="M33" s="116">
        <v>8.9499999999999993</v>
      </c>
      <c r="N33" s="116">
        <v>9.15</v>
      </c>
      <c r="O33" s="116">
        <v>8.4499999999999993</v>
      </c>
      <c r="P33" s="116">
        <v>8.65</v>
      </c>
      <c r="Q33" s="116">
        <v>8.9499999999999993</v>
      </c>
      <c r="R33">
        <v>1839031</v>
      </c>
    </row>
    <row r="34" spans="1:18" x14ac:dyDescent="0.25">
      <c r="A34" s="170">
        <v>42048</v>
      </c>
      <c r="B34" s="116">
        <v>9.14</v>
      </c>
      <c r="C34" s="116">
        <v>8.8000000000000007</v>
      </c>
      <c r="D34" s="116">
        <v>8.7200000000000006</v>
      </c>
      <c r="E34" s="116">
        <v>9</v>
      </c>
      <c r="F34" s="116">
        <v>8.8000000000000007</v>
      </c>
      <c r="G34">
        <v>306984</v>
      </c>
      <c r="H34" s="116"/>
      <c r="I34" s="116"/>
      <c r="L34" s="170">
        <v>42048</v>
      </c>
      <c r="M34" s="116">
        <v>8.75</v>
      </c>
      <c r="N34" s="116">
        <v>9.15</v>
      </c>
      <c r="O34" s="116">
        <v>8.75</v>
      </c>
      <c r="P34" s="116">
        <v>9</v>
      </c>
      <c r="Q34" s="116">
        <v>8.75</v>
      </c>
      <c r="R34">
        <v>1032454</v>
      </c>
    </row>
    <row r="35" spans="1:18" x14ac:dyDescent="0.25">
      <c r="A35" s="170">
        <v>42051</v>
      </c>
      <c r="B35" s="116">
        <v>8.98</v>
      </c>
      <c r="C35" s="116">
        <v>8.8000000000000007</v>
      </c>
      <c r="D35" s="116">
        <v>8.6999999999999993</v>
      </c>
      <c r="E35" s="116">
        <v>8.98</v>
      </c>
      <c r="F35" s="116">
        <v>8.8000000000000007</v>
      </c>
      <c r="G35">
        <v>262993</v>
      </c>
      <c r="H35" s="116"/>
      <c r="I35" s="116"/>
      <c r="L35" s="170">
        <v>42051</v>
      </c>
      <c r="M35" s="116">
        <v>8.8000000000000007</v>
      </c>
      <c r="N35" s="116">
        <v>9</v>
      </c>
      <c r="O35" s="116">
        <v>8.6999999999999993</v>
      </c>
      <c r="P35" s="116">
        <v>8.9499999999999993</v>
      </c>
      <c r="Q35" s="116">
        <v>8.8000000000000007</v>
      </c>
      <c r="R35">
        <v>904842</v>
      </c>
    </row>
    <row r="36" spans="1:18" x14ac:dyDescent="0.25">
      <c r="A36" s="170">
        <v>42053</v>
      </c>
      <c r="B36" s="116">
        <v>9.15</v>
      </c>
      <c r="C36" s="116">
        <v>8.8699999999999992</v>
      </c>
      <c r="D36" s="116">
        <v>8.6999999999999993</v>
      </c>
      <c r="E36" s="116">
        <v>8.93</v>
      </c>
      <c r="F36" s="116">
        <v>8.8699999999999992</v>
      </c>
      <c r="G36">
        <v>880538</v>
      </c>
      <c r="H36" s="116"/>
      <c r="I36" s="116"/>
      <c r="L36" s="170">
        <v>42053</v>
      </c>
      <c r="M36" s="116">
        <v>8.85</v>
      </c>
      <c r="N36" s="116">
        <v>9.1</v>
      </c>
      <c r="O36" s="116">
        <v>8.65</v>
      </c>
      <c r="P36" s="116">
        <v>8.8000000000000007</v>
      </c>
      <c r="Q36" s="116">
        <v>8.85</v>
      </c>
      <c r="R36">
        <v>2559143</v>
      </c>
    </row>
    <row r="37" spans="1:18" x14ac:dyDescent="0.25">
      <c r="A37" s="170">
        <v>42054</v>
      </c>
      <c r="B37" s="116">
        <v>9.14</v>
      </c>
      <c r="C37" s="116">
        <v>9.02</v>
      </c>
      <c r="D37" s="116">
        <v>8.9</v>
      </c>
      <c r="E37" s="116">
        <v>9.14</v>
      </c>
      <c r="F37" s="116">
        <v>9.02</v>
      </c>
      <c r="G37">
        <v>415820</v>
      </c>
      <c r="H37" s="116"/>
      <c r="I37" s="116"/>
      <c r="L37" s="170">
        <v>42054</v>
      </c>
      <c r="M37" s="116">
        <v>9</v>
      </c>
      <c r="N37" s="116">
        <v>9.1</v>
      </c>
      <c r="O37" s="116">
        <v>8.9</v>
      </c>
      <c r="P37" s="116">
        <v>9.1</v>
      </c>
      <c r="Q37" s="116">
        <v>9</v>
      </c>
      <c r="R37">
        <v>1398337</v>
      </c>
    </row>
    <row r="38" spans="1:18" x14ac:dyDescent="0.25">
      <c r="A38" s="170">
        <v>42055</v>
      </c>
      <c r="B38" s="116">
        <v>9.1999999999999993</v>
      </c>
      <c r="C38" s="116">
        <v>9.0399999999999991</v>
      </c>
      <c r="D38" s="116">
        <v>8.9600000000000009</v>
      </c>
      <c r="E38" s="116">
        <v>9.02</v>
      </c>
      <c r="F38" s="116">
        <v>9.0399999999999991</v>
      </c>
      <c r="G38">
        <v>469155</v>
      </c>
      <c r="H38" s="116"/>
      <c r="I38" s="116"/>
      <c r="L38" s="170">
        <v>42055</v>
      </c>
      <c r="M38" s="116">
        <v>9.0500000000000007</v>
      </c>
      <c r="N38" s="116">
        <v>9.1999999999999993</v>
      </c>
      <c r="O38" s="116">
        <v>9</v>
      </c>
      <c r="P38" s="116">
        <v>9.1999999999999993</v>
      </c>
      <c r="Q38" s="116">
        <v>9.0500000000000007</v>
      </c>
      <c r="R38">
        <v>1153392</v>
      </c>
    </row>
    <row r="39" spans="1:18" x14ac:dyDescent="0.25">
      <c r="A39" s="170">
        <v>42058</v>
      </c>
      <c r="B39" s="116">
        <v>9.17</v>
      </c>
      <c r="C39" s="116">
        <v>8.9</v>
      </c>
      <c r="D39" s="116">
        <v>8.8000000000000007</v>
      </c>
      <c r="E39" s="116">
        <v>9.0500000000000007</v>
      </c>
      <c r="F39" s="116">
        <v>8.9</v>
      </c>
      <c r="G39">
        <v>275162</v>
      </c>
      <c r="H39" s="116"/>
      <c r="I39" s="116"/>
      <c r="L39" s="170">
        <v>42058</v>
      </c>
      <c r="M39" s="116">
        <v>8.9</v>
      </c>
      <c r="N39" s="116">
        <v>9.1999999999999993</v>
      </c>
      <c r="O39" s="116">
        <v>8.8000000000000007</v>
      </c>
      <c r="P39" s="116">
        <v>9.1999999999999993</v>
      </c>
      <c r="Q39" s="116">
        <v>8.9</v>
      </c>
      <c r="R39">
        <v>913935</v>
      </c>
    </row>
    <row r="40" spans="1:18" x14ac:dyDescent="0.25">
      <c r="A40" s="170">
        <v>42059</v>
      </c>
      <c r="B40" s="116">
        <v>9.0299999999999994</v>
      </c>
      <c r="C40" s="116">
        <v>8.77</v>
      </c>
      <c r="D40" s="116">
        <v>8.75</v>
      </c>
      <c r="E40" s="116">
        <v>8.99</v>
      </c>
      <c r="F40" s="116">
        <v>8.77</v>
      </c>
      <c r="G40">
        <v>274982</v>
      </c>
      <c r="H40" s="116"/>
      <c r="I40" s="116"/>
      <c r="L40" s="170">
        <v>42059</v>
      </c>
      <c r="M40" s="116">
        <v>8.75</v>
      </c>
      <c r="N40" s="116">
        <v>9.0500000000000007</v>
      </c>
      <c r="O40" s="116">
        <v>8.6999999999999993</v>
      </c>
      <c r="P40" s="116">
        <v>9</v>
      </c>
      <c r="Q40" s="116">
        <v>8.75</v>
      </c>
      <c r="R40">
        <v>658720</v>
      </c>
    </row>
    <row r="41" spans="1:18" x14ac:dyDescent="0.25">
      <c r="A41" s="170">
        <v>42060</v>
      </c>
      <c r="B41" s="116">
        <v>9.0299999999999994</v>
      </c>
      <c r="C41" s="116">
        <v>8.9</v>
      </c>
      <c r="D41" s="116">
        <v>8.66</v>
      </c>
      <c r="E41" s="116">
        <v>9</v>
      </c>
      <c r="F41" s="116">
        <v>8.9</v>
      </c>
      <c r="G41">
        <v>399438</v>
      </c>
      <c r="H41" s="116"/>
      <c r="I41" s="116"/>
      <c r="L41" s="170">
        <v>42060</v>
      </c>
      <c r="M41" s="116">
        <v>8.85</v>
      </c>
      <c r="N41" s="116">
        <v>9</v>
      </c>
      <c r="O41" s="116">
        <v>8.65</v>
      </c>
      <c r="P41" s="116">
        <v>8.85</v>
      </c>
      <c r="Q41" s="116">
        <v>8.85</v>
      </c>
      <c r="R41">
        <v>1366413</v>
      </c>
    </row>
    <row r="42" spans="1:18" x14ac:dyDescent="0.25">
      <c r="A42" s="170">
        <v>42061</v>
      </c>
      <c r="B42" s="116">
        <v>9</v>
      </c>
      <c r="C42" s="116">
        <v>8.67</v>
      </c>
      <c r="D42" s="116">
        <v>8.6199999999999992</v>
      </c>
      <c r="E42" s="116">
        <v>9</v>
      </c>
      <c r="F42" s="116">
        <v>8.67</v>
      </c>
      <c r="G42">
        <v>440367</v>
      </c>
      <c r="H42" s="116"/>
      <c r="I42" s="116"/>
      <c r="L42" s="170">
        <v>42061</v>
      </c>
      <c r="M42" s="116">
        <v>8.6999999999999993</v>
      </c>
      <c r="N42" s="116">
        <v>9</v>
      </c>
      <c r="O42" s="116">
        <v>8.65</v>
      </c>
      <c r="P42" s="116">
        <v>8.9499999999999993</v>
      </c>
      <c r="Q42" s="116">
        <v>8.6999999999999993</v>
      </c>
      <c r="R42">
        <v>1289944</v>
      </c>
    </row>
    <row r="43" spans="1:18" x14ac:dyDescent="0.25">
      <c r="A43" s="170">
        <v>42062</v>
      </c>
      <c r="B43" s="116">
        <v>9.1300000000000008</v>
      </c>
      <c r="C43" s="116">
        <v>8.76</v>
      </c>
      <c r="D43" s="116">
        <v>8.69</v>
      </c>
      <c r="E43" s="116">
        <v>8.8800000000000008</v>
      </c>
      <c r="F43" s="116">
        <v>8.76</v>
      </c>
      <c r="G43">
        <v>575495</v>
      </c>
      <c r="H43" s="116"/>
      <c r="I43" s="116"/>
      <c r="L43" s="170">
        <v>42062</v>
      </c>
      <c r="M43" s="116">
        <v>8.75</v>
      </c>
      <c r="N43" s="116">
        <v>9.15</v>
      </c>
      <c r="O43" s="116">
        <v>8.65</v>
      </c>
      <c r="P43" s="116">
        <v>8.8000000000000007</v>
      </c>
      <c r="Q43" s="116">
        <v>8.75</v>
      </c>
      <c r="R43">
        <v>2031252</v>
      </c>
    </row>
    <row r="44" spans="1:18" x14ac:dyDescent="0.25">
      <c r="A44" s="170">
        <v>42063</v>
      </c>
      <c r="B44" s="116">
        <v>9</v>
      </c>
      <c r="C44" s="116">
        <v>8.67</v>
      </c>
      <c r="D44" s="116">
        <v>8.5500000000000007</v>
      </c>
      <c r="E44" s="116">
        <v>9</v>
      </c>
      <c r="F44" s="116">
        <v>8.67</v>
      </c>
      <c r="G44">
        <v>453161</v>
      </c>
      <c r="H44" s="116"/>
      <c r="I44" s="116"/>
      <c r="L44" s="170">
        <v>42063</v>
      </c>
      <c r="M44" s="116">
        <v>8.65</v>
      </c>
      <c r="N44" s="116">
        <v>8.9499999999999993</v>
      </c>
      <c r="O44" s="116">
        <v>8.5500000000000007</v>
      </c>
      <c r="P44" s="116">
        <v>8.85</v>
      </c>
      <c r="Q44" s="116">
        <v>8.65</v>
      </c>
      <c r="R44">
        <v>1091702</v>
      </c>
    </row>
    <row r="45" spans="1:18" x14ac:dyDescent="0.25">
      <c r="A45" s="170">
        <v>42065</v>
      </c>
      <c r="B45" s="116">
        <v>8.75</v>
      </c>
      <c r="C45" s="116">
        <v>8.59</v>
      </c>
      <c r="D45" s="116">
        <v>8.5500000000000007</v>
      </c>
      <c r="E45" s="116">
        <v>8.7200000000000006</v>
      </c>
      <c r="F45" s="116">
        <v>8.59</v>
      </c>
      <c r="G45">
        <v>256819</v>
      </c>
      <c r="H45" s="116"/>
      <c r="I45" s="116"/>
      <c r="L45" s="170">
        <v>42065</v>
      </c>
      <c r="M45" s="116">
        <v>8.6</v>
      </c>
      <c r="N45" s="116">
        <v>8.8000000000000007</v>
      </c>
      <c r="O45" s="116">
        <v>8.5500000000000007</v>
      </c>
      <c r="P45" s="116">
        <v>8.8000000000000007</v>
      </c>
      <c r="Q45" s="116">
        <v>8.6</v>
      </c>
      <c r="R45">
        <v>929050</v>
      </c>
    </row>
    <row r="46" spans="1:18" x14ac:dyDescent="0.25">
      <c r="A46" s="170">
        <v>42066</v>
      </c>
      <c r="B46" s="116">
        <v>9.6</v>
      </c>
      <c r="C46" s="116">
        <v>9.1300000000000008</v>
      </c>
      <c r="D46" s="116">
        <v>8.5299999999999994</v>
      </c>
      <c r="E46" s="116">
        <v>8.65</v>
      </c>
      <c r="F46" s="116">
        <v>9.1300000000000008</v>
      </c>
      <c r="G46">
        <v>1340022</v>
      </c>
      <c r="H46" s="116"/>
      <c r="I46" s="116"/>
      <c r="L46" s="170">
        <v>42066</v>
      </c>
      <c r="M46" s="116">
        <v>9.15</v>
      </c>
      <c r="N46" s="116">
        <v>9.6</v>
      </c>
      <c r="O46" s="116">
        <v>8.5</v>
      </c>
      <c r="P46" s="116">
        <v>8.6999999999999993</v>
      </c>
      <c r="Q46" s="116">
        <v>9.15</v>
      </c>
      <c r="R46">
        <v>6156399</v>
      </c>
    </row>
    <row r="47" spans="1:18" x14ac:dyDescent="0.25">
      <c r="A47" s="170">
        <v>42067</v>
      </c>
      <c r="B47" s="116">
        <v>9.2899999999999991</v>
      </c>
      <c r="C47" s="116">
        <v>8.89</v>
      </c>
      <c r="D47" s="116">
        <v>8.85</v>
      </c>
      <c r="E47" s="116">
        <v>9.2899999999999991</v>
      </c>
      <c r="F47" s="116">
        <v>8.89</v>
      </c>
      <c r="G47">
        <v>790728</v>
      </c>
      <c r="H47" s="116"/>
      <c r="I47" s="116"/>
      <c r="L47" s="170">
        <v>42067</v>
      </c>
      <c r="M47" s="116">
        <v>8.85</v>
      </c>
      <c r="N47" s="116">
        <v>9.3000000000000007</v>
      </c>
      <c r="O47" s="116">
        <v>8.8000000000000007</v>
      </c>
      <c r="P47" s="116">
        <v>9.25</v>
      </c>
      <c r="Q47" s="116">
        <v>8.85</v>
      </c>
      <c r="R47">
        <v>3636185</v>
      </c>
    </row>
    <row r="48" spans="1:18" x14ac:dyDescent="0.25">
      <c r="A48" s="170">
        <v>42068</v>
      </c>
      <c r="B48" s="116">
        <v>8.94</v>
      </c>
      <c r="C48" s="116">
        <v>8.76</v>
      </c>
      <c r="D48" s="116">
        <v>8.7200000000000006</v>
      </c>
      <c r="E48" s="116">
        <v>8.93</v>
      </c>
      <c r="F48" s="116">
        <v>8.76</v>
      </c>
      <c r="G48">
        <v>373405</v>
      </c>
      <c r="H48" s="116"/>
      <c r="I48" s="116"/>
      <c r="L48" s="170">
        <v>42068</v>
      </c>
      <c r="M48" s="116">
        <v>8.75</v>
      </c>
      <c r="N48" s="116">
        <v>8.9499999999999993</v>
      </c>
      <c r="O48" s="116">
        <v>8.75</v>
      </c>
      <c r="P48" s="116">
        <v>8.85</v>
      </c>
      <c r="Q48" s="116">
        <v>8.75</v>
      </c>
      <c r="R48">
        <v>1032110</v>
      </c>
    </row>
    <row r="49" spans="1:18" x14ac:dyDescent="0.25">
      <c r="A49" s="170">
        <v>42072</v>
      </c>
      <c r="B49" s="116">
        <v>8.85</v>
      </c>
      <c r="C49" s="116">
        <v>8.5299999999999994</v>
      </c>
      <c r="D49" s="116">
        <v>8.5</v>
      </c>
      <c r="E49" s="116">
        <v>8.85</v>
      </c>
      <c r="F49" s="116">
        <v>8.5299999999999994</v>
      </c>
      <c r="G49">
        <v>504866</v>
      </c>
      <c r="H49" s="116"/>
      <c r="I49" s="116"/>
      <c r="L49" s="170">
        <v>42072</v>
      </c>
      <c r="M49" s="116">
        <v>8.5</v>
      </c>
      <c r="N49" s="116">
        <v>8.8000000000000007</v>
      </c>
      <c r="O49" s="116">
        <v>8.5</v>
      </c>
      <c r="P49" s="116">
        <v>8.8000000000000007</v>
      </c>
      <c r="Q49" s="116">
        <v>8.5</v>
      </c>
      <c r="R49">
        <v>1066721</v>
      </c>
    </row>
    <row r="50" spans="1:18" x14ac:dyDescent="0.25">
      <c r="A50" s="170">
        <v>42073</v>
      </c>
      <c r="B50" s="116">
        <v>9.24</v>
      </c>
      <c r="C50" s="116">
        <v>8.6999999999999993</v>
      </c>
      <c r="D50" s="116">
        <v>8.4</v>
      </c>
      <c r="E50" s="116">
        <v>8.8000000000000007</v>
      </c>
      <c r="F50" s="116">
        <v>8.6999999999999993</v>
      </c>
      <c r="G50">
        <v>992577</v>
      </c>
      <c r="H50" s="116"/>
      <c r="I50" s="116"/>
      <c r="L50" s="170">
        <v>42073</v>
      </c>
      <c r="M50" s="116">
        <v>8.65</v>
      </c>
      <c r="N50" s="116">
        <v>9.1999999999999993</v>
      </c>
      <c r="O50" s="116">
        <v>8.4</v>
      </c>
      <c r="P50" s="116">
        <v>8.75</v>
      </c>
      <c r="Q50" s="116">
        <v>8.65</v>
      </c>
      <c r="R50">
        <v>3232948</v>
      </c>
    </row>
    <row r="51" spans="1:18" x14ac:dyDescent="0.25">
      <c r="A51" s="170">
        <v>42074</v>
      </c>
      <c r="B51" s="116">
        <v>9.1</v>
      </c>
      <c r="C51" s="116">
        <v>8.85</v>
      </c>
      <c r="D51" s="116">
        <v>8.75</v>
      </c>
      <c r="E51" s="116">
        <v>8.9499999999999993</v>
      </c>
      <c r="F51" s="116">
        <v>8.85</v>
      </c>
      <c r="G51">
        <v>776371</v>
      </c>
      <c r="H51" s="116"/>
      <c r="I51" s="116"/>
      <c r="L51" s="170">
        <v>42074</v>
      </c>
      <c r="M51" s="116">
        <v>8.85</v>
      </c>
      <c r="N51" s="116">
        <v>9.1</v>
      </c>
      <c r="O51" s="116">
        <v>8.75</v>
      </c>
      <c r="P51" s="116">
        <v>8.9499999999999993</v>
      </c>
      <c r="Q51" s="116">
        <v>8.85</v>
      </c>
      <c r="R51">
        <v>3765981</v>
      </c>
    </row>
    <row r="52" spans="1:18" x14ac:dyDescent="0.25">
      <c r="A52" s="170">
        <v>42075</v>
      </c>
      <c r="B52" s="116">
        <v>9.15</v>
      </c>
      <c r="C52" s="116">
        <v>9.0500000000000007</v>
      </c>
      <c r="D52" s="116">
        <v>8.8699999999999992</v>
      </c>
      <c r="E52" s="116">
        <v>9.0500000000000007</v>
      </c>
      <c r="F52" s="116">
        <v>9.0500000000000007</v>
      </c>
      <c r="G52">
        <v>730420</v>
      </c>
      <c r="H52" s="116"/>
      <c r="I52" s="116"/>
      <c r="L52" s="170">
        <v>42075</v>
      </c>
      <c r="M52" s="116">
        <v>9.0500000000000007</v>
      </c>
      <c r="N52" s="116">
        <v>9.15</v>
      </c>
      <c r="O52" s="116">
        <v>8.9</v>
      </c>
      <c r="P52" s="116">
        <v>9.1</v>
      </c>
      <c r="Q52" s="116">
        <v>9.0500000000000007</v>
      </c>
      <c r="R52">
        <v>2417643</v>
      </c>
    </row>
    <row r="53" spans="1:18" x14ac:dyDescent="0.25">
      <c r="A53" s="170">
        <v>42076</v>
      </c>
      <c r="B53" s="116">
        <v>9.14</v>
      </c>
      <c r="C53" s="116">
        <v>8.7799999999999994</v>
      </c>
      <c r="D53" s="116">
        <v>8.75</v>
      </c>
      <c r="E53" s="116">
        <v>9.1</v>
      </c>
      <c r="F53" s="116">
        <v>8.7799999999999994</v>
      </c>
      <c r="G53">
        <v>814485</v>
      </c>
      <c r="H53" s="116"/>
      <c r="I53" s="116"/>
      <c r="L53" s="170">
        <v>42076</v>
      </c>
      <c r="M53" s="116">
        <v>8.75</v>
      </c>
      <c r="N53" s="116">
        <v>9.1999999999999993</v>
      </c>
      <c r="O53" s="116">
        <v>8.6999999999999993</v>
      </c>
      <c r="P53" s="116">
        <v>9.1</v>
      </c>
      <c r="Q53" s="116">
        <v>8.75</v>
      </c>
      <c r="R53">
        <v>1783198</v>
      </c>
    </row>
    <row r="54" spans="1:18" x14ac:dyDescent="0.25">
      <c r="A54" s="170">
        <v>42079</v>
      </c>
      <c r="B54" s="116">
        <v>8.9</v>
      </c>
      <c r="C54" s="116">
        <v>8.58</v>
      </c>
      <c r="D54" s="116">
        <v>8.52</v>
      </c>
      <c r="E54" s="116">
        <v>8.76</v>
      </c>
      <c r="F54" s="116">
        <v>8.58</v>
      </c>
      <c r="G54">
        <v>418689</v>
      </c>
      <c r="H54" s="116"/>
      <c r="I54" s="116"/>
      <c r="L54" s="170">
        <v>42079</v>
      </c>
      <c r="M54" s="116">
        <v>8.5500000000000007</v>
      </c>
      <c r="N54" s="116">
        <v>8.85</v>
      </c>
      <c r="O54" s="116">
        <v>8.5</v>
      </c>
      <c r="P54" s="116">
        <v>8.85</v>
      </c>
      <c r="Q54" s="116">
        <v>8.5500000000000007</v>
      </c>
      <c r="R54">
        <v>1255776</v>
      </c>
    </row>
    <row r="55" spans="1:18" x14ac:dyDescent="0.25">
      <c r="A55" s="170">
        <v>42080</v>
      </c>
      <c r="B55" s="116">
        <v>8.74</v>
      </c>
      <c r="C55" s="116">
        <v>8.44</v>
      </c>
      <c r="D55" s="116">
        <v>8.35</v>
      </c>
      <c r="E55" s="116">
        <v>8.73</v>
      </c>
      <c r="F55" s="116">
        <v>8.44</v>
      </c>
      <c r="G55">
        <v>333628</v>
      </c>
      <c r="H55" s="116"/>
      <c r="I55" s="116"/>
      <c r="L55" s="170">
        <v>42080</v>
      </c>
      <c r="M55" s="116">
        <v>8.4499999999999993</v>
      </c>
      <c r="N55" s="116">
        <v>8.8000000000000007</v>
      </c>
      <c r="O55" s="116">
        <v>8.3000000000000007</v>
      </c>
      <c r="P55" s="116">
        <v>8.5500000000000007</v>
      </c>
      <c r="Q55" s="116">
        <v>8.4499999999999993</v>
      </c>
      <c r="R55">
        <v>1588774</v>
      </c>
    </row>
    <row r="56" spans="1:18" x14ac:dyDescent="0.25">
      <c r="A56" s="170">
        <v>42081</v>
      </c>
      <c r="B56" s="116">
        <v>8.75</v>
      </c>
      <c r="C56" s="116">
        <v>8.43</v>
      </c>
      <c r="D56" s="116">
        <v>8.35</v>
      </c>
      <c r="E56" s="116">
        <v>8.75</v>
      </c>
      <c r="F56" s="116">
        <v>8.43</v>
      </c>
      <c r="G56">
        <v>621562</v>
      </c>
      <c r="H56" s="116"/>
      <c r="I56" s="116"/>
      <c r="L56" s="170">
        <v>42081</v>
      </c>
      <c r="M56" s="116">
        <v>8.4</v>
      </c>
      <c r="N56" s="116">
        <v>8.65</v>
      </c>
      <c r="O56" s="116">
        <v>8.3000000000000007</v>
      </c>
      <c r="P56" s="116">
        <v>8.5</v>
      </c>
      <c r="Q56" s="116">
        <v>8.4</v>
      </c>
      <c r="R56">
        <v>1499656</v>
      </c>
    </row>
    <row r="57" spans="1:18" x14ac:dyDescent="0.25">
      <c r="A57" s="170">
        <v>42082</v>
      </c>
      <c r="B57" s="116">
        <v>8.6</v>
      </c>
      <c r="C57" s="116">
        <v>8.2799999999999994</v>
      </c>
      <c r="D57" s="116">
        <v>8.25</v>
      </c>
      <c r="E57" s="116">
        <v>8.51</v>
      </c>
      <c r="F57" s="116">
        <v>8.2799999999999994</v>
      </c>
      <c r="G57">
        <v>616266</v>
      </c>
      <c r="H57" s="116"/>
      <c r="I57" s="116"/>
      <c r="L57" s="170">
        <v>42082</v>
      </c>
      <c r="M57" s="116">
        <v>8.25</v>
      </c>
      <c r="N57" s="116">
        <v>8.6</v>
      </c>
      <c r="O57" s="116">
        <v>8.1999999999999993</v>
      </c>
      <c r="P57" s="116">
        <v>8.6</v>
      </c>
      <c r="Q57" s="116">
        <v>8.25</v>
      </c>
      <c r="R57">
        <v>1226864</v>
      </c>
    </row>
    <row r="58" spans="1:18" x14ac:dyDescent="0.25">
      <c r="A58" s="170">
        <v>42083</v>
      </c>
      <c r="B58" s="116">
        <v>8.4499999999999993</v>
      </c>
      <c r="C58" s="116">
        <v>8.09</v>
      </c>
      <c r="D58" s="116">
        <v>8.02</v>
      </c>
      <c r="E58" s="116">
        <v>8.25</v>
      </c>
      <c r="F58" s="116">
        <v>8.09</v>
      </c>
      <c r="G58">
        <v>479256</v>
      </c>
      <c r="H58" s="116"/>
      <c r="I58" s="116"/>
      <c r="L58" s="170">
        <v>42083</v>
      </c>
      <c r="M58" s="116">
        <v>8.1</v>
      </c>
      <c r="N58" s="116">
        <v>8.4</v>
      </c>
      <c r="O58" s="116">
        <v>8</v>
      </c>
      <c r="P58" s="116">
        <v>8.4</v>
      </c>
      <c r="Q58" s="116">
        <v>8.1</v>
      </c>
      <c r="R58">
        <v>1172045</v>
      </c>
    </row>
    <row r="59" spans="1:18" x14ac:dyDescent="0.25">
      <c r="A59" s="170">
        <v>42086</v>
      </c>
      <c r="B59" s="116">
        <v>8.1300000000000008</v>
      </c>
      <c r="C59" s="116">
        <v>7.81</v>
      </c>
      <c r="D59" s="116">
        <v>7.72</v>
      </c>
      <c r="E59" s="116">
        <v>8</v>
      </c>
      <c r="F59" s="116">
        <v>7.81</v>
      </c>
      <c r="G59">
        <v>557603</v>
      </c>
      <c r="H59" s="116"/>
      <c r="I59" s="116"/>
      <c r="L59" s="170">
        <v>42086</v>
      </c>
      <c r="M59" s="116">
        <v>7.85</v>
      </c>
      <c r="N59" s="116">
        <v>8.15</v>
      </c>
      <c r="O59" s="116">
        <v>7.75</v>
      </c>
      <c r="P59" s="116">
        <v>8.1</v>
      </c>
      <c r="Q59" s="116">
        <v>7.85</v>
      </c>
      <c r="R59">
        <v>1374906</v>
      </c>
    </row>
    <row r="60" spans="1:18" x14ac:dyDescent="0.25">
      <c r="A60" s="170">
        <v>42087</v>
      </c>
      <c r="B60" s="116">
        <v>8.08</v>
      </c>
      <c r="C60" s="116">
        <v>7.71</v>
      </c>
      <c r="D60" s="116">
        <v>7.68</v>
      </c>
      <c r="E60" s="116">
        <v>7.95</v>
      </c>
      <c r="F60" s="116">
        <v>7.71</v>
      </c>
      <c r="G60">
        <v>406284</v>
      </c>
      <c r="H60" s="116"/>
      <c r="I60" s="116"/>
      <c r="L60" s="170">
        <v>42087</v>
      </c>
      <c r="M60" s="116">
        <v>7.65</v>
      </c>
      <c r="N60" s="116">
        <v>8.1</v>
      </c>
      <c r="O60" s="116">
        <v>7.6</v>
      </c>
      <c r="P60" s="116">
        <v>7.9</v>
      </c>
      <c r="Q60" s="116">
        <v>7.65</v>
      </c>
      <c r="R60">
        <v>1348096</v>
      </c>
    </row>
    <row r="61" spans="1:18" x14ac:dyDescent="0.25">
      <c r="A61" s="170">
        <v>42088</v>
      </c>
      <c r="B61" s="116">
        <v>8.14</v>
      </c>
      <c r="C61" s="116">
        <v>7.82</v>
      </c>
      <c r="D61" s="116">
        <v>7.55</v>
      </c>
      <c r="E61" s="116">
        <v>7.55</v>
      </c>
      <c r="F61" s="116">
        <v>7.82</v>
      </c>
      <c r="G61">
        <v>595654</v>
      </c>
      <c r="H61" s="116"/>
      <c r="I61" s="116"/>
      <c r="L61" s="170">
        <v>42088</v>
      </c>
      <c r="M61" s="116">
        <v>7.8</v>
      </c>
      <c r="N61" s="116">
        <v>8.15</v>
      </c>
      <c r="O61" s="116">
        <v>7.7</v>
      </c>
      <c r="P61" s="116">
        <v>7.7</v>
      </c>
      <c r="Q61" s="116">
        <v>7.8</v>
      </c>
      <c r="R61">
        <v>1726687</v>
      </c>
    </row>
    <row r="62" spans="1:18" x14ac:dyDescent="0.25">
      <c r="A62" s="170">
        <v>42089</v>
      </c>
      <c r="B62" s="116">
        <v>7.89</v>
      </c>
      <c r="C62" s="116">
        <v>7.8</v>
      </c>
      <c r="D62" s="116">
        <v>7.69</v>
      </c>
      <c r="E62" s="116">
        <v>7.8</v>
      </c>
      <c r="F62" s="116">
        <v>7.8</v>
      </c>
      <c r="G62">
        <v>1128531</v>
      </c>
      <c r="H62" s="116"/>
      <c r="I62" s="116"/>
      <c r="L62" s="170">
        <v>42089</v>
      </c>
      <c r="M62" s="116">
        <v>7.8</v>
      </c>
      <c r="N62" s="116">
        <v>7.9</v>
      </c>
      <c r="O62" s="116">
        <v>7.7</v>
      </c>
      <c r="P62" s="116">
        <v>7.8</v>
      </c>
      <c r="Q62" s="116">
        <v>7.8</v>
      </c>
      <c r="R62">
        <v>878518</v>
      </c>
    </row>
    <row r="63" spans="1:18" x14ac:dyDescent="0.25">
      <c r="A63" s="170">
        <v>42090</v>
      </c>
      <c r="B63" s="116">
        <v>8.18</v>
      </c>
      <c r="C63" s="116">
        <v>7.68</v>
      </c>
      <c r="D63" s="116">
        <v>7.65</v>
      </c>
      <c r="E63" s="116">
        <v>8</v>
      </c>
      <c r="F63" s="116">
        <v>7.68</v>
      </c>
      <c r="G63">
        <v>558104</v>
      </c>
      <c r="H63" s="116"/>
      <c r="I63" s="116"/>
      <c r="L63" s="170">
        <v>42090</v>
      </c>
      <c r="M63" s="116">
        <v>7.7</v>
      </c>
      <c r="N63" s="116">
        <v>8.25</v>
      </c>
      <c r="O63" s="116">
        <v>7.65</v>
      </c>
      <c r="P63" s="116">
        <v>8</v>
      </c>
      <c r="Q63" s="116">
        <v>7.7</v>
      </c>
      <c r="R63">
        <v>2134229</v>
      </c>
    </row>
    <row r="64" spans="1:18" x14ac:dyDescent="0.25">
      <c r="A64" s="170">
        <v>42093</v>
      </c>
      <c r="B64" s="116">
        <v>8.1</v>
      </c>
      <c r="C64" s="116">
        <v>7.87</v>
      </c>
      <c r="D64" s="116">
        <v>7.75</v>
      </c>
      <c r="E64" s="116">
        <v>7.75</v>
      </c>
      <c r="F64" s="116">
        <v>7.87</v>
      </c>
      <c r="G64">
        <v>460651</v>
      </c>
      <c r="H64" s="116"/>
      <c r="I64" s="116"/>
      <c r="L64" s="170">
        <v>42093</v>
      </c>
      <c r="M64" s="116">
        <v>7.9</v>
      </c>
      <c r="N64" s="116">
        <v>8.1</v>
      </c>
      <c r="O64" s="116">
        <v>7.8</v>
      </c>
      <c r="P64" s="116">
        <v>7.95</v>
      </c>
      <c r="Q64" s="116">
        <v>7.9</v>
      </c>
      <c r="R64">
        <v>2250079</v>
      </c>
    </row>
    <row r="65" spans="1:18" x14ac:dyDescent="0.25">
      <c r="A65" s="170">
        <v>42094</v>
      </c>
      <c r="B65" s="116">
        <v>8.0500000000000007</v>
      </c>
      <c r="C65" s="116">
        <v>7.9</v>
      </c>
      <c r="D65" s="116">
        <v>7.85</v>
      </c>
      <c r="E65" s="116">
        <v>7.99</v>
      </c>
      <c r="F65" s="116">
        <v>7.9</v>
      </c>
      <c r="G65">
        <v>369034</v>
      </c>
      <c r="H65" s="116"/>
      <c r="I65" s="116"/>
      <c r="L65" s="170">
        <v>42094</v>
      </c>
      <c r="M65" s="116">
        <v>7.85</v>
      </c>
      <c r="N65" s="116">
        <v>8.0500000000000007</v>
      </c>
      <c r="O65" s="116">
        <v>7.8</v>
      </c>
      <c r="P65" s="116">
        <v>8</v>
      </c>
      <c r="Q65" s="116">
        <v>7.85</v>
      </c>
      <c r="R65">
        <v>1166175</v>
      </c>
    </row>
    <row r="66" spans="1:18" x14ac:dyDescent="0.25">
      <c r="A66" s="170">
        <v>42095</v>
      </c>
      <c r="B66" s="116">
        <v>8.33</v>
      </c>
      <c r="C66" s="116">
        <v>8.16</v>
      </c>
      <c r="D66" s="116">
        <v>7.83</v>
      </c>
      <c r="E66" s="116">
        <v>7.93</v>
      </c>
      <c r="F66" s="116">
        <v>8.16</v>
      </c>
      <c r="G66">
        <v>584785</v>
      </c>
      <c r="H66" s="116"/>
      <c r="I66" s="116"/>
      <c r="L66" s="170">
        <v>42095</v>
      </c>
      <c r="M66" s="116">
        <v>8.1999999999999993</v>
      </c>
      <c r="N66" s="116">
        <v>8.3000000000000007</v>
      </c>
      <c r="O66" s="116">
        <v>7.85</v>
      </c>
      <c r="P66" s="116">
        <v>8</v>
      </c>
      <c r="Q66" s="116">
        <v>8.1999999999999993</v>
      </c>
      <c r="R66">
        <v>2064288</v>
      </c>
    </row>
    <row r="67" spans="1:18" x14ac:dyDescent="0.25">
      <c r="A67" s="170">
        <v>42100</v>
      </c>
      <c r="B67" s="116">
        <v>8.25</v>
      </c>
      <c r="C67" s="116">
        <v>7.94</v>
      </c>
      <c r="D67" s="116">
        <v>7.85</v>
      </c>
      <c r="E67" s="116">
        <v>8.25</v>
      </c>
      <c r="F67" s="116">
        <v>7.94</v>
      </c>
      <c r="G67">
        <v>517147</v>
      </c>
      <c r="H67" s="116"/>
      <c r="I67" s="116"/>
      <c r="L67" s="170">
        <v>42100</v>
      </c>
      <c r="M67" s="116">
        <v>7.9</v>
      </c>
      <c r="N67" s="116">
        <v>8.15</v>
      </c>
      <c r="O67" s="116">
        <v>7.85</v>
      </c>
      <c r="P67" s="116">
        <v>8.15</v>
      </c>
      <c r="Q67" s="116">
        <v>7.9</v>
      </c>
      <c r="R67">
        <v>1770688</v>
      </c>
    </row>
    <row r="68" spans="1:18" x14ac:dyDescent="0.25">
      <c r="A68" s="170">
        <v>42101</v>
      </c>
      <c r="B68" s="116">
        <v>8.1999999999999993</v>
      </c>
      <c r="C68" s="116">
        <v>8.09</v>
      </c>
      <c r="D68" s="116">
        <v>7.85</v>
      </c>
      <c r="E68" s="116">
        <v>8</v>
      </c>
      <c r="F68" s="116">
        <v>8.09</v>
      </c>
      <c r="G68">
        <v>712833</v>
      </c>
      <c r="H68" s="116"/>
      <c r="I68" s="116"/>
      <c r="L68" s="170">
        <v>42101</v>
      </c>
      <c r="M68" s="116">
        <v>8.0500000000000007</v>
      </c>
      <c r="N68" s="116">
        <v>8.1999999999999993</v>
      </c>
      <c r="O68" s="116">
        <v>7.85</v>
      </c>
      <c r="P68" s="116">
        <v>8.0500000000000007</v>
      </c>
      <c r="Q68" s="116">
        <v>8.0500000000000007</v>
      </c>
      <c r="R68">
        <v>2197149</v>
      </c>
    </row>
    <row r="69" spans="1:18" x14ac:dyDescent="0.25">
      <c r="A69" s="170">
        <v>42102</v>
      </c>
      <c r="B69" s="116">
        <v>8.09</v>
      </c>
      <c r="C69" s="116">
        <v>8.02</v>
      </c>
      <c r="D69" s="116">
        <v>7.95</v>
      </c>
      <c r="E69" s="116">
        <v>8.02</v>
      </c>
      <c r="F69" s="116">
        <v>8.02</v>
      </c>
      <c r="G69">
        <v>448110</v>
      </c>
      <c r="H69" s="116"/>
      <c r="I69" s="116"/>
      <c r="L69" s="170">
        <v>42102</v>
      </c>
      <c r="M69" s="116">
        <v>7.95</v>
      </c>
      <c r="N69" s="116">
        <v>8.1</v>
      </c>
      <c r="O69" s="116">
        <v>7.9</v>
      </c>
      <c r="P69" s="116">
        <v>8.0500000000000007</v>
      </c>
      <c r="Q69" s="116">
        <v>7.95</v>
      </c>
      <c r="R69">
        <v>1991256</v>
      </c>
    </row>
    <row r="70" spans="1:18" x14ac:dyDescent="0.25">
      <c r="A70" s="170">
        <v>42103</v>
      </c>
      <c r="B70" s="116">
        <v>8.1300000000000008</v>
      </c>
      <c r="C70" s="116">
        <v>7.98</v>
      </c>
      <c r="D70" s="116">
        <v>7.85</v>
      </c>
      <c r="E70" s="116">
        <v>8.1</v>
      </c>
      <c r="F70" s="116">
        <v>7.98</v>
      </c>
      <c r="G70">
        <v>496002</v>
      </c>
      <c r="H70" s="116"/>
      <c r="I70" s="116"/>
      <c r="L70" s="170">
        <v>42103</v>
      </c>
      <c r="M70" s="116">
        <v>7.9</v>
      </c>
      <c r="N70" s="116">
        <v>8.1</v>
      </c>
      <c r="O70" s="116">
        <v>7.85</v>
      </c>
      <c r="P70" s="116">
        <v>8.0500000000000007</v>
      </c>
      <c r="Q70" s="116">
        <v>7.9</v>
      </c>
      <c r="R70">
        <v>1919548</v>
      </c>
    </row>
    <row r="71" spans="1:18" x14ac:dyDescent="0.25">
      <c r="A71" s="170">
        <v>42104</v>
      </c>
      <c r="B71" s="116">
        <v>8.6</v>
      </c>
      <c r="C71" s="116">
        <v>8.23</v>
      </c>
      <c r="D71" s="116">
        <v>7.9</v>
      </c>
      <c r="E71" s="116">
        <v>8.0500000000000007</v>
      </c>
      <c r="F71" s="116">
        <v>8.23</v>
      </c>
      <c r="G71">
        <v>1070810</v>
      </c>
      <c r="H71" s="116"/>
      <c r="I71" s="116"/>
      <c r="L71" s="170">
        <v>42104</v>
      </c>
      <c r="M71" s="116">
        <v>8.1999999999999993</v>
      </c>
      <c r="N71" s="116">
        <v>8.6</v>
      </c>
      <c r="O71" s="116">
        <v>7.9</v>
      </c>
      <c r="P71" s="116">
        <v>8.0500000000000007</v>
      </c>
      <c r="Q71" s="116">
        <v>8.1999999999999993</v>
      </c>
      <c r="R71">
        <v>4827709</v>
      </c>
    </row>
    <row r="72" spans="1:18" x14ac:dyDescent="0.25">
      <c r="A72" s="170">
        <v>42107</v>
      </c>
      <c r="B72" s="116">
        <v>8.48</v>
      </c>
      <c r="C72" s="116">
        <v>8.1199999999999992</v>
      </c>
      <c r="D72" s="116">
        <v>8.0299999999999994</v>
      </c>
      <c r="E72" s="116">
        <v>8.3800000000000008</v>
      </c>
      <c r="F72" s="116">
        <v>8.1199999999999992</v>
      </c>
      <c r="G72">
        <v>599764</v>
      </c>
      <c r="H72" s="116"/>
      <c r="I72" s="116"/>
      <c r="L72" s="170">
        <v>42107</v>
      </c>
      <c r="M72" s="116">
        <v>8.1</v>
      </c>
      <c r="N72" s="116">
        <v>8.5</v>
      </c>
      <c r="O72" s="116">
        <v>8</v>
      </c>
      <c r="P72" s="116">
        <v>8.1</v>
      </c>
      <c r="Q72" s="116">
        <v>8.1</v>
      </c>
      <c r="R72">
        <v>1829678</v>
      </c>
    </row>
    <row r="73" spans="1:18" x14ac:dyDescent="0.25">
      <c r="A73" s="170">
        <v>42109</v>
      </c>
      <c r="B73" s="116">
        <v>8.93</v>
      </c>
      <c r="C73" s="116">
        <v>8.5</v>
      </c>
      <c r="D73" s="116">
        <v>8.06</v>
      </c>
      <c r="E73" s="116">
        <v>8.1999999999999993</v>
      </c>
      <c r="F73" s="116">
        <v>8.5</v>
      </c>
      <c r="G73">
        <v>1955946</v>
      </c>
      <c r="H73" s="116"/>
      <c r="I73" s="116"/>
      <c r="L73" s="170">
        <v>42109</v>
      </c>
      <c r="M73" s="116">
        <v>8.5</v>
      </c>
      <c r="N73" s="116">
        <v>8.9</v>
      </c>
      <c r="O73" s="116">
        <v>8.0500000000000007</v>
      </c>
      <c r="P73" s="116">
        <v>8.1999999999999993</v>
      </c>
      <c r="Q73" s="116">
        <v>8.5</v>
      </c>
      <c r="R73">
        <v>5340150</v>
      </c>
    </row>
    <row r="74" spans="1:18" x14ac:dyDescent="0.25">
      <c r="A74" s="170">
        <v>42110</v>
      </c>
      <c r="B74" s="116">
        <v>8.56</v>
      </c>
      <c r="C74" s="116">
        <v>8.36</v>
      </c>
      <c r="D74" s="116">
        <v>8.3000000000000007</v>
      </c>
      <c r="E74" s="116">
        <v>8.5</v>
      </c>
      <c r="F74" s="116">
        <v>8.36</v>
      </c>
      <c r="G74">
        <v>541493</v>
      </c>
      <c r="H74" s="116"/>
      <c r="I74" s="116"/>
      <c r="L74" s="170">
        <v>42110</v>
      </c>
      <c r="M74" s="116">
        <v>8.3000000000000007</v>
      </c>
      <c r="N74" s="116">
        <v>8.5500000000000007</v>
      </c>
      <c r="O74" s="116">
        <v>8.3000000000000007</v>
      </c>
      <c r="P74" s="116">
        <v>8.5</v>
      </c>
      <c r="Q74" s="116">
        <v>8.3000000000000007</v>
      </c>
      <c r="R74">
        <v>1662968</v>
      </c>
    </row>
    <row r="75" spans="1:18" x14ac:dyDescent="0.25">
      <c r="A75" s="170">
        <v>42111</v>
      </c>
      <c r="B75" s="116">
        <v>8.6999999999999993</v>
      </c>
      <c r="C75" s="116">
        <v>8.44</v>
      </c>
      <c r="D75" s="116">
        <v>8.26</v>
      </c>
      <c r="E75" s="116">
        <v>8.31</v>
      </c>
      <c r="F75" s="116">
        <v>8.44</v>
      </c>
      <c r="G75">
        <v>511307</v>
      </c>
      <c r="H75" s="116"/>
      <c r="I75" s="116"/>
      <c r="L75" s="170">
        <v>42111</v>
      </c>
      <c r="M75" s="116">
        <v>8.4499999999999993</v>
      </c>
      <c r="N75" s="116">
        <v>8.75</v>
      </c>
      <c r="O75" s="116">
        <v>8.3000000000000007</v>
      </c>
      <c r="P75" s="116">
        <v>8.4</v>
      </c>
      <c r="Q75" s="116">
        <v>8.4499999999999993</v>
      </c>
      <c r="R75">
        <v>2243478</v>
      </c>
    </row>
    <row r="76" spans="1:18" x14ac:dyDescent="0.25">
      <c r="A76" s="170">
        <v>42114</v>
      </c>
      <c r="B76" s="116">
        <v>8.52</v>
      </c>
      <c r="C76" s="116">
        <v>8.1999999999999993</v>
      </c>
      <c r="D76" s="116">
        <v>8.15</v>
      </c>
      <c r="E76" s="116">
        <v>8.4499999999999993</v>
      </c>
      <c r="F76" s="116">
        <v>8.1999999999999993</v>
      </c>
      <c r="G76">
        <v>412407</v>
      </c>
      <c r="H76" s="116"/>
      <c r="I76" s="116"/>
      <c r="L76" s="170">
        <v>42114</v>
      </c>
      <c r="M76" s="116">
        <v>8.15</v>
      </c>
      <c r="N76" s="116">
        <v>8.5500000000000007</v>
      </c>
      <c r="O76" s="116">
        <v>8.1</v>
      </c>
      <c r="P76" s="116">
        <v>8.5500000000000007</v>
      </c>
      <c r="Q76" s="116">
        <v>8.15</v>
      </c>
      <c r="R76">
        <v>1442185</v>
      </c>
    </row>
    <row r="77" spans="1:18" x14ac:dyDescent="0.25">
      <c r="A77" s="170">
        <v>42115</v>
      </c>
      <c r="B77" s="116">
        <v>8.2200000000000006</v>
      </c>
      <c r="C77" s="116">
        <v>8.11</v>
      </c>
      <c r="D77" s="116">
        <v>8.07</v>
      </c>
      <c r="E77" s="116">
        <v>8.19</v>
      </c>
      <c r="F77" s="116">
        <v>8.11</v>
      </c>
      <c r="G77">
        <v>301434</v>
      </c>
      <c r="H77" s="116"/>
      <c r="I77" s="116"/>
      <c r="L77" s="170">
        <v>42115</v>
      </c>
      <c r="M77" s="116">
        <v>8.0500000000000007</v>
      </c>
      <c r="N77" s="116">
        <v>8.25</v>
      </c>
      <c r="O77" s="116">
        <v>8.0500000000000007</v>
      </c>
      <c r="P77" s="116">
        <v>8.1</v>
      </c>
      <c r="Q77" s="116">
        <v>8.0500000000000007</v>
      </c>
      <c r="R77">
        <v>1236896</v>
      </c>
    </row>
    <row r="78" spans="1:18" x14ac:dyDescent="0.25">
      <c r="A78" s="170">
        <v>42116</v>
      </c>
      <c r="B78" s="116">
        <v>8.19</v>
      </c>
      <c r="C78" s="116">
        <v>8.06</v>
      </c>
      <c r="D78" s="116">
        <v>7.97</v>
      </c>
      <c r="E78" s="116">
        <v>8.11</v>
      </c>
      <c r="F78" s="116">
        <v>8.06</v>
      </c>
      <c r="G78">
        <v>400675</v>
      </c>
      <c r="H78" s="116"/>
      <c r="I78" s="116"/>
      <c r="L78" s="170">
        <v>42116</v>
      </c>
      <c r="M78" s="116">
        <v>8</v>
      </c>
      <c r="N78" s="116">
        <v>8.25</v>
      </c>
      <c r="O78" s="116">
        <v>7.95</v>
      </c>
      <c r="P78" s="116">
        <v>8.25</v>
      </c>
      <c r="Q78" s="116">
        <v>8</v>
      </c>
      <c r="R78">
        <v>1507249</v>
      </c>
    </row>
    <row r="79" spans="1:18" x14ac:dyDescent="0.25">
      <c r="A79" s="170">
        <v>42117</v>
      </c>
      <c r="B79" s="116">
        <v>8.1199999999999992</v>
      </c>
      <c r="C79" s="116">
        <v>8.06</v>
      </c>
      <c r="D79" s="116">
        <v>8</v>
      </c>
      <c r="E79" s="116">
        <v>8.1199999999999992</v>
      </c>
      <c r="F79" s="116">
        <v>8.06</v>
      </c>
      <c r="G79">
        <v>125860</v>
      </c>
      <c r="H79" s="116"/>
      <c r="I79" s="116"/>
      <c r="L79" s="170">
        <v>42117</v>
      </c>
      <c r="M79" s="116">
        <v>8</v>
      </c>
      <c r="N79" s="116">
        <v>8.1999999999999993</v>
      </c>
      <c r="O79" s="116">
        <v>8</v>
      </c>
      <c r="P79" s="116">
        <v>8.1999999999999993</v>
      </c>
      <c r="Q79" s="116">
        <v>8</v>
      </c>
      <c r="R79">
        <v>1094073</v>
      </c>
    </row>
    <row r="80" spans="1:18" x14ac:dyDescent="0.25">
      <c r="A80" s="170">
        <v>42118</v>
      </c>
      <c r="B80" s="116">
        <v>8.0299999999999994</v>
      </c>
      <c r="C80" s="116">
        <v>7.81</v>
      </c>
      <c r="D80" s="116">
        <v>7.77</v>
      </c>
      <c r="E80" s="116">
        <v>8</v>
      </c>
      <c r="F80" s="116">
        <v>7.81</v>
      </c>
      <c r="G80">
        <v>371114</v>
      </c>
      <c r="H80" s="116"/>
      <c r="I80" s="116"/>
      <c r="L80" s="170">
        <v>42118</v>
      </c>
      <c r="M80" s="116">
        <v>7.8</v>
      </c>
      <c r="N80" s="116">
        <v>8</v>
      </c>
      <c r="O80" s="116">
        <v>7.75</v>
      </c>
      <c r="P80" s="116">
        <v>8</v>
      </c>
      <c r="Q80" s="116">
        <v>7.8</v>
      </c>
      <c r="R80">
        <v>890025</v>
      </c>
    </row>
    <row r="81" spans="1:18" x14ac:dyDescent="0.25">
      <c r="A81" s="170">
        <v>42121</v>
      </c>
      <c r="B81" s="116">
        <v>7.9</v>
      </c>
      <c r="C81" s="116">
        <v>7.64</v>
      </c>
      <c r="D81" s="116">
        <v>7.55</v>
      </c>
      <c r="E81" s="116">
        <v>7.9</v>
      </c>
      <c r="F81" s="116">
        <v>7.64</v>
      </c>
      <c r="G81">
        <v>424783</v>
      </c>
      <c r="H81" s="116"/>
      <c r="I81" s="116"/>
      <c r="L81" s="170">
        <v>42121</v>
      </c>
      <c r="M81" s="116">
        <v>7.6</v>
      </c>
      <c r="N81" s="116">
        <v>7.9</v>
      </c>
      <c r="O81" s="116">
        <v>7.55</v>
      </c>
      <c r="P81" s="116">
        <v>7.8</v>
      </c>
      <c r="Q81" s="116">
        <v>7.6</v>
      </c>
      <c r="R81">
        <v>1073018</v>
      </c>
    </row>
    <row r="82" spans="1:18" x14ac:dyDescent="0.25">
      <c r="A82" s="170">
        <v>42122</v>
      </c>
      <c r="B82" s="116">
        <v>7.85</v>
      </c>
      <c r="C82" s="116">
        <v>7.64</v>
      </c>
      <c r="D82" s="116">
        <v>7.5</v>
      </c>
      <c r="E82" s="116">
        <v>7.64</v>
      </c>
      <c r="F82" s="116">
        <v>7.64</v>
      </c>
      <c r="G82">
        <v>426856</v>
      </c>
      <c r="H82" s="116"/>
      <c r="I82" s="116"/>
      <c r="L82" s="170">
        <v>42122</v>
      </c>
      <c r="M82" s="116">
        <v>7.6</v>
      </c>
      <c r="N82" s="116">
        <v>7.9</v>
      </c>
      <c r="O82" s="116">
        <v>7.45</v>
      </c>
      <c r="P82" s="116">
        <v>7.55</v>
      </c>
      <c r="Q82" s="116">
        <v>7.6</v>
      </c>
      <c r="R82">
        <v>1303598</v>
      </c>
    </row>
    <row r="83" spans="1:18" x14ac:dyDescent="0.25">
      <c r="A83" s="170">
        <v>42123</v>
      </c>
      <c r="B83" s="116">
        <v>7.78</v>
      </c>
      <c r="C83" s="116">
        <v>7.67</v>
      </c>
      <c r="D83" s="116">
        <v>7.56</v>
      </c>
      <c r="E83" s="116">
        <v>7.65</v>
      </c>
      <c r="F83" s="116">
        <v>7.67</v>
      </c>
      <c r="G83">
        <v>232418</v>
      </c>
      <c r="H83" s="116"/>
      <c r="I83" s="116"/>
      <c r="L83" s="170">
        <v>42123</v>
      </c>
      <c r="M83" s="116">
        <v>7.65</v>
      </c>
      <c r="N83" s="116">
        <v>7.8</v>
      </c>
      <c r="O83" s="116">
        <v>7.55</v>
      </c>
      <c r="P83" s="116">
        <v>7.7</v>
      </c>
      <c r="Q83" s="116">
        <v>7.65</v>
      </c>
      <c r="R83">
        <v>1227933</v>
      </c>
    </row>
    <row r="84" spans="1:18" x14ac:dyDescent="0.25">
      <c r="A84" s="170">
        <v>42124</v>
      </c>
      <c r="B84" s="116">
        <v>7.7</v>
      </c>
      <c r="C84" s="116">
        <v>7.58</v>
      </c>
      <c r="D84" s="116">
        <v>7.55</v>
      </c>
      <c r="E84" s="116">
        <v>7.65</v>
      </c>
      <c r="F84" s="116">
        <v>7.58</v>
      </c>
      <c r="G84">
        <v>308428</v>
      </c>
      <c r="H84" s="116"/>
      <c r="I84" s="116"/>
      <c r="L84" s="170">
        <v>42124</v>
      </c>
      <c r="M84" s="116">
        <v>7.6</v>
      </c>
      <c r="N84" s="116">
        <v>7.75</v>
      </c>
      <c r="O84" s="116">
        <v>7.55</v>
      </c>
      <c r="P84" s="116">
        <v>7.75</v>
      </c>
      <c r="Q84" s="116">
        <v>7.6</v>
      </c>
      <c r="R84">
        <v>802386</v>
      </c>
    </row>
    <row r="85" spans="1:18" x14ac:dyDescent="0.25">
      <c r="A85" s="170">
        <v>42128</v>
      </c>
      <c r="B85" s="116">
        <v>7.83</v>
      </c>
      <c r="C85" s="116">
        <v>7.73</v>
      </c>
      <c r="D85" s="116">
        <v>7.61</v>
      </c>
      <c r="E85" s="116">
        <v>7.61</v>
      </c>
      <c r="F85" s="116">
        <v>7.73</v>
      </c>
      <c r="G85">
        <v>223862</v>
      </c>
      <c r="H85" s="116"/>
      <c r="I85" s="116"/>
      <c r="L85" s="170">
        <v>42128</v>
      </c>
      <c r="M85" s="116">
        <v>7.75</v>
      </c>
      <c r="N85" s="116">
        <v>7.85</v>
      </c>
      <c r="O85" s="116">
        <v>7.6</v>
      </c>
      <c r="P85" s="116">
        <v>7.6</v>
      </c>
      <c r="Q85" s="116">
        <v>7.75</v>
      </c>
      <c r="R85">
        <v>929240</v>
      </c>
    </row>
    <row r="86" spans="1:18" x14ac:dyDescent="0.25">
      <c r="A86" s="170">
        <v>42129</v>
      </c>
      <c r="B86" s="116">
        <v>8</v>
      </c>
      <c r="C86" s="116">
        <v>7.79</v>
      </c>
      <c r="D86" s="116">
        <v>7.68</v>
      </c>
      <c r="E86" s="116">
        <v>7.85</v>
      </c>
      <c r="F86" s="116">
        <v>7.79</v>
      </c>
      <c r="G86">
        <v>348584</v>
      </c>
      <c r="H86" s="116"/>
      <c r="I86" s="116"/>
      <c r="L86" s="170">
        <v>42129</v>
      </c>
      <c r="M86" s="116">
        <v>7.75</v>
      </c>
      <c r="N86" s="116">
        <v>8</v>
      </c>
      <c r="O86" s="116">
        <v>7.7</v>
      </c>
      <c r="P86" s="116">
        <v>7.85</v>
      </c>
      <c r="Q86" s="116">
        <v>7.75</v>
      </c>
      <c r="R86">
        <v>964671</v>
      </c>
    </row>
    <row r="87" spans="1:18" x14ac:dyDescent="0.25">
      <c r="A87" s="170">
        <v>42130</v>
      </c>
      <c r="B87" s="116">
        <v>7.9</v>
      </c>
      <c r="C87" s="116">
        <v>7.68</v>
      </c>
      <c r="D87" s="116">
        <v>7.61</v>
      </c>
      <c r="E87" s="116">
        <v>7.8</v>
      </c>
      <c r="F87" s="116">
        <v>7.68</v>
      </c>
      <c r="G87">
        <v>377423</v>
      </c>
      <c r="H87" s="116"/>
      <c r="I87" s="116"/>
      <c r="L87" s="170">
        <v>42130</v>
      </c>
      <c r="M87" s="116">
        <v>7.65</v>
      </c>
      <c r="N87" s="116">
        <v>7.9</v>
      </c>
      <c r="O87" s="116">
        <v>7.6</v>
      </c>
      <c r="P87" s="116">
        <v>7.8</v>
      </c>
      <c r="Q87" s="116">
        <v>7.65</v>
      </c>
      <c r="R87">
        <v>1492109</v>
      </c>
    </row>
    <row r="88" spans="1:18" x14ac:dyDescent="0.25">
      <c r="A88" s="170">
        <v>42131</v>
      </c>
      <c r="B88" s="116">
        <v>7.71</v>
      </c>
      <c r="C88" s="116">
        <v>7.52</v>
      </c>
      <c r="D88" s="116">
        <v>7.5</v>
      </c>
      <c r="E88" s="116">
        <v>7.68</v>
      </c>
      <c r="F88" s="116">
        <v>7.52</v>
      </c>
      <c r="G88">
        <v>254717</v>
      </c>
      <c r="H88" s="116"/>
      <c r="I88" s="116"/>
      <c r="L88" s="170">
        <v>42131</v>
      </c>
      <c r="M88" s="116">
        <v>7.5</v>
      </c>
      <c r="N88" s="116">
        <v>7.75</v>
      </c>
      <c r="O88" s="116">
        <v>7.5</v>
      </c>
      <c r="P88" s="116">
        <v>7.75</v>
      </c>
      <c r="Q88" s="116">
        <v>7.5</v>
      </c>
      <c r="R88">
        <v>1056341</v>
      </c>
    </row>
    <row r="89" spans="1:18" x14ac:dyDescent="0.25">
      <c r="A89" s="170">
        <v>42132</v>
      </c>
      <c r="B89" s="116">
        <v>7.85</v>
      </c>
      <c r="C89" s="116">
        <v>7.52</v>
      </c>
      <c r="D89" s="116">
        <v>7.37</v>
      </c>
      <c r="E89" s="116">
        <v>7.85</v>
      </c>
      <c r="F89" s="116">
        <v>7.52</v>
      </c>
      <c r="G89">
        <v>502803</v>
      </c>
      <c r="H89" s="116"/>
      <c r="I89" s="116"/>
      <c r="L89" s="170">
        <v>42132</v>
      </c>
      <c r="M89" s="116">
        <v>7.45</v>
      </c>
      <c r="N89" s="116">
        <v>7.7</v>
      </c>
      <c r="O89" s="116">
        <v>7.35</v>
      </c>
      <c r="P89" s="116">
        <v>7.6</v>
      </c>
      <c r="Q89" s="116">
        <v>7.45</v>
      </c>
      <c r="R89">
        <v>873715</v>
      </c>
    </row>
    <row r="90" spans="1:18" x14ac:dyDescent="0.25">
      <c r="A90" s="170">
        <v>42135</v>
      </c>
      <c r="B90" s="116">
        <v>7.69</v>
      </c>
      <c r="C90" s="116">
        <v>7.61</v>
      </c>
      <c r="D90" s="116">
        <v>7.55</v>
      </c>
      <c r="E90" s="116">
        <v>7.6</v>
      </c>
      <c r="F90" s="116">
        <v>7.61</v>
      </c>
      <c r="G90">
        <v>86183</v>
      </c>
      <c r="H90" s="116"/>
      <c r="I90" s="116"/>
      <c r="L90" s="170">
        <v>42135</v>
      </c>
      <c r="M90" s="116">
        <v>7.6</v>
      </c>
      <c r="N90" s="116">
        <v>7.7</v>
      </c>
      <c r="O90" s="116">
        <v>7.55</v>
      </c>
      <c r="P90" s="116">
        <v>7.6</v>
      </c>
      <c r="Q90" s="116">
        <v>7.6</v>
      </c>
      <c r="R90">
        <v>839953</v>
      </c>
    </row>
    <row r="91" spans="1:18" x14ac:dyDescent="0.25">
      <c r="A91" s="170">
        <v>42136</v>
      </c>
      <c r="B91" s="116">
        <v>7.6</v>
      </c>
      <c r="C91" s="116">
        <v>7.4</v>
      </c>
      <c r="D91" s="116">
        <v>7.36</v>
      </c>
      <c r="E91" s="116">
        <v>7.59</v>
      </c>
      <c r="F91" s="116">
        <v>7.4</v>
      </c>
      <c r="G91">
        <v>225765</v>
      </c>
      <c r="H91" s="116"/>
      <c r="I91" s="116"/>
      <c r="L91" s="170">
        <v>42136</v>
      </c>
      <c r="M91" s="116">
        <v>7.4</v>
      </c>
      <c r="N91" s="116">
        <v>7.7</v>
      </c>
      <c r="O91" s="116">
        <v>7.35</v>
      </c>
      <c r="P91" s="116">
        <v>7.7</v>
      </c>
      <c r="Q91" s="116">
        <v>7.4</v>
      </c>
      <c r="R91">
        <v>1120975</v>
      </c>
    </row>
    <row r="92" spans="1:18" x14ac:dyDescent="0.25">
      <c r="A92" s="170">
        <v>42137</v>
      </c>
      <c r="B92" s="116">
        <v>7.7</v>
      </c>
      <c r="C92" s="116">
        <v>7.45</v>
      </c>
      <c r="D92" s="116">
        <v>7.31</v>
      </c>
      <c r="E92" s="116">
        <v>7.63</v>
      </c>
      <c r="F92" s="116">
        <v>7.45</v>
      </c>
      <c r="G92">
        <v>166742</v>
      </c>
      <c r="H92" s="116"/>
      <c r="I92" s="116"/>
      <c r="L92" s="170">
        <v>42137</v>
      </c>
      <c r="M92" s="116">
        <v>7.45</v>
      </c>
      <c r="N92" s="116">
        <v>7.6</v>
      </c>
      <c r="O92" s="116">
        <v>7.35</v>
      </c>
      <c r="P92" s="116">
        <v>7.55</v>
      </c>
      <c r="Q92" s="116">
        <v>7.45</v>
      </c>
      <c r="R92">
        <v>529742</v>
      </c>
    </row>
    <row r="93" spans="1:18" x14ac:dyDescent="0.25">
      <c r="A93" s="170">
        <v>42138</v>
      </c>
      <c r="B93" s="116">
        <v>7.58</v>
      </c>
      <c r="C93" s="116">
        <v>7.48</v>
      </c>
      <c r="D93" s="116">
        <v>7.37</v>
      </c>
      <c r="E93" s="116">
        <v>7.45</v>
      </c>
      <c r="F93" s="116">
        <v>7.48</v>
      </c>
      <c r="G93">
        <v>193406</v>
      </c>
      <c r="H93" s="116"/>
      <c r="I93" s="116"/>
      <c r="L93" s="170">
        <v>42138</v>
      </c>
      <c r="M93" s="116">
        <v>7.5</v>
      </c>
      <c r="N93" s="116">
        <v>7.6</v>
      </c>
      <c r="O93" s="116">
        <v>7.35</v>
      </c>
      <c r="P93" s="116">
        <v>7.45</v>
      </c>
      <c r="Q93" s="116">
        <v>7.5</v>
      </c>
      <c r="R93">
        <v>803929</v>
      </c>
    </row>
    <row r="94" spans="1:18" x14ac:dyDescent="0.25">
      <c r="A94" s="170">
        <v>42139</v>
      </c>
      <c r="B94" s="116">
        <v>7.56</v>
      </c>
      <c r="C94" s="116">
        <v>7.49</v>
      </c>
      <c r="D94" s="116">
        <v>7.42</v>
      </c>
      <c r="E94" s="116">
        <v>7.42</v>
      </c>
      <c r="F94" s="116">
        <v>7.49</v>
      </c>
      <c r="G94">
        <v>337482</v>
      </c>
      <c r="H94" s="116"/>
      <c r="I94" s="116"/>
      <c r="L94" s="170">
        <v>42139</v>
      </c>
      <c r="M94" s="116">
        <v>7.5</v>
      </c>
      <c r="N94" s="116">
        <v>7.55</v>
      </c>
      <c r="O94" s="116">
        <v>7.45</v>
      </c>
      <c r="P94" s="116">
        <v>7.55</v>
      </c>
      <c r="Q94" s="116">
        <v>7.5</v>
      </c>
      <c r="R94">
        <v>434030</v>
      </c>
    </row>
    <row r="95" spans="1:18" x14ac:dyDescent="0.25">
      <c r="A95" s="170">
        <v>42142</v>
      </c>
      <c r="B95" s="116">
        <v>7.58</v>
      </c>
      <c r="C95" s="116">
        <v>7.51</v>
      </c>
      <c r="D95" s="116">
        <v>7.45</v>
      </c>
      <c r="E95" s="116">
        <v>7.45</v>
      </c>
      <c r="F95" s="116">
        <v>7.51</v>
      </c>
      <c r="G95">
        <v>197024</v>
      </c>
      <c r="H95" s="116"/>
      <c r="I95" s="116"/>
      <c r="L95" s="170">
        <v>42142</v>
      </c>
      <c r="M95" s="116">
        <v>7.5</v>
      </c>
      <c r="N95" s="116">
        <v>7.6</v>
      </c>
      <c r="O95" s="116">
        <v>7.45</v>
      </c>
      <c r="P95" s="116">
        <v>7.5</v>
      </c>
      <c r="Q95" s="116">
        <v>7.5</v>
      </c>
      <c r="R95">
        <v>1032976</v>
      </c>
    </row>
    <row r="96" spans="1:18" x14ac:dyDescent="0.25">
      <c r="A96" s="170">
        <v>42143</v>
      </c>
      <c r="B96" s="116">
        <v>7.55</v>
      </c>
      <c r="C96" s="116">
        <v>7.51</v>
      </c>
      <c r="D96" s="116">
        <v>7.45</v>
      </c>
      <c r="E96" s="116">
        <v>7.45</v>
      </c>
      <c r="F96" s="116">
        <v>7.51</v>
      </c>
      <c r="G96">
        <v>224080</v>
      </c>
      <c r="H96" s="116"/>
      <c r="I96" s="116"/>
      <c r="L96" s="170">
        <v>42143</v>
      </c>
      <c r="M96" s="116">
        <v>7.45</v>
      </c>
      <c r="N96" s="116">
        <v>7.55</v>
      </c>
      <c r="O96" s="116">
        <v>7.45</v>
      </c>
      <c r="P96" s="116">
        <v>7.55</v>
      </c>
      <c r="Q96" s="116">
        <v>7.45</v>
      </c>
      <c r="R96">
        <v>857530</v>
      </c>
    </row>
    <row r="97" spans="1:18" x14ac:dyDescent="0.25">
      <c r="A97" s="170">
        <v>42144</v>
      </c>
      <c r="B97" s="116">
        <v>7.57</v>
      </c>
      <c r="C97" s="116">
        <v>7.43</v>
      </c>
      <c r="D97" s="116">
        <v>7.4</v>
      </c>
      <c r="E97" s="116">
        <v>7.53</v>
      </c>
      <c r="F97" s="116">
        <v>7.43</v>
      </c>
      <c r="G97">
        <v>190523</v>
      </c>
      <c r="H97" s="116"/>
      <c r="I97" s="116"/>
      <c r="L97" s="170">
        <v>42144</v>
      </c>
      <c r="M97" s="116">
        <v>7.45</v>
      </c>
      <c r="N97" s="116">
        <v>7.6</v>
      </c>
      <c r="O97" s="116">
        <v>7.45</v>
      </c>
      <c r="P97" s="116">
        <v>7.55</v>
      </c>
      <c r="Q97" s="116">
        <v>7.45</v>
      </c>
      <c r="R97">
        <v>433191</v>
      </c>
    </row>
    <row r="98" spans="1:18" x14ac:dyDescent="0.25">
      <c r="A98" s="170">
        <v>42145</v>
      </c>
      <c r="B98" s="116">
        <v>7.48</v>
      </c>
      <c r="C98" s="116">
        <v>7.38</v>
      </c>
      <c r="D98" s="116">
        <v>7.31</v>
      </c>
      <c r="E98" s="116">
        <v>7.43</v>
      </c>
      <c r="F98" s="116">
        <v>7.38</v>
      </c>
      <c r="G98">
        <v>216108</v>
      </c>
      <c r="H98" s="116"/>
      <c r="I98" s="116"/>
      <c r="L98" s="170">
        <v>42145</v>
      </c>
      <c r="M98" s="116">
        <v>7.4</v>
      </c>
      <c r="N98" s="116">
        <v>7.5</v>
      </c>
      <c r="O98" s="116">
        <v>7.35</v>
      </c>
      <c r="P98" s="116">
        <v>7.5</v>
      </c>
      <c r="Q98" s="116">
        <v>7.4</v>
      </c>
      <c r="R98">
        <v>607120</v>
      </c>
    </row>
    <row r="99" spans="1:18" x14ac:dyDescent="0.25">
      <c r="A99" s="170">
        <v>42146</v>
      </c>
      <c r="B99" s="116">
        <v>7.43</v>
      </c>
      <c r="C99" s="116">
        <v>7.22</v>
      </c>
      <c r="D99" s="116">
        <v>7.17</v>
      </c>
      <c r="E99" s="116">
        <v>7.33</v>
      </c>
      <c r="F99" s="116">
        <v>7.22</v>
      </c>
      <c r="G99">
        <v>269661</v>
      </c>
      <c r="H99" s="116"/>
      <c r="I99" s="116"/>
      <c r="L99" s="170">
        <v>42146</v>
      </c>
      <c r="M99" s="116">
        <v>7.2</v>
      </c>
      <c r="N99" s="116">
        <v>7.45</v>
      </c>
      <c r="O99" s="116">
        <v>7.15</v>
      </c>
      <c r="P99" s="116">
        <v>7.45</v>
      </c>
      <c r="Q99" s="116">
        <v>7.2</v>
      </c>
      <c r="R99">
        <v>873171</v>
      </c>
    </row>
    <row r="100" spans="1:18" x14ac:dyDescent="0.25">
      <c r="A100" s="170">
        <v>42149</v>
      </c>
      <c r="B100" s="116">
        <v>7.27</v>
      </c>
      <c r="C100" s="116">
        <v>7.12</v>
      </c>
      <c r="D100" s="116">
        <v>7.07</v>
      </c>
      <c r="E100" s="116">
        <v>7.25</v>
      </c>
      <c r="F100" s="116">
        <v>7.12</v>
      </c>
      <c r="G100">
        <v>239127</v>
      </c>
      <c r="H100" s="116"/>
      <c r="I100" s="116"/>
      <c r="L100" s="170">
        <v>42149</v>
      </c>
      <c r="M100" s="116">
        <v>7.1</v>
      </c>
      <c r="N100" s="116">
        <v>7.3</v>
      </c>
      <c r="O100" s="116">
        <v>7.05</v>
      </c>
      <c r="P100" s="116">
        <v>7.3</v>
      </c>
      <c r="Q100" s="116">
        <v>7.1</v>
      </c>
      <c r="R100">
        <v>622365</v>
      </c>
    </row>
    <row r="101" spans="1:18" x14ac:dyDescent="0.25">
      <c r="A101" s="170">
        <v>42150</v>
      </c>
      <c r="B101" s="116">
        <v>7.13</v>
      </c>
      <c r="C101" s="116">
        <v>7.02</v>
      </c>
      <c r="D101" s="116">
        <v>6.97</v>
      </c>
      <c r="E101" s="116">
        <v>7.05</v>
      </c>
      <c r="F101" s="116">
        <v>7.02</v>
      </c>
      <c r="G101">
        <v>232910</v>
      </c>
      <c r="H101" s="116"/>
      <c r="I101" s="116"/>
      <c r="L101" s="170">
        <v>42150</v>
      </c>
      <c r="M101" s="116">
        <v>7</v>
      </c>
      <c r="N101" s="116">
        <v>7.2</v>
      </c>
      <c r="O101" s="116">
        <v>6.95</v>
      </c>
      <c r="P101" s="116">
        <v>7.2</v>
      </c>
      <c r="Q101" s="116">
        <v>7</v>
      </c>
      <c r="R101">
        <v>906756</v>
      </c>
    </row>
    <row r="102" spans="1:18" x14ac:dyDescent="0.25">
      <c r="A102" s="170">
        <v>42151</v>
      </c>
      <c r="B102" s="116">
        <v>6.9</v>
      </c>
      <c r="C102" s="116">
        <v>6.87</v>
      </c>
      <c r="D102" s="116">
        <v>5.62</v>
      </c>
      <c r="E102" s="116">
        <v>6.5</v>
      </c>
      <c r="F102" s="116">
        <v>6.87</v>
      </c>
      <c r="G102">
        <v>523576</v>
      </c>
      <c r="H102" s="116"/>
      <c r="I102" s="116"/>
      <c r="L102" s="170">
        <v>42151</v>
      </c>
      <c r="M102" s="116">
        <v>6.85</v>
      </c>
      <c r="N102" s="116">
        <v>6.95</v>
      </c>
      <c r="O102" s="116">
        <v>5.6</v>
      </c>
      <c r="P102" s="116">
        <v>5.6</v>
      </c>
      <c r="Q102" s="116">
        <v>6.85</v>
      </c>
      <c r="R102">
        <v>2107398</v>
      </c>
    </row>
    <row r="103" spans="1:18" x14ac:dyDescent="0.25">
      <c r="A103" s="170">
        <v>42152</v>
      </c>
      <c r="B103" s="116">
        <v>6.99</v>
      </c>
      <c r="C103" s="116">
        <v>6.97</v>
      </c>
      <c r="D103" s="116">
        <v>6.83</v>
      </c>
      <c r="E103" s="116">
        <v>6.94</v>
      </c>
      <c r="F103" s="116">
        <v>6.97</v>
      </c>
      <c r="G103">
        <v>176887</v>
      </c>
      <c r="H103" s="116"/>
      <c r="I103" s="116"/>
      <c r="L103" s="170">
        <v>42152</v>
      </c>
      <c r="M103" s="116">
        <v>6.95</v>
      </c>
      <c r="N103" s="116">
        <v>7</v>
      </c>
      <c r="O103" s="116">
        <v>6.8</v>
      </c>
      <c r="P103" s="116">
        <v>6.9</v>
      </c>
      <c r="Q103" s="116">
        <v>6.95</v>
      </c>
      <c r="R103">
        <v>618581</v>
      </c>
    </row>
    <row r="104" spans="1:18" x14ac:dyDescent="0.25">
      <c r="A104" s="170">
        <v>42153</v>
      </c>
      <c r="B104" s="116">
        <v>7.12</v>
      </c>
      <c r="C104" s="116">
        <v>7.07</v>
      </c>
      <c r="D104" s="116">
        <v>6.95</v>
      </c>
      <c r="E104" s="116">
        <v>6.95</v>
      </c>
      <c r="F104" s="116">
        <v>7.07</v>
      </c>
      <c r="G104">
        <v>270983</v>
      </c>
      <c r="H104" s="116"/>
      <c r="I104" s="116"/>
      <c r="L104" s="170">
        <v>42153</v>
      </c>
      <c r="M104" s="116">
        <v>7.1</v>
      </c>
      <c r="N104" s="116">
        <v>7.1</v>
      </c>
      <c r="O104" s="116">
        <v>6.95</v>
      </c>
      <c r="P104" s="116">
        <v>7</v>
      </c>
      <c r="Q104" s="116">
        <v>7.1</v>
      </c>
      <c r="R104">
        <v>578956</v>
      </c>
    </row>
    <row r="105" spans="1:18" x14ac:dyDescent="0.25">
      <c r="A105" s="170">
        <v>42156</v>
      </c>
      <c r="B105" s="116">
        <v>7.15</v>
      </c>
      <c r="C105" s="116">
        <v>7.11</v>
      </c>
      <c r="D105" s="116">
        <v>7.05</v>
      </c>
      <c r="E105" s="116">
        <v>7.12</v>
      </c>
      <c r="F105" s="116">
        <v>7.11</v>
      </c>
      <c r="G105">
        <v>172485</v>
      </c>
      <c r="H105" s="116"/>
      <c r="I105" s="116"/>
      <c r="L105" s="170">
        <v>42156</v>
      </c>
      <c r="M105" s="116">
        <v>7.15</v>
      </c>
      <c r="N105" s="116">
        <v>7.15</v>
      </c>
      <c r="O105" s="116">
        <v>7.05</v>
      </c>
      <c r="P105" s="116">
        <v>7.1</v>
      </c>
      <c r="Q105" s="116">
        <v>7.15</v>
      </c>
      <c r="R105">
        <v>737100</v>
      </c>
    </row>
    <row r="106" spans="1:18" x14ac:dyDescent="0.25">
      <c r="A106" s="170">
        <v>42157</v>
      </c>
      <c r="B106" s="116">
        <v>7.13</v>
      </c>
      <c r="C106" s="116">
        <v>6.95</v>
      </c>
      <c r="D106" s="116">
        <v>6.91</v>
      </c>
      <c r="E106" s="116">
        <v>7.1</v>
      </c>
      <c r="F106" s="116">
        <v>6.95</v>
      </c>
      <c r="G106">
        <v>225195</v>
      </c>
      <c r="H106" s="116"/>
      <c r="I106" s="116"/>
      <c r="L106" s="170">
        <v>42157</v>
      </c>
      <c r="M106" s="116">
        <v>6.95</v>
      </c>
      <c r="N106" s="116">
        <v>7.2</v>
      </c>
      <c r="O106" s="116">
        <v>6.9</v>
      </c>
      <c r="P106" s="116">
        <v>7.2</v>
      </c>
      <c r="Q106" s="116">
        <v>6.95</v>
      </c>
      <c r="R106">
        <v>905978</v>
      </c>
    </row>
    <row r="107" spans="1:18" x14ac:dyDescent="0.25">
      <c r="A107" s="170">
        <v>42158</v>
      </c>
      <c r="B107" s="116">
        <v>6.97</v>
      </c>
      <c r="C107" s="116">
        <v>6.5</v>
      </c>
      <c r="D107" s="116">
        <v>6.13</v>
      </c>
      <c r="E107" s="116">
        <v>6.97</v>
      </c>
      <c r="F107" s="116">
        <v>6.5</v>
      </c>
      <c r="G107">
        <v>527042</v>
      </c>
      <c r="H107" s="116"/>
      <c r="I107" s="116"/>
      <c r="L107" s="170">
        <v>42158</v>
      </c>
      <c r="M107" s="116">
        <v>6.5</v>
      </c>
      <c r="N107" s="116">
        <v>7</v>
      </c>
      <c r="O107" s="116">
        <v>6.15</v>
      </c>
      <c r="P107" s="116">
        <v>7</v>
      </c>
      <c r="Q107" s="116">
        <v>6.5</v>
      </c>
      <c r="R107">
        <v>2079987</v>
      </c>
    </row>
    <row r="108" spans="1:18" x14ac:dyDescent="0.25">
      <c r="A108" s="170">
        <v>42159</v>
      </c>
      <c r="B108" s="116">
        <v>6.66</v>
      </c>
      <c r="C108" s="116">
        <v>6.62</v>
      </c>
      <c r="D108" s="116">
        <v>6.32</v>
      </c>
      <c r="E108" s="116">
        <v>6.5</v>
      </c>
      <c r="F108" s="116">
        <v>6.62</v>
      </c>
      <c r="G108">
        <v>301892</v>
      </c>
      <c r="H108" s="116"/>
      <c r="I108" s="116"/>
      <c r="L108" s="170">
        <v>42159</v>
      </c>
      <c r="M108" s="116">
        <v>6.6</v>
      </c>
      <c r="N108" s="116">
        <v>6.7</v>
      </c>
      <c r="O108" s="116">
        <v>6.35</v>
      </c>
      <c r="P108" s="116">
        <v>6.7</v>
      </c>
      <c r="Q108" s="116">
        <v>6.6</v>
      </c>
      <c r="R108">
        <v>1073183</v>
      </c>
    </row>
    <row r="109" spans="1:18" x14ac:dyDescent="0.25">
      <c r="A109" s="170">
        <v>42160</v>
      </c>
      <c r="B109" s="116">
        <v>6.6</v>
      </c>
      <c r="C109" s="116">
        <v>6.55</v>
      </c>
      <c r="D109" s="116">
        <v>6.43</v>
      </c>
      <c r="E109" s="116">
        <v>6.56</v>
      </c>
      <c r="F109" s="116">
        <v>6.55</v>
      </c>
      <c r="G109">
        <v>191717</v>
      </c>
      <c r="H109" s="116"/>
      <c r="I109" s="116"/>
      <c r="L109" s="170">
        <v>42160</v>
      </c>
      <c r="M109" s="116">
        <v>6.55</v>
      </c>
      <c r="N109" s="116">
        <v>6.65</v>
      </c>
      <c r="O109" s="116">
        <v>6.45</v>
      </c>
      <c r="P109" s="116">
        <v>6.6</v>
      </c>
      <c r="Q109" s="116">
        <v>6.55</v>
      </c>
      <c r="R109">
        <v>1003609</v>
      </c>
    </row>
    <row r="110" spans="1:18" x14ac:dyDescent="0.25">
      <c r="A110" s="170">
        <v>42163</v>
      </c>
      <c r="B110" s="116">
        <v>6.72</v>
      </c>
      <c r="C110" s="116">
        <v>6.24</v>
      </c>
      <c r="D110" s="116">
        <v>6.1</v>
      </c>
      <c r="E110" s="116">
        <v>6.55</v>
      </c>
      <c r="F110" s="116">
        <v>6.24</v>
      </c>
      <c r="G110">
        <v>296240</v>
      </c>
      <c r="H110" s="116"/>
      <c r="I110" s="116"/>
      <c r="L110" s="170">
        <v>42163</v>
      </c>
      <c r="M110" s="116">
        <v>6.25</v>
      </c>
      <c r="N110" s="116">
        <v>6.65</v>
      </c>
      <c r="O110" s="116">
        <v>6.15</v>
      </c>
      <c r="P110" s="116">
        <v>6.6</v>
      </c>
      <c r="Q110" s="116">
        <v>6.25</v>
      </c>
      <c r="R110">
        <v>973447</v>
      </c>
    </row>
    <row r="111" spans="1:18" x14ac:dyDescent="0.25">
      <c r="A111" s="170">
        <v>42164</v>
      </c>
      <c r="B111" s="116">
        <v>6.72</v>
      </c>
      <c r="C111" s="116">
        <v>6.52</v>
      </c>
      <c r="D111" s="116">
        <v>6.17</v>
      </c>
      <c r="E111" s="116">
        <v>6.22</v>
      </c>
      <c r="F111" s="116">
        <v>6.52</v>
      </c>
      <c r="G111">
        <v>240506</v>
      </c>
      <c r="H111" s="116"/>
      <c r="I111" s="116"/>
      <c r="L111" s="170">
        <v>42164</v>
      </c>
      <c r="M111" s="116">
        <v>6.5</v>
      </c>
      <c r="N111" s="116">
        <v>6.7</v>
      </c>
      <c r="O111" s="116">
        <v>6.2</v>
      </c>
      <c r="P111" s="116">
        <v>6.35</v>
      </c>
      <c r="Q111" s="116">
        <v>6.5</v>
      </c>
      <c r="R111">
        <v>1008899</v>
      </c>
    </row>
    <row r="112" spans="1:18" x14ac:dyDescent="0.25">
      <c r="A112" s="170">
        <v>42165</v>
      </c>
      <c r="B112" s="116">
        <v>6.7</v>
      </c>
      <c r="C112" s="116">
        <v>6.56</v>
      </c>
      <c r="D112" s="116">
        <v>6.5</v>
      </c>
      <c r="E112" s="116">
        <v>6.57</v>
      </c>
      <c r="F112" s="116">
        <v>6.56</v>
      </c>
      <c r="G112">
        <v>141867</v>
      </c>
      <c r="H112" s="116"/>
      <c r="I112" s="116"/>
      <c r="L112" s="170">
        <v>42165</v>
      </c>
      <c r="M112" s="116">
        <v>6.55</v>
      </c>
      <c r="N112" s="116">
        <v>6.7</v>
      </c>
      <c r="O112" s="116">
        <v>6.5</v>
      </c>
      <c r="P112" s="116">
        <v>6.6</v>
      </c>
      <c r="Q112" s="116">
        <v>6.55</v>
      </c>
      <c r="R112">
        <v>684998</v>
      </c>
    </row>
    <row r="113" spans="1:18" x14ac:dyDescent="0.25">
      <c r="A113" s="170">
        <v>42166</v>
      </c>
      <c r="B113" s="116">
        <v>6.66</v>
      </c>
      <c r="C113" s="116">
        <v>6.45</v>
      </c>
      <c r="D113" s="116">
        <v>6.42</v>
      </c>
      <c r="E113" s="116">
        <v>6.61</v>
      </c>
      <c r="F113" s="116">
        <v>6.45</v>
      </c>
      <c r="G113">
        <v>142826</v>
      </c>
      <c r="H113" s="116"/>
      <c r="I113" s="116"/>
      <c r="L113" s="170">
        <v>42166</v>
      </c>
      <c r="M113" s="116">
        <v>6.45</v>
      </c>
      <c r="N113" s="116">
        <v>6.7</v>
      </c>
      <c r="O113" s="116">
        <v>6.4</v>
      </c>
      <c r="P113" s="116">
        <v>6.65</v>
      </c>
      <c r="Q113" s="116">
        <v>6.45</v>
      </c>
      <c r="R113">
        <v>860155</v>
      </c>
    </row>
    <row r="114" spans="1:18" x14ac:dyDescent="0.25">
      <c r="A114" s="170">
        <v>42167</v>
      </c>
      <c r="B114" s="116">
        <v>6.49</v>
      </c>
      <c r="C114" s="116">
        <v>6.47</v>
      </c>
      <c r="D114" s="116">
        <v>6.37</v>
      </c>
      <c r="E114" s="116">
        <v>6.43</v>
      </c>
      <c r="F114" s="116">
        <v>6.47</v>
      </c>
      <c r="G114">
        <v>106997</v>
      </c>
      <c r="H114" s="116"/>
      <c r="I114" s="116"/>
      <c r="L114" s="170">
        <v>42167</v>
      </c>
      <c r="M114" s="116">
        <v>6.45</v>
      </c>
      <c r="N114" s="116">
        <v>6.55</v>
      </c>
      <c r="O114" s="116">
        <v>6.4</v>
      </c>
      <c r="P114" s="116">
        <v>6.55</v>
      </c>
      <c r="Q114" s="116">
        <v>6.45</v>
      </c>
      <c r="R114">
        <v>610178</v>
      </c>
    </row>
    <row r="115" spans="1:18" x14ac:dyDescent="0.25">
      <c r="A115" s="170">
        <v>42170</v>
      </c>
      <c r="B115" s="116">
        <v>6.6</v>
      </c>
      <c r="C115" s="116">
        <v>6.5</v>
      </c>
      <c r="D115" s="116">
        <v>6.42</v>
      </c>
      <c r="E115" s="116">
        <v>6.45</v>
      </c>
      <c r="F115" s="116">
        <v>6.5</v>
      </c>
      <c r="G115">
        <v>140405</v>
      </c>
      <c r="H115" s="116"/>
      <c r="I115" s="116"/>
      <c r="L115" s="170">
        <v>42170</v>
      </c>
      <c r="M115" s="116">
        <v>6.5</v>
      </c>
      <c r="N115" s="116">
        <v>6.6</v>
      </c>
      <c r="O115" s="116">
        <v>6.45</v>
      </c>
      <c r="P115" s="116">
        <v>6.5</v>
      </c>
      <c r="Q115" s="116">
        <v>6.5</v>
      </c>
      <c r="R115">
        <v>870473</v>
      </c>
    </row>
    <row r="116" spans="1:18" x14ac:dyDescent="0.25">
      <c r="A116" s="170">
        <v>42171</v>
      </c>
      <c r="B116" s="116">
        <v>6.62</v>
      </c>
      <c r="C116" s="116">
        <v>6.54</v>
      </c>
      <c r="D116" s="116">
        <v>6.45</v>
      </c>
      <c r="E116" s="116">
        <v>6.6</v>
      </c>
      <c r="F116" s="116">
        <v>6.54</v>
      </c>
      <c r="G116">
        <v>283917</v>
      </c>
      <c r="H116" s="116"/>
      <c r="I116" s="116"/>
      <c r="L116" s="170">
        <v>42171</v>
      </c>
      <c r="M116" s="116">
        <v>6.55</v>
      </c>
      <c r="N116" s="116">
        <v>6.65</v>
      </c>
      <c r="O116" s="116">
        <v>6.4</v>
      </c>
      <c r="P116" s="116">
        <v>6.65</v>
      </c>
      <c r="Q116" s="116">
        <v>6.55</v>
      </c>
      <c r="R116">
        <v>717229</v>
      </c>
    </row>
    <row r="117" spans="1:18" x14ac:dyDescent="0.25">
      <c r="A117" s="170">
        <v>42172</v>
      </c>
      <c r="B117" s="116">
        <v>6.68</v>
      </c>
      <c r="C117" s="116">
        <v>6.29</v>
      </c>
      <c r="D117" s="116">
        <v>6.25</v>
      </c>
      <c r="E117" s="116">
        <v>6.61</v>
      </c>
      <c r="F117" s="116">
        <v>6.29</v>
      </c>
      <c r="G117">
        <v>426386</v>
      </c>
      <c r="H117" s="116"/>
      <c r="I117" s="116"/>
      <c r="L117" s="170">
        <v>42172</v>
      </c>
      <c r="M117" s="116">
        <v>6.3</v>
      </c>
      <c r="N117" s="116">
        <v>6.65</v>
      </c>
      <c r="O117" s="116">
        <v>6.2</v>
      </c>
      <c r="P117" s="116">
        <v>6.6</v>
      </c>
      <c r="Q117" s="116">
        <v>6.3</v>
      </c>
      <c r="R117">
        <v>1437486</v>
      </c>
    </row>
    <row r="118" spans="1:18" x14ac:dyDescent="0.25">
      <c r="A118" s="170">
        <v>42173</v>
      </c>
      <c r="B118" s="116">
        <v>6.59</v>
      </c>
      <c r="C118" s="116">
        <v>6.51</v>
      </c>
      <c r="D118" s="116">
        <v>6.3</v>
      </c>
      <c r="E118" s="116">
        <v>6.35</v>
      </c>
      <c r="F118" s="116">
        <v>6.51</v>
      </c>
      <c r="G118">
        <v>167129</v>
      </c>
      <c r="H118" s="116"/>
      <c r="I118" s="116"/>
      <c r="L118" s="170">
        <v>42173</v>
      </c>
      <c r="M118" s="116">
        <v>6.5</v>
      </c>
      <c r="N118" s="116">
        <v>6.6</v>
      </c>
      <c r="O118" s="116">
        <v>6.3</v>
      </c>
      <c r="P118" s="116">
        <v>6.35</v>
      </c>
      <c r="Q118" s="116">
        <v>6.5</v>
      </c>
      <c r="R118">
        <v>1472412</v>
      </c>
    </row>
    <row r="119" spans="1:18" x14ac:dyDescent="0.25">
      <c r="A119" s="170">
        <v>42174</v>
      </c>
      <c r="B119" s="116">
        <v>6.7</v>
      </c>
      <c r="C119" s="116">
        <v>6.57</v>
      </c>
      <c r="D119" s="116">
        <v>6.53</v>
      </c>
      <c r="E119" s="116">
        <v>6.55</v>
      </c>
      <c r="F119" s="116">
        <v>6.57</v>
      </c>
      <c r="G119">
        <v>263226</v>
      </c>
      <c r="H119" s="116"/>
      <c r="I119" s="116"/>
      <c r="L119" s="170">
        <v>42174</v>
      </c>
      <c r="M119" s="116">
        <v>6.6</v>
      </c>
      <c r="N119" s="116">
        <v>6.7</v>
      </c>
      <c r="O119" s="116">
        <v>6.55</v>
      </c>
      <c r="P119" s="116">
        <v>6.65</v>
      </c>
      <c r="Q119" s="116">
        <v>6.6</v>
      </c>
      <c r="R119">
        <v>800512</v>
      </c>
    </row>
    <row r="120" spans="1:18" x14ac:dyDescent="0.25">
      <c r="A120" s="170">
        <v>42177</v>
      </c>
      <c r="B120" s="116">
        <v>6.9</v>
      </c>
      <c r="C120" s="116">
        <v>6.74</v>
      </c>
      <c r="D120" s="116">
        <v>6.41</v>
      </c>
      <c r="E120" s="116">
        <v>6.41</v>
      </c>
      <c r="F120" s="116">
        <v>6.74</v>
      </c>
      <c r="G120">
        <v>375038</v>
      </c>
      <c r="H120" s="116"/>
      <c r="I120" s="116"/>
      <c r="L120" s="170">
        <v>42177</v>
      </c>
      <c r="M120" s="116">
        <v>6.75</v>
      </c>
      <c r="N120" s="116">
        <v>6.9</v>
      </c>
      <c r="O120" s="116">
        <v>6.55</v>
      </c>
      <c r="P120" s="116">
        <v>6.7</v>
      </c>
      <c r="Q120" s="116">
        <v>6.75</v>
      </c>
      <c r="R120">
        <v>983841</v>
      </c>
    </row>
    <row r="121" spans="1:18" x14ac:dyDescent="0.25">
      <c r="A121" s="170">
        <v>42178</v>
      </c>
      <c r="B121" s="116">
        <v>6.88</v>
      </c>
      <c r="C121" s="116">
        <v>6.77</v>
      </c>
      <c r="D121" s="116">
        <v>6.65</v>
      </c>
      <c r="E121" s="116">
        <v>6.75</v>
      </c>
      <c r="F121" s="116">
        <v>6.77</v>
      </c>
      <c r="G121">
        <v>263432</v>
      </c>
      <c r="H121" s="116"/>
      <c r="I121" s="116"/>
      <c r="L121" s="170">
        <v>42178</v>
      </c>
      <c r="M121" s="116">
        <v>6.75</v>
      </c>
      <c r="N121" s="116">
        <v>6.9</v>
      </c>
      <c r="O121" s="116">
        <v>6.6</v>
      </c>
      <c r="P121" s="116">
        <v>6.8</v>
      </c>
      <c r="Q121" s="116">
        <v>6.75</v>
      </c>
      <c r="R121">
        <v>874634</v>
      </c>
    </row>
    <row r="122" spans="1:18" x14ac:dyDescent="0.25">
      <c r="A122" s="170">
        <v>42179</v>
      </c>
      <c r="B122" s="116">
        <v>6.85</v>
      </c>
      <c r="C122" s="116">
        <v>6.59</v>
      </c>
      <c r="D122" s="116">
        <v>6.55</v>
      </c>
      <c r="E122" s="116">
        <v>6.85</v>
      </c>
      <c r="F122" s="116">
        <v>6.59</v>
      </c>
      <c r="G122">
        <v>280457</v>
      </c>
      <c r="H122" s="116"/>
      <c r="I122" s="116"/>
      <c r="L122" s="170">
        <v>42179</v>
      </c>
      <c r="M122" s="116">
        <v>6.6</v>
      </c>
      <c r="N122" s="116">
        <v>6.85</v>
      </c>
      <c r="O122" s="116">
        <v>6.55</v>
      </c>
      <c r="P122" s="116">
        <v>6.85</v>
      </c>
      <c r="Q122" s="116">
        <v>6.6</v>
      </c>
      <c r="R122">
        <v>800553</v>
      </c>
    </row>
    <row r="123" spans="1:18" x14ac:dyDescent="0.25">
      <c r="A123" s="170">
        <v>42180</v>
      </c>
      <c r="B123" s="116">
        <v>6.72</v>
      </c>
      <c r="C123" s="116">
        <v>6.66</v>
      </c>
      <c r="D123" s="116">
        <v>6.55</v>
      </c>
      <c r="E123" s="116">
        <v>6.62</v>
      </c>
      <c r="F123" s="116">
        <v>6.66</v>
      </c>
      <c r="G123">
        <v>156429</v>
      </c>
      <c r="H123" s="116"/>
      <c r="I123" s="116"/>
      <c r="L123" s="170">
        <v>42180</v>
      </c>
      <c r="M123" s="116">
        <v>6.65</v>
      </c>
      <c r="N123" s="116">
        <v>6.7</v>
      </c>
      <c r="O123" s="116">
        <v>6.55</v>
      </c>
      <c r="P123" s="116">
        <v>6.6</v>
      </c>
      <c r="Q123" s="116">
        <v>6.65</v>
      </c>
      <c r="R123">
        <v>446995</v>
      </c>
    </row>
    <row r="124" spans="1:18" x14ac:dyDescent="0.25">
      <c r="A124" s="170">
        <v>42181</v>
      </c>
      <c r="B124" s="116">
        <v>6.65</v>
      </c>
      <c r="C124" s="116">
        <v>6.6</v>
      </c>
      <c r="D124" s="116">
        <v>6.51</v>
      </c>
      <c r="E124" s="116">
        <v>6.65</v>
      </c>
      <c r="F124" s="116">
        <v>6.6</v>
      </c>
      <c r="G124">
        <v>264401</v>
      </c>
      <c r="H124" s="116"/>
      <c r="I124" s="116"/>
      <c r="L124" s="170">
        <v>42181</v>
      </c>
      <c r="M124" s="116">
        <v>6.6</v>
      </c>
      <c r="N124" s="116">
        <v>6.7</v>
      </c>
      <c r="O124" s="116">
        <v>6.5</v>
      </c>
      <c r="P124" s="116">
        <v>6.7</v>
      </c>
      <c r="Q124" s="116">
        <v>6.6</v>
      </c>
      <c r="R124">
        <v>756633</v>
      </c>
    </row>
    <row r="125" spans="1:18" x14ac:dyDescent="0.25">
      <c r="A125" s="170">
        <v>42184</v>
      </c>
      <c r="B125" s="116">
        <v>6.59</v>
      </c>
      <c r="C125" s="116">
        <v>6.52</v>
      </c>
      <c r="D125" s="116">
        <v>6.3</v>
      </c>
      <c r="E125" s="116">
        <v>6.4</v>
      </c>
      <c r="F125" s="116">
        <v>6.52</v>
      </c>
      <c r="G125">
        <v>97614</v>
      </c>
      <c r="H125" s="116"/>
      <c r="I125" s="116"/>
      <c r="L125" s="170">
        <v>42184</v>
      </c>
      <c r="M125" s="116">
        <v>6.55</v>
      </c>
      <c r="N125" s="116">
        <v>6.6</v>
      </c>
      <c r="O125" s="116">
        <v>6.5</v>
      </c>
      <c r="P125" s="116">
        <v>6.5</v>
      </c>
      <c r="Q125" s="116">
        <v>6.55</v>
      </c>
      <c r="R125">
        <v>728070</v>
      </c>
    </row>
    <row r="126" spans="1:18" x14ac:dyDescent="0.25">
      <c r="A126" s="170">
        <v>42185</v>
      </c>
      <c r="B126" s="116">
        <v>6.65</v>
      </c>
      <c r="C126" s="116">
        <v>6.63</v>
      </c>
      <c r="D126" s="116">
        <v>6.52</v>
      </c>
      <c r="E126" s="116">
        <v>6.6</v>
      </c>
      <c r="F126" s="116">
        <v>6.63</v>
      </c>
      <c r="G126">
        <v>230555</v>
      </c>
      <c r="H126" s="116"/>
      <c r="I126" s="116"/>
      <c r="L126" s="170">
        <v>42185</v>
      </c>
      <c r="M126" s="116">
        <v>6.6</v>
      </c>
      <c r="N126" s="116">
        <v>6.65</v>
      </c>
      <c r="O126" s="116">
        <v>6.55</v>
      </c>
      <c r="P126" s="116">
        <v>6.65</v>
      </c>
      <c r="Q126" s="116">
        <v>6.6</v>
      </c>
      <c r="R126">
        <v>641918</v>
      </c>
    </row>
    <row r="127" spans="1:18" x14ac:dyDescent="0.25">
      <c r="A127" s="170">
        <v>42186</v>
      </c>
      <c r="B127" s="116">
        <v>6.75</v>
      </c>
      <c r="C127" s="116">
        <v>6.68</v>
      </c>
      <c r="D127" s="116">
        <v>6.57</v>
      </c>
      <c r="E127" s="116">
        <v>6.7</v>
      </c>
      <c r="F127" s="116">
        <v>6.68</v>
      </c>
      <c r="G127">
        <v>369211</v>
      </c>
      <c r="H127" s="116"/>
      <c r="I127" s="116"/>
      <c r="L127" s="170">
        <v>42186</v>
      </c>
      <c r="M127" s="116">
        <v>6.65</v>
      </c>
      <c r="N127" s="116">
        <v>6.75</v>
      </c>
      <c r="O127" s="116">
        <v>6.55</v>
      </c>
      <c r="P127" s="116">
        <v>6.65</v>
      </c>
      <c r="Q127" s="116">
        <v>6.65</v>
      </c>
      <c r="R127">
        <v>1445147</v>
      </c>
    </row>
    <row r="128" spans="1:18" x14ac:dyDescent="0.25">
      <c r="A128" s="170">
        <v>42187</v>
      </c>
      <c r="B128" s="116">
        <v>6.93</v>
      </c>
      <c r="C128" s="116">
        <v>6.87</v>
      </c>
      <c r="D128" s="116">
        <v>6.66</v>
      </c>
      <c r="E128" s="116">
        <v>6.68</v>
      </c>
      <c r="F128" s="116">
        <v>6.87</v>
      </c>
      <c r="G128">
        <v>341425</v>
      </c>
      <c r="H128" s="116"/>
      <c r="I128" s="116"/>
      <c r="L128" s="170">
        <v>42187</v>
      </c>
      <c r="M128" s="116">
        <v>6.85</v>
      </c>
      <c r="N128" s="116">
        <v>6.95</v>
      </c>
      <c r="O128" s="116">
        <v>6.65</v>
      </c>
      <c r="P128" s="116">
        <v>6.75</v>
      </c>
      <c r="Q128" s="116">
        <v>6.85</v>
      </c>
      <c r="R128">
        <v>1186182</v>
      </c>
    </row>
    <row r="129" spans="1:18" x14ac:dyDescent="0.25">
      <c r="A129" s="170">
        <v>42188</v>
      </c>
      <c r="B129" s="116">
        <v>7.6</v>
      </c>
      <c r="C129" s="116">
        <v>7.14</v>
      </c>
      <c r="D129" s="116">
        <v>6.79</v>
      </c>
      <c r="E129" s="116">
        <v>6.87</v>
      </c>
      <c r="F129" s="116">
        <v>7.14</v>
      </c>
      <c r="G129">
        <v>1019576</v>
      </c>
      <c r="H129" s="116"/>
      <c r="I129" s="116"/>
      <c r="L129" s="170">
        <v>42188</v>
      </c>
      <c r="M129" s="116">
        <v>7.1</v>
      </c>
      <c r="N129" s="116">
        <v>7.55</v>
      </c>
      <c r="O129" s="116">
        <v>6.75</v>
      </c>
      <c r="P129" s="116">
        <v>6.85</v>
      </c>
      <c r="Q129" s="116">
        <v>7.1</v>
      </c>
      <c r="R129">
        <v>4003874</v>
      </c>
    </row>
    <row r="130" spans="1:18" x14ac:dyDescent="0.25">
      <c r="A130" s="170">
        <v>42191</v>
      </c>
      <c r="B130" s="116">
        <v>7.14</v>
      </c>
      <c r="C130" s="116">
        <v>6.99</v>
      </c>
      <c r="D130" s="116">
        <v>6.9</v>
      </c>
      <c r="E130" s="116">
        <v>7.14</v>
      </c>
      <c r="F130" s="116">
        <v>6.99</v>
      </c>
      <c r="G130">
        <v>435700</v>
      </c>
      <c r="H130" s="116"/>
      <c r="I130" s="116"/>
      <c r="L130" s="170">
        <v>42191</v>
      </c>
      <c r="M130" s="116">
        <v>6.95</v>
      </c>
      <c r="N130" s="116">
        <v>7.1</v>
      </c>
      <c r="O130" s="116">
        <v>6.9</v>
      </c>
      <c r="P130" s="116">
        <v>7.1</v>
      </c>
      <c r="Q130" s="116">
        <v>6.95</v>
      </c>
      <c r="R130">
        <v>990084</v>
      </c>
    </row>
    <row r="131" spans="1:18" x14ac:dyDescent="0.25">
      <c r="A131" s="170">
        <v>42192</v>
      </c>
      <c r="B131" s="116">
        <v>7.15</v>
      </c>
      <c r="C131" s="116">
        <v>7.05</v>
      </c>
      <c r="D131" s="116">
        <v>6.97</v>
      </c>
      <c r="E131" s="116">
        <v>7.1</v>
      </c>
      <c r="F131" s="116">
        <v>7.05</v>
      </c>
      <c r="G131">
        <v>370949</v>
      </c>
      <c r="H131" s="116"/>
      <c r="I131" s="116"/>
      <c r="L131" s="170">
        <v>42192</v>
      </c>
      <c r="M131" s="116">
        <v>7</v>
      </c>
      <c r="N131" s="116">
        <v>7.2</v>
      </c>
      <c r="O131" s="116">
        <v>6.95</v>
      </c>
      <c r="P131" s="116">
        <v>7</v>
      </c>
      <c r="Q131" s="116">
        <v>7</v>
      </c>
      <c r="R131">
        <v>1164399</v>
      </c>
    </row>
    <row r="132" spans="1:18" x14ac:dyDescent="0.25">
      <c r="A132" s="170">
        <v>42193</v>
      </c>
      <c r="B132" s="116">
        <v>6.99</v>
      </c>
      <c r="C132" s="116">
        <v>6.88</v>
      </c>
      <c r="D132" s="116">
        <v>6.8</v>
      </c>
      <c r="E132" s="116">
        <v>6.95</v>
      </c>
      <c r="F132" s="116">
        <v>6.88</v>
      </c>
      <c r="G132">
        <v>315873</v>
      </c>
      <c r="H132" s="116"/>
      <c r="I132" s="116"/>
      <c r="L132" s="170">
        <v>42193</v>
      </c>
      <c r="M132" s="116">
        <v>6.9</v>
      </c>
      <c r="N132" s="116">
        <v>7</v>
      </c>
      <c r="O132" s="116">
        <v>6.8</v>
      </c>
      <c r="P132" s="116">
        <v>6.95</v>
      </c>
      <c r="Q132" s="116">
        <v>6.9</v>
      </c>
      <c r="R132">
        <v>724763</v>
      </c>
    </row>
    <row r="133" spans="1:18" x14ac:dyDescent="0.25">
      <c r="A133" s="170">
        <v>42194</v>
      </c>
      <c r="B133" s="116">
        <v>7.35</v>
      </c>
      <c r="C133" s="116">
        <v>7.15</v>
      </c>
      <c r="D133" s="116">
        <v>6.91</v>
      </c>
      <c r="E133" s="116">
        <v>6.99</v>
      </c>
      <c r="F133" s="116">
        <v>7.15</v>
      </c>
      <c r="G133">
        <v>404942</v>
      </c>
      <c r="H133" s="116"/>
      <c r="I133" s="116"/>
      <c r="L133" s="170">
        <v>42194</v>
      </c>
      <c r="M133" s="116">
        <v>7.15</v>
      </c>
      <c r="N133" s="116">
        <v>7.35</v>
      </c>
      <c r="O133" s="116">
        <v>6.9</v>
      </c>
      <c r="P133" s="116">
        <v>6.95</v>
      </c>
      <c r="Q133" s="116">
        <v>7.15</v>
      </c>
      <c r="R133">
        <v>1910018</v>
      </c>
    </row>
    <row r="134" spans="1:18" x14ac:dyDescent="0.25">
      <c r="A134" s="170">
        <v>42195</v>
      </c>
      <c r="B134" s="116">
        <v>7.3</v>
      </c>
      <c r="C134" s="116">
        <v>7.01</v>
      </c>
      <c r="D134" s="116">
        <v>6.95</v>
      </c>
      <c r="E134" s="116">
        <v>7.15</v>
      </c>
      <c r="F134" s="116">
        <v>7.01</v>
      </c>
      <c r="G134">
        <v>304971</v>
      </c>
      <c r="H134" s="116"/>
      <c r="I134" s="116"/>
      <c r="L134" s="170">
        <v>42195</v>
      </c>
      <c r="M134" s="116">
        <v>7.05</v>
      </c>
      <c r="N134" s="116">
        <v>7.3</v>
      </c>
      <c r="O134" s="116">
        <v>7</v>
      </c>
      <c r="P134" s="116">
        <v>7.3</v>
      </c>
      <c r="Q134" s="116">
        <v>7.05</v>
      </c>
      <c r="R134">
        <v>897990</v>
      </c>
    </row>
    <row r="135" spans="1:18" x14ac:dyDescent="0.25">
      <c r="A135" s="170">
        <v>42198</v>
      </c>
      <c r="B135" s="116">
        <v>7.2</v>
      </c>
      <c r="C135" s="116">
        <v>7.09</v>
      </c>
      <c r="D135" s="116">
        <v>7.03</v>
      </c>
      <c r="E135" s="116">
        <v>7.06</v>
      </c>
      <c r="F135" s="116">
        <v>7.09</v>
      </c>
      <c r="G135">
        <v>259271</v>
      </c>
      <c r="H135" s="116"/>
      <c r="I135" s="116"/>
      <c r="L135" s="170">
        <v>42198</v>
      </c>
      <c r="M135" s="116">
        <v>7.1</v>
      </c>
      <c r="N135" s="116">
        <v>7.25</v>
      </c>
      <c r="O135" s="116">
        <v>7.05</v>
      </c>
      <c r="P135" s="116">
        <v>7.2</v>
      </c>
      <c r="Q135" s="116">
        <v>7.1</v>
      </c>
      <c r="R135">
        <v>808187</v>
      </c>
    </row>
    <row r="136" spans="1:18" x14ac:dyDescent="0.25">
      <c r="A136" s="170">
        <v>42199</v>
      </c>
      <c r="B136" s="116">
        <v>7.2</v>
      </c>
      <c r="C136" s="116">
        <v>7.18</v>
      </c>
      <c r="D136" s="116">
        <v>7.04</v>
      </c>
      <c r="E136" s="116">
        <v>7.17</v>
      </c>
      <c r="F136" s="116">
        <v>7.18</v>
      </c>
      <c r="G136">
        <v>393165</v>
      </c>
      <c r="H136" s="116"/>
      <c r="I136" s="116"/>
      <c r="L136" s="170">
        <v>42199</v>
      </c>
      <c r="M136" s="116">
        <v>7.15</v>
      </c>
      <c r="N136" s="116">
        <v>7.2</v>
      </c>
      <c r="O136" s="116">
        <v>7.05</v>
      </c>
      <c r="P136" s="116">
        <v>7.15</v>
      </c>
      <c r="Q136" s="116">
        <v>7.15</v>
      </c>
      <c r="R136">
        <v>599927</v>
      </c>
    </row>
    <row r="137" spans="1:18" x14ac:dyDescent="0.25">
      <c r="A137" s="170">
        <v>42200</v>
      </c>
      <c r="B137" s="116">
        <v>7.45</v>
      </c>
      <c r="C137" s="116">
        <v>7.2</v>
      </c>
      <c r="D137" s="116">
        <v>7.18</v>
      </c>
      <c r="E137" s="116">
        <v>7.23</v>
      </c>
      <c r="F137" s="116">
        <v>7.2</v>
      </c>
      <c r="G137">
        <v>366947</v>
      </c>
      <c r="H137" s="116"/>
      <c r="I137" s="116"/>
      <c r="L137" s="170">
        <v>42200</v>
      </c>
      <c r="M137" s="116">
        <v>7.2</v>
      </c>
      <c r="N137" s="116">
        <v>7.4</v>
      </c>
      <c r="O137" s="116">
        <v>7.2</v>
      </c>
      <c r="P137" s="116">
        <v>7.25</v>
      </c>
      <c r="Q137" s="116">
        <v>7.2</v>
      </c>
      <c r="R137">
        <v>874912</v>
      </c>
    </row>
    <row r="138" spans="1:18" x14ac:dyDescent="0.25">
      <c r="A138" s="170">
        <v>42201</v>
      </c>
      <c r="B138" s="116">
        <v>7.33</v>
      </c>
      <c r="C138" s="116">
        <v>7.1</v>
      </c>
      <c r="D138" s="116">
        <v>7.05</v>
      </c>
      <c r="E138" s="116">
        <v>7.05</v>
      </c>
      <c r="F138" s="116">
        <v>7.1</v>
      </c>
      <c r="G138">
        <v>242105</v>
      </c>
      <c r="H138" s="116"/>
      <c r="I138" s="116"/>
      <c r="L138" s="170">
        <v>42201</v>
      </c>
      <c r="M138" s="116">
        <v>7.1</v>
      </c>
      <c r="N138" s="116">
        <v>7.3</v>
      </c>
      <c r="O138" s="116">
        <v>7.05</v>
      </c>
      <c r="P138" s="116">
        <v>7.3</v>
      </c>
      <c r="Q138" s="116">
        <v>7.1</v>
      </c>
      <c r="R138">
        <v>883735</v>
      </c>
    </row>
    <row r="139" spans="1:18" x14ac:dyDescent="0.25">
      <c r="A139" s="170">
        <v>42202</v>
      </c>
      <c r="B139" s="116">
        <v>7.19</v>
      </c>
      <c r="C139" s="116">
        <v>7.05</v>
      </c>
      <c r="D139" s="116">
        <v>6.98</v>
      </c>
      <c r="E139" s="116">
        <v>7.19</v>
      </c>
      <c r="F139" s="116">
        <v>7.05</v>
      </c>
      <c r="G139">
        <v>275579</v>
      </c>
      <c r="H139" s="116"/>
      <c r="I139" s="116"/>
      <c r="L139" s="170">
        <v>42202</v>
      </c>
      <c r="M139" s="116">
        <v>7.05</v>
      </c>
      <c r="N139" s="116">
        <v>7.2</v>
      </c>
      <c r="O139" s="116">
        <v>7</v>
      </c>
      <c r="P139" s="116">
        <v>7.2</v>
      </c>
      <c r="Q139" s="116">
        <v>7.05</v>
      </c>
      <c r="R139">
        <v>940793</v>
      </c>
    </row>
    <row r="140" spans="1:18" x14ac:dyDescent="0.25">
      <c r="A140" s="170">
        <v>42205</v>
      </c>
      <c r="B140" s="116">
        <v>8.4600000000000009</v>
      </c>
      <c r="C140" s="116">
        <v>8.4600000000000009</v>
      </c>
      <c r="D140" s="116">
        <v>7.55</v>
      </c>
      <c r="E140" s="116">
        <v>8.4600000000000009</v>
      </c>
      <c r="F140" s="116">
        <v>8.4600000000000009</v>
      </c>
      <c r="G140">
        <v>4967628</v>
      </c>
      <c r="H140" s="116"/>
      <c r="I140" s="116"/>
      <c r="L140" s="170">
        <v>42205</v>
      </c>
      <c r="M140" s="116">
        <v>8.4499999999999993</v>
      </c>
      <c r="N140" s="116">
        <v>8.4499999999999993</v>
      </c>
      <c r="O140" s="116">
        <v>8.1</v>
      </c>
      <c r="P140" s="116">
        <v>8.35</v>
      </c>
      <c r="Q140" s="116">
        <v>8.4499999999999993</v>
      </c>
      <c r="R140">
        <v>10123678</v>
      </c>
    </row>
    <row r="141" spans="1:18" x14ac:dyDescent="0.25">
      <c r="A141" s="170">
        <v>42206</v>
      </c>
      <c r="B141" s="116">
        <v>8.7799999999999994</v>
      </c>
      <c r="C141" s="116">
        <v>8.0299999999999994</v>
      </c>
      <c r="D141" s="116">
        <v>7.95</v>
      </c>
      <c r="E141" s="116">
        <v>8.5500000000000007</v>
      </c>
      <c r="F141" s="116">
        <v>8.0299999999999994</v>
      </c>
      <c r="G141">
        <v>2334205</v>
      </c>
      <c r="H141" s="116"/>
      <c r="I141" s="116"/>
      <c r="L141" s="170">
        <v>42206</v>
      </c>
      <c r="M141" s="116">
        <v>8.0500000000000007</v>
      </c>
      <c r="N141" s="116">
        <v>8.8000000000000007</v>
      </c>
      <c r="O141" s="116">
        <v>7.95</v>
      </c>
      <c r="P141" s="116">
        <v>8.65</v>
      </c>
      <c r="Q141" s="116">
        <v>8.0500000000000007</v>
      </c>
      <c r="R141">
        <v>7584998</v>
      </c>
    </row>
    <row r="142" spans="1:18" x14ac:dyDescent="0.25">
      <c r="A142" s="170">
        <v>42207</v>
      </c>
      <c r="B142" s="116">
        <v>8.08</v>
      </c>
      <c r="C142" s="116">
        <v>8</v>
      </c>
      <c r="D142" s="116">
        <v>7.5</v>
      </c>
      <c r="E142" s="116">
        <v>7.92</v>
      </c>
      <c r="F142" s="116">
        <v>8</v>
      </c>
      <c r="G142">
        <v>710906</v>
      </c>
      <c r="H142" s="116"/>
      <c r="I142" s="116"/>
      <c r="L142" s="170">
        <v>42207</v>
      </c>
      <c r="M142" s="116">
        <v>8</v>
      </c>
      <c r="N142" s="116">
        <v>8.1</v>
      </c>
      <c r="O142" s="116">
        <v>7.5</v>
      </c>
      <c r="P142" s="116">
        <v>8</v>
      </c>
      <c r="Q142" s="116">
        <v>8</v>
      </c>
      <c r="R142">
        <v>3224769</v>
      </c>
    </row>
    <row r="143" spans="1:18" x14ac:dyDescent="0.25">
      <c r="A143" s="170">
        <v>42208</v>
      </c>
      <c r="B143" s="116">
        <v>8.1199999999999992</v>
      </c>
      <c r="C143" s="116">
        <v>7.94</v>
      </c>
      <c r="D143" s="116">
        <v>7.85</v>
      </c>
      <c r="E143" s="116">
        <v>8</v>
      </c>
      <c r="F143" s="116">
        <v>7.94</v>
      </c>
      <c r="G143">
        <v>424835</v>
      </c>
      <c r="H143" s="116"/>
      <c r="I143" s="116"/>
      <c r="L143" s="170">
        <v>42208</v>
      </c>
      <c r="M143" s="116">
        <v>7.95</v>
      </c>
      <c r="N143" s="116">
        <v>8.1</v>
      </c>
      <c r="O143" s="116">
        <v>7.85</v>
      </c>
      <c r="P143" s="116">
        <v>8.1</v>
      </c>
      <c r="Q143" s="116">
        <v>7.95</v>
      </c>
      <c r="R143">
        <v>1181722</v>
      </c>
    </row>
    <row r="144" spans="1:18" x14ac:dyDescent="0.25">
      <c r="A144" s="170">
        <v>42209</v>
      </c>
      <c r="B144" s="116">
        <v>8</v>
      </c>
      <c r="C144" s="116">
        <v>7.69</v>
      </c>
      <c r="D144" s="116">
        <v>7.65</v>
      </c>
      <c r="E144" s="116">
        <v>8</v>
      </c>
      <c r="F144" s="116">
        <v>7.69</v>
      </c>
      <c r="G144">
        <v>385340</v>
      </c>
      <c r="H144" s="116"/>
      <c r="I144" s="116"/>
      <c r="L144" s="170">
        <v>42209</v>
      </c>
      <c r="M144" s="116">
        <v>7.65</v>
      </c>
      <c r="N144" s="116">
        <v>8</v>
      </c>
      <c r="O144" s="116">
        <v>7.65</v>
      </c>
      <c r="P144" s="116">
        <v>8</v>
      </c>
      <c r="Q144" s="116">
        <v>7.65</v>
      </c>
      <c r="R144">
        <v>1087561</v>
      </c>
    </row>
    <row r="145" spans="1:18" x14ac:dyDescent="0.25">
      <c r="A145" s="170">
        <v>42212</v>
      </c>
      <c r="B145" s="116">
        <v>7.79</v>
      </c>
      <c r="C145" s="116">
        <v>7.42</v>
      </c>
      <c r="D145" s="116">
        <v>7.4</v>
      </c>
      <c r="E145" s="116">
        <v>7.63</v>
      </c>
      <c r="F145" s="116">
        <v>7.42</v>
      </c>
      <c r="G145">
        <v>333590</v>
      </c>
      <c r="H145" s="116"/>
      <c r="I145" s="116"/>
      <c r="L145" s="170">
        <v>42212</v>
      </c>
      <c r="M145" s="116">
        <v>7.4</v>
      </c>
      <c r="N145" s="116">
        <v>7.8</v>
      </c>
      <c r="O145" s="116">
        <v>7.35</v>
      </c>
      <c r="P145" s="116">
        <v>7.65</v>
      </c>
      <c r="Q145" s="116">
        <v>7.4</v>
      </c>
      <c r="R145">
        <v>1078506</v>
      </c>
    </row>
    <row r="146" spans="1:18" x14ac:dyDescent="0.25">
      <c r="A146" s="170">
        <v>42213</v>
      </c>
      <c r="B146" s="116">
        <v>7.52</v>
      </c>
      <c r="C146" s="116">
        <v>7.32</v>
      </c>
      <c r="D146" s="116">
        <v>7.22</v>
      </c>
      <c r="E146" s="116">
        <v>7.46</v>
      </c>
      <c r="F146" s="116">
        <v>7.32</v>
      </c>
      <c r="G146">
        <v>303957</v>
      </c>
      <c r="H146" s="116"/>
      <c r="I146" s="116"/>
      <c r="L146" s="170">
        <v>42213</v>
      </c>
      <c r="M146" s="116">
        <v>7.3</v>
      </c>
      <c r="N146" s="116">
        <v>7.5</v>
      </c>
      <c r="O146" s="116">
        <v>7.2</v>
      </c>
      <c r="P146" s="116">
        <v>7.5</v>
      </c>
      <c r="Q146" s="116">
        <v>7.3</v>
      </c>
      <c r="R146">
        <v>782048</v>
      </c>
    </row>
    <row r="147" spans="1:18" x14ac:dyDescent="0.25">
      <c r="A147" s="170">
        <v>42214</v>
      </c>
      <c r="B147" s="116">
        <v>7.39</v>
      </c>
      <c r="C147" s="116">
        <v>7.21</v>
      </c>
      <c r="D147" s="116">
        <v>7.2</v>
      </c>
      <c r="E147" s="116">
        <v>7.3</v>
      </c>
      <c r="F147" s="116">
        <v>7.21</v>
      </c>
      <c r="G147">
        <v>261667</v>
      </c>
      <c r="H147" s="116"/>
      <c r="I147" s="116"/>
      <c r="L147" s="170">
        <v>42214</v>
      </c>
      <c r="M147" s="116">
        <v>7.2</v>
      </c>
      <c r="N147" s="116">
        <v>7.45</v>
      </c>
      <c r="O147" s="116">
        <v>7.15</v>
      </c>
      <c r="P147" s="116">
        <v>7.35</v>
      </c>
      <c r="Q147" s="116">
        <v>7.2</v>
      </c>
      <c r="R147">
        <v>851356</v>
      </c>
    </row>
    <row r="148" spans="1:18" x14ac:dyDescent="0.25">
      <c r="A148" s="170">
        <v>42215</v>
      </c>
      <c r="B148" s="116">
        <v>7.42</v>
      </c>
      <c r="C148" s="116">
        <v>7.29</v>
      </c>
      <c r="D148" s="116">
        <v>7.24</v>
      </c>
      <c r="E148" s="116">
        <v>7.3</v>
      </c>
      <c r="F148" s="116">
        <v>7.29</v>
      </c>
      <c r="G148">
        <v>310177</v>
      </c>
      <c r="H148" s="116"/>
      <c r="I148" s="116"/>
      <c r="L148" s="170">
        <v>42215</v>
      </c>
      <c r="M148" s="116">
        <v>7.25</v>
      </c>
      <c r="N148" s="116">
        <v>7.4</v>
      </c>
      <c r="O148" s="116">
        <v>7.25</v>
      </c>
      <c r="P148" s="116">
        <v>7.3</v>
      </c>
      <c r="Q148" s="116">
        <v>7.25</v>
      </c>
      <c r="R148">
        <v>856326</v>
      </c>
    </row>
    <row r="149" spans="1:18" x14ac:dyDescent="0.25">
      <c r="A149" s="170">
        <v>42216</v>
      </c>
      <c r="B149" s="116">
        <v>7.89</v>
      </c>
      <c r="C149" s="116">
        <v>7.54</v>
      </c>
      <c r="D149" s="116">
        <v>7.33</v>
      </c>
      <c r="E149" s="116">
        <v>7.42</v>
      </c>
      <c r="F149" s="116">
        <v>7.54</v>
      </c>
      <c r="G149">
        <v>638333</v>
      </c>
      <c r="H149" s="116"/>
      <c r="I149" s="116"/>
      <c r="L149" s="170">
        <v>42216</v>
      </c>
      <c r="M149" s="116">
        <v>7.55</v>
      </c>
      <c r="N149" s="116">
        <v>7.9</v>
      </c>
      <c r="O149" s="116">
        <v>7.35</v>
      </c>
      <c r="P149" s="116">
        <v>7.35</v>
      </c>
      <c r="Q149" s="116">
        <v>7.55</v>
      </c>
      <c r="R149">
        <v>1554086</v>
      </c>
    </row>
    <row r="150" spans="1:18" x14ac:dyDescent="0.25">
      <c r="A150" s="170">
        <v>42219</v>
      </c>
      <c r="B150" s="116">
        <v>7.77</v>
      </c>
      <c r="C150" s="116">
        <v>7.54</v>
      </c>
      <c r="D150" s="116">
        <v>7.48</v>
      </c>
      <c r="E150" s="116">
        <v>7.54</v>
      </c>
      <c r="F150" s="116">
        <v>7.54</v>
      </c>
      <c r="G150">
        <v>461498</v>
      </c>
      <c r="H150" s="116"/>
      <c r="I150" s="116"/>
      <c r="L150" s="170">
        <v>42219</v>
      </c>
      <c r="M150" s="116">
        <v>7.55</v>
      </c>
      <c r="N150" s="116">
        <v>7.75</v>
      </c>
      <c r="O150" s="116">
        <v>7.5</v>
      </c>
      <c r="P150" s="116">
        <v>7.6</v>
      </c>
      <c r="Q150" s="116">
        <v>7.55</v>
      </c>
      <c r="R150">
        <v>1672125</v>
      </c>
    </row>
    <row r="151" spans="1:18" x14ac:dyDescent="0.25">
      <c r="A151" s="170">
        <v>42220</v>
      </c>
      <c r="B151" s="116">
        <v>7.7</v>
      </c>
      <c r="C151" s="116">
        <v>7.54</v>
      </c>
      <c r="D151" s="116">
        <v>7.5</v>
      </c>
      <c r="E151" s="116">
        <v>7.7</v>
      </c>
      <c r="F151" s="116">
        <v>7.54</v>
      </c>
      <c r="G151">
        <v>454680</v>
      </c>
      <c r="H151" s="116"/>
      <c r="I151" s="116"/>
      <c r="L151" s="170">
        <v>42220</v>
      </c>
      <c r="M151" s="116">
        <v>7.55</v>
      </c>
      <c r="N151" s="116">
        <v>7.65</v>
      </c>
      <c r="O151" s="116">
        <v>7.5</v>
      </c>
      <c r="P151" s="116">
        <v>7.65</v>
      </c>
      <c r="Q151" s="116">
        <v>7.55</v>
      </c>
      <c r="R151">
        <v>817470</v>
      </c>
    </row>
    <row r="152" spans="1:18" x14ac:dyDescent="0.25">
      <c r="A152" s="170">
        <v>42221</v>
      </c>
      <c r="B152" s="116">
        <v>8.1</v>
      </c>
      <c r="C152" s="116">
        <v>7.74</v>
      </c>
      <c r="D152" s="116">
        <v>7.42</v>
      </c>
      <c r="E152" s="116">
        <v>7.42</v>
      </c>
      <c r="F152" s="116">
        <v>7.74</v>
      </c>
      <c r="G152">
        <v>603722</v>
      </c>
      <c r="H152" s="116"/>
      <c r="I152" s="116"/>
      <c r="L152" s="170">
        <v>42221</v>
      </c>
      <c r="M152" s="116">
        <v>7.75</v>
      </c>
      <c r="N152" s="116">
        <v>8.15</v>
      </c>
      <c r="O152" s="116">
        <v>7.5</v>
      </c>
      <c r="P152" s="116">
        <v>7.6</v>
      </c>
      <c r="Q152" s="116">
        <v>7.75</v>
      </c>
      <c r="R152">
        <v>2373105</v>
      </c>
    </row>
    <row r="153" spans="1:18" x14ac:dyDescent="0.25">
      <c r="A153" s="170">
        <v>42222</v>
      </c>
      <c r="B153" s="116">
        <v>8.1</v>
      </c>
      <c r="C153" s="116">
        <v>7.8</v>
      </c>
      <c r="D153" s="116">
        <v>7.71</v>
      </c>
      <c r="E153" s="116">
        <v>7.87</v>
      </c>
      <c r="F153" s="116">
        <v>7.8</v>
      </c>
      <c r="G153">
        <v>473794</v>
      </c>
      <c r="H153" s="116"/>
      <c r="I153" s="116"/>
      <c r="L153" s="170">
        <v>42222</v>
      </c>
      <c r="M153" s="116">
        <v>7.8</v>
      </c>
      <c r="N153" s="116">
        <v>8.1</v>
      </c>
      <c r="O153" s="116">
        <v>7.7</v>
      </c>
      <c r="P153" s="116">
        <v>7.85</v>
      </c>
      <c r="Q153" s="116">
        <v>7.8</v>
      </c>
      <c r="R153">
        <v>1586640</v>
      </c>
    </row>
    <row r="154" spans="1:18" x14ac:dyDescent="0.25">
      <c r="A154" s="170">
        <v>42223</v>
      </c>
      <c r="B154" s="116">
        <v>7.84</v>
      </c>
      <c r="C154" s="116">
        <v>7.73</v>
      </c>
      <c r="D154" s="116">
        <v>7.67</v>
      </c>
      <c r="E154" s="116">
        <v>7.8</v>
      </c>
      <c r="F154" s="116">
        <v>7.73</v>
      </c>
      <c r="G154">
        <v>496927</v>
      </c>
      <c r="H154" s="116"/>
      <c r="I154" s="116"/>
      <c r="L154" s="170">
        <v>42223</v>
      </c>
      <c r="M154" s="116">
        <v>7.7</v>
      </c>
      <c r="N154" s="116">
        <v>7.85</v>
      </c>
      <c r="O154" s="116">
        <v>7.65</v>
      </c>
      <c r="P154" s="116">
        <v>7.85</v>
      </c>
      <c r="Q154" s="116">
        <v>7.7</v>
      </c>
      <c r="R154">
        <v>851174</v>
      </c>
    </row>
    <row r="155" spans="1:18" x14ac:dyDescent="0.25">
      <c r="A155" s="170">
        <v>42226</v>
      </c>
      <c r="B155" s="116">
        <v>7.82</v>
      </c>
      <c r="C155" s="116">
        <v>7.07</v>
      </c>
      <c r="D155" s="116">
        <v>6.95</v>
      </c>
      <c r="E155" s="116">
        <v>7.7</v>
      </c>
      <c r="F155" s="116">
        <v>7.07</v>
      </c>
      <c r="G155">
        <v>1356636</v>
      </c>
      <c r="H155" s="116"/>
      <c r="I155" s="116"/>
      <c r="L155" s="170">
        <v>42226</v>
      </c>
      <c r="M155" s="116">
        <v>7.05</v>
      </c>
      <c r="N155" s="116">
        <v>7.8</v>
      </c>
      <c r="O155" s="116">
        <v>6.95</v>
      </c>
      <c r="P155" s="116">
        <v>7.6</v>
      </c>
      <c r="Q155" s="116">
        <v>7.05</v>
      </c>
      <c r="R155">
        <v>3802382</v>
      </c>
    </row>
    <row r="156" spans="1:18" x14ac:dyDescent="0.25">
      <c r="A156" s="170">
        <v>42227</v>
      </c>
      <c r="B156" s="116">
        <v>7.22</v>
      </c>
      <c r="C156" s="116">
        <v>7.04</v>
      </c>
      <c r="D156" s="116">
        <v>6.95</v>
      </c>
      <c r="E156" s="116">
        <v>7.16</v>
      </c>
      <c r="F156" s="116">
        <v>7.04</v>
      </c>
      <c r="G156">
        <v>307406</v>
      </c>
      <c r="H156" s="116"/>
      <c r="I156" s="116"/>
      <c r="L156" s="170">
        <v>42227</v>
      </c>
      <c r="M156" s="116">
        <v>7</v>
      </c>
      <c r="N156" s="116">
        <v>7.2</v>
      </c>
      <c r="O156" s="116">
        <v>6.95</v>
      </c>
      <c r="P156" s="116">
        <v>7.1</v>
      </c>
      <c r="Q156" s="116">
        <v>7</v>
      </c>
      <c r="R156">
        <v>1073026</v>
      </c>
    </row>
    <row r="157" spans="1:18" x14ac:dyDescent="0.25">
      <c r="A157" s="170">
        <v>42228</v>
      </c>
      <c r="B157" s="116">
        <v>7.25</v>
      </c>
      <c r="C157" s="116">
        <v>6.91</v>
      </c>
      <c r="D157" s="116">
        <v>6.86</v>
      </c>
      <c r="E157" s="116">
        <v>7.02</v>
      </c>
      <c r="F157" s="116">
        <v>6.91</v>
      </c>
      <c r="G157">
        <v>394826</v>
      </c>
      <c r="H157" s="116"/>
      <c r="I157" s="116"/>
      <c r="L157" s="170">
        <v>42228</v>
      </c>
      <c r="M157" s="116">
        <v>6.85</v>
      </c>
      <c r="N157" s="116">
        <v>7.25</v>
      </c>
      <c r="O157" s="116">
        <v>6.85</v>
      </c>
      <c r="P157" s="116">
        <v>7.05</v>
      </c>
      <c r="Q157" s="116">
        <v>6.85</v>
      </c>
      <c r="R157">
        <v>1304735</v>
      </c>
    </row>
    <row r="158" spans="1:18" x14ac:dyDescent="0.25">
      <c r="A158" s="170">
        <v>42229</v>
      </c>
      <c r="B158" s="116">
        <v>7.24</v>
      </c>
      <c r="C158" s="116">
        <v>7.08</v>
      </c>
      <c r="D158" s="116">
        <v>6.95</v>
      </c>
      <c r="E158" s="116">
        <v>6.95</v>
      </c>
      <c r="F158" s="116">
        <v>7.08</v>
      </c>
      <c r="G158">
        <v>416000</v>
      </c>
      <c r="H158" s="116"/>
      <c r="I158" s="116"/>
      <c r="L158" s="170">
        <v>42229</v>
      </c>
      <c r="M158" s="116">
        <v>7.1</v>
      </c>
      <c r="N158" s="116">
        <v>7.2</v>
      </c>
      <c r="O158" s="116">
        <v>7</v>
      </c>
      <c r="P158" s="116">
        <v>7</v>
      </c>
      <c r="Q158" s="116">
        <v>7.1</v>
      </c>
      <c r="R158">
        <v>1729336</v>
      </c>
    </row>
    <row r="159" spans="1:18" x14ac:dyDescent="0.25">
      <c r="A159" s="170">
        <v>42230</v>
      </c>
      <c r="B159" s="116">
        <v>7.27</v>
      </c>
      <c r="C159" s="116">
        <v>7.17</v>
      </c>
      <c r="D159" s="116">
        <v>6.9</v>
      </c>
      <c r="E159" s="116">
        <v>6.9</v>
      </c>
      <c r="F159" s="116">
        <v>7.17</v>
      </c>
      <c r="G159">
        <v>342747</v>
      </c>
      <c r="H159" s="116"/>
      <c r="I159" s="116"/>
      <c r="L159" s="170">
        <v>42230</v>
      </c>
      <c r="M159" s="116">
        <v>7.2</v>
      </c>
      <c r="N159" s="116">
        <v>7.3</v>
      </c>
      <c r="O159" s="116">
        <v>7.1</v>
      </c>
      <c r="P159" s="116">
        <v>7.2</v>
      </c>
      <c r="Q159" s="116">
        <v>7.2</v>
      </c>
      <c r="R159">
        <v>1049018</v>
      </c>
    </row>
    <row r="160" spans="1:18" x14ac:dyDescent="0.25">
      <c r="A160" s="170">
        <v>42233</v>
      </c>
      <c r="B160" s="116">
        <v>7.4</v>
      </c>
      <c r="C160" s="116">
        <v>7.26</v>
      </c>
      <c r="D160" s="116">
        <v>7.13</v>
      </c>
      <c r="E160" s="116">
        <v>7.25</v>
      </c>
      <c r="F160" s="116">
        <v>7.26</v>
      </c>
      <c r="G160">
        <v>275883</v>
      </c>
      <c r="H160" s="116"/>
      <c r="I160" s="116"/>
      <c r="L160" s="170">
        <v>42233</v>
      </c>
      <c r="M160" s="116">
        <v>7.25</v>
      </c>
      <c r="N160" s="116">
        <v>7.4</v>
      </c>
      <c r="O160" s="116">
        <v>7.15</v>
      </c>
      <c r="P160" s="116">
        <v>7.25</v>
      </c>
      <c r="Q160" s="116">
        <v>7.25</v>
      </c>
      <c r="R160">
        <v>935540</v>
      </c>
    </row>
    <row r="161" spans="1:18" x14ac:dyDescent="0.25">
      <c r="A161" s="170">
        <v>42234</v>
      </c>
      <c r="B161" s="116">
        <v>7.36</v>
      </c>
      <c r="C161" s="116">
        <v>7.18</v>
      </c>
      <c r="D161" s="116">
        <v>7.13</v>
      </c>
      <c r="E161" s="116">
        <v>7.36</v>
      </c>
      <c r="F161" s="116">
        <v>7.18</v>
      </c>
      <c r="G161">
        <v>173689</v>
      </c>
      <c r="H161" s="116"/>
      <c r="I161" s="116"/>
      <c r="L161" s="170">
        <v>42234</v>
      </c>
      <c r="M161" s="116">
        <v>7.2</v>
      </c>
      <c r="N161" s="116">
        <v>7.4</v>
      </c>
      <c r="O161" s="116">
        <v>7.1</v>
      </c>
      <c r="P161" s="116">
        <v>7.4</v>
      </c>
      <c r="Q161" s="116">
        <v>7.2</v>
      </c>
      <c r="R161">
        <v>740451</v>
      </c>
    </row>
    <row r="162" spans="1:18" x14ac:dyDescent="0.25">
      <c r="A162" s="170">
        <v>42235</v>
      </c>
      <c r="B162" s="116">
        <v>7.2</v>
      </c>
      <c r="C162" s="116">
        <v>7.14</v>
      </c>
      <c r="D162" s="116">
        <v>7.05</v>
      </c>
      <c r="E162" s="116">
        <v>7.13</v>
      </c>
      <c r="F162" s="116">
        <v>7.14</v>
      </c>
      <c r="G162">
        <v>228429</v>
      </c>
      <c r="H162" s="116"/>
      <c r="I162" s="116"/>
      <c r="L162" s="170">
        <v>42235</v>
      </c>
      <c r="M162" s="116">
        <v>7.1</v>
      </c>
      <c r="N162" s="116">
        <v>7.25</v>
      </c>
      <c r="O162" s="116">
        <v>7.05</v>
      </c>
      <c r="P162" s="116">
        <v>7.25</v>
      </c>
      <c r="Q162" s="116">
        <v>7.1</v>
      </c>
      <c r="R162">
        <v>611530</v>
      </c>
    </row>
    <row r="163" spans="1:18" x14ac:dyDescent="0.25">
      <c r="A163" s="170">
        <v>42236</v>
      </c>
      <c r="B163" s="116">
        <v>7.13</v>
      </c>
      <c r="C163" s="116">
        <v>6.98</v>
      </c>
      <c r="D163" s="116">
        <v>6.93</v>
      </c>
      <c r="E163" s="116">
        <v>7.1</v>
      </c>
      <c r="F163" s="116">
        <v>6.98</v>
      </c>
      <c r="G163">
        <v>238324</v>
      </c>
      <c r="H163" s="116"/>
      <c r="I163" s="116"/>
      <c r="L163" s="170">
        <v>42236</v>
      </c>
      <c r="M163" s="116">
        <v>7</v>
      </c>
      <c r="N163" s="116">
        <v>7.2</v>
      </c>
      <c r="O163" s="116">
        <v>6.95</v>
      </c>
      <c r="P163" s="116">
        <v>7.15</v>
      </c>
      <c r="Q163" s="116">
        <v>7</v>
      </c>
      <c r="R163">
        <v>1064196</v>
      </c>
    </row>
    <row r="164" spans="1:18" x14ac:dyDescent="0.25">
      <c r="A164" s="170">
        <v>42237</v>
      </c>
      <c r="B164" s="116">
        <v>7.17</v>
      </c>
      <c r="C164" s="116">
        <v>7.02</v>
      </c>
      <c r="D164" s="116">
        <v>6.85</v>
      </c>
      <c r="E164" s="116">
        <v>6.85</v>
      </c>
      <c r="F164" s="116">
        <v>7.02</v>
      </c>
      <c r="G164">
        <v>467231</v>
      </c>
      <c r="H164" s="116"/>
      <c r="I164" s="116"/>
      <c r="L164" s="170">
        <v>42237</v>
      </c>
      <c r="M164" s="116">
        <v>7.05</v>
      </c>
      <c r="N164" s="116">
        <v>7.15</v>
      </c>
      <c r="O164" s="116">
        <v>6.95</v>
      </c>
      <c r="P164" s="116">
        <v>6.95</v>
      </c>
      <c r="Q164" s="116">
        <v>7.05</v>
      </c>
      <c r="R164">
        <v>1044854</v>
      </c>
    </row>
    <row r="165" spans="1:18" x14ac:dyDescent="0.25">
      <c r="A165" s="170">
        <v>42240</v>
      </c>
      <c r="B165" s="116">
        <v>7.05</v>
      </c>
      <c r="C165" s="116">
        <v>6.26</v>
      </c>
      <c r="D165" s="116">
        <v>6.2</v>
      </c>
      <c r="E165" s="116">
        <v>7.05</v>
      </c>
      <c r="F165" s="116">
        <v>6.26</v>
      </c>
      <c r="G165">
        <v>695957</v>
      </c>
      <c r="H165" s="116"/>
      <c r="I165" s="116"/>
      <c r="L165" s="170">
        <v>42240</v>
      </c>
      <c r="M165" s="116">
        <v>6.25</v>
      </c>
      <c r="N165" s="116">
        <v>7</v>
      </c>
      <c r="O165" s="116">
        <v>6.15</v>
      </c>
      <c r="P165" s="116">
        <v>7</v>
      </c>
      <c r="Q165" s="116">
        <v>6.25</v>
      </c>
      <c r="R165">
        <v>2172903</v>
      </c>
    </row>
    <row r="166" spans="1:18" x14ac:dyDescent="0.25">
      <c r="A166" s="170">
        <v>42241</v>
      </c>
      <c r="B166" s="116">
        <v>6.7</v>
      </c>
      <c r="C166" s="116">
        <v>6.24</v>
      </c>
      <c r="D166" s="116">
        <v>5.75</v>
      </c>
      <c r="E166" s="116">
        <v>6.01</v>
      </c>
      <c r="F166" s="116">
        <v>6.24</v>
      </c>
      <c r="G166">
        <v>1057010</v>
      </c>
      <c r="H166" s="116"/>
      <c r="I166" s="116"/>
      <c r="L166" s="170">
        <v>42241</v>
      </c>
      <c r="M166" s="116">
        <v>6.2</v>
      </c>
      <c r="N166" s="116">
        <v>6.5</v>
      </c>
      <c r="O166" s="116">
        <v>5.7</v>
      </c>
      <c r="P166" s="116">
        <v>6.25</v>
      </c>
      <c r="Q166" s="116">
        <v>6.2</v>
      </c>
      <c r="R166">
        <v>2686668</v>
      </c>
    </row>
    <row r="167" spans="1:18" x14ac:dyDescent="0.25">
      <c r="A167" s="170">
        <v>42242</v>
      </c>
      <c r="B167" s="116">
        <v>6.45</v>
      </c>
      <c r="C167" s="116">
        <v>6.35</v>
      </c>
      <c r="D167" s="116">
        <v>6.13</v>
      </c>
      <c r="E167" s="116">
        <v>6.3</v>
      </c>
      <c r="F167" s="116">
        <v>6.35</v>
      </c>
      <c r="G167">
        <v>201283</v>
      </c>
      <c r="H167" s="116"/>
      <c r="I167" s="116"/>
      <c r="L167" s="170">
        <v>42242</v>
      </c>
      <c r="M167" s="116">
        <v>6.35</v>
      </c>
      <c r="N167" s="116">
        <v>6.5</v>
      </c>
      <c r="O167" s="116">
        <v>6.15</v>
      </c>
      <c r="P167" s="116">
        <v>6.3</v>
      </c>
      <c r="Q167" s="116">
        <v>6.35</v>
      </c>
      <c r="R167">
        <v>1034576</v>
      </c>
    </row>
    <row r="168" spans="1:18" x14ac:dyDescent="0.25">
      <c r="A168" s="170">
        <v>42243</v>
      </c>
      <c r="B168" s="116">
        <v>6.63</v>
      </c>
      <c r="C168" s="116">
        <v>6.45</v>
      </c>
      <c r="D168" s="116">
        <v>6.35</v>
      </c>
      <c r="E168" s="116">
        <v>6.43</v>
      </c>
      <c r="F168" s="116">
        <v>6.45</v>
      </c>
      <c r="G168">
        <v>234960</v>
      </c>
      <c r="H168" s="116"/>
      <c r="I168" s="116"/>
      <c r="L168" s="170">
        <v>42243</v>
      </c>
      <c r="M168" s="116">
        <v>6.45</v>
      </c>
      <c r="N168" s="116">
        <v>6.65</v>
      </c>
      <c r="O168" s="116">
        <v>6.35</v>
      </c>
      <c r="P168" s="116">
        <v>6.35</v>
      </c>
      <c r="Q168" s="116">
        <v>6.45</v>
      </c>
      <c r="R168">
        <v>864705</v>
      </c>
    </row>
    <row r="169" spans="1:18" x14ac:dyDescent="0.25">
      <c r="A169" s="170">
        <v>42244</v>
      </c>
      <c r="B169" s="116">
        <v>6.9</v>
      </c>
      <c r="C169" s="116">
        <v>6.59</v>
      </c>
      <c r="D169" s="116">
        <v>6.46</v>
      </c>
      <c r="E169" s="116">
        <v>6.65</v>
      </c>
      <c r="F169" s="116">
        <v>6.59</v>
      </c>
      <c r="G169">
        <v>246269</v>
      </c>
      <c r="H169" s="116"/>
      <c r="I169" s="116"/>
      <c r="L169" s="170">
        <v>42244</v>
      </c>
      <c r="M169" s="116">
        <v>6.6</v>
      </c>
      <c r="N169" s="116">
        <v>6.9</v>
      </c>
      <c r="O169" s="116">
        <v>6.45</v>
      </c>
      <c r="P169" s="116">
        <v>6.8</v>
      </c>
      <c r="Q169" s="116">
        <v>6.6</v>
      </c>
      <c r="R169">
        <v>1312400</v>
      </c>
    </row>
    <row r="170" spans="1:18" x14ac:dyDescent="0.25">
      <c r="A170" s="170">
        <v>42247</v>
      </c>
      <c r="B170" s="116">
        <v>6.6</v>
      </c>
      <c r="C170" s="116">
        <v>6.5</v>
      </c>
      <c r="D170" s="116">
        <v>6.46</v>
      </c>
      <c r="E170" s="116">
        <v>6.6</v>
      </c>
      <c r="F170" s="116">
        <v>6.5</v>
      </c>
      <c r="G170">
        <v>96716</v>
      </c>
      <c r="H170" s="116"/>
      <c r="I170" s="116"/>
      <c r="L170" s="170">
        <v>42247</v>
      </c>
      <c r="M170" s="116">
        <v>6.5</v>
      </c>
      <c r="N170" s="116">
        <v>6.6</v>
      </c>
      <c r="O170" s="116">
        <v>6.45</v>
      </c>
      <c r="P170" s="116">
        <v>6.6</v>
      </c>
      <c r="Q170" s="116">
        <v>6.5</v>
      </c>
      <c r="R170">
        <v>259130</v>
      </c>
    </row>
    <row r="171" spans="1:18" x14ac:dyDescent="0.25">
      <c r="A171" s="170">
        <v>42248</v>
      </c>
      <c r="B171" s="116">
        <v>6.54</v>
      </c>
      <c r="C171" s="116">
        <v>6.26</v>
      </c>
      <c r="D171" s="116">
        <v>6.1</v>
      </c>
      <c r="E171" s="116">
        <v>6.46</v>
      </c>
      <c r="F171" s="116">
        <v>6.26</v>
      </c>
      <c r="G171">
        <v>200007</v>
      </c>
      <c r="H171" s="116"/>
      <c r="I171" s="116"/>
      <c r="L171" s="170">
        <v>42248</v>
      </c>
      <c r="M171" s="116">
        <v>6.25</v>
      </c>
      <c r="N171" s="116">
        <v>6.6</v>
      </c>
      <c r="O171" s="116">
        <v>6.05</v>
      </c>
      <c r="P171" s="116">
        <v>6.6</v>
      </c>
      <c r="Q171" s="116">
        <v>6.25</v>
      </c>
      <c r="R171">
        <v>1180078</v>
      </c>
    </row>
    <row r="172" spans="1:18" x14ac:dyDescent="0.25">
      <c r="A172" s="170">
        <v>42249</v>
      </c>
      <c r="B172" s="116">
        <v>6.35</v>
      </c>
      <c r="C172" s="116">
        <v>6.21</v>
      </c>
      <c r="D172" s="116">
        <v>6.1</v>
      </c>
      <c r="E172" s="116">
        <v>6.28</v>
      </c>
      <c r="F172" s="116">
        <v>6.21</v>
      </c>
      <c r="G172">
        <v>184989</v>
      </c>
      <c r="H172" s="116"/>
      <c r="I172" s="116"/>
      <c r="L172" s="170">
        <v>42249</v>
      </c>
      <c r="M172" s="116">
        <v>6.2</v>
      </c>
      <c r="N172" s="116">
        <v>6.35</v>
      </c>
      <c r="O172" s="116">
        <v>6.05</v>
      </c>
      <c r="P172" s="116">
        <v>6.35</v>
      </c>
      <c r="Q172" s="116">
        <v>6.2</v>
      </c>
      <c r="R172">
        <v>882897</v>
      </c>
    </row>
    <row r="173" spans="1:18" x14ac:dyDescent="0.25">
      <c r="A173" s="170">
        <v>42250</v>
      </c>
      <c r="B173" s="116">
        <v>6.35</v>
      </c>
      <c r="C173" s="116">
        <v>6.28</v>
      </c>
      <c r="D173" s="116">
        <v>6.23</v>
      </c>
      <c r="E173" s="116">
        <v>6.23</v>
      </c>
      <c r="F173" s="116">
        <v>6.28</v>
      </c>
      <c r="G173">
        <v>106600</v>
      </c>
      <c r="H173" s="116"/>
      <c r="I173" s="116"/>
      <c r="L173" s="170">
        <v>42250</v>
      </c>
      <c r="M173" s="116">
        <v>6.25</v>
      </c>
      <c r="N173" s="116">
        <v>6.4</v>
      </c>
      <c r="O173" s="116">
        <v>6.25</v>
      </c>
      <c r="P173" s="116">
        <v>6.4</v>
      </c>
      <c r="Q173" s="116">
        <v>6.25</v>
      </c>
      <c r="R173">
        <v>429342</v>
      </c>
    </row>
    <row r="174" spans="1:18" x14ac:dyDescent="0.25">
      <c r="A174" s="170">
        <v>42251</v>
      </c>
      <c r="B174" s="116">
        <v>6.22</v>
      </c>
      <c r="C174" s="116">
        <v>6.1</v>
      </c>
      <c r="D174" s="116">
        <v>6.05</v>
      </c>
      <c r="E174" s="116">
        <v>6.2</v>
      </c>
      <c r="F174" s="116">
        <v>6.1</v>
      </c>
      <c r="G174">
        <v>311836</v>
      </c>
      <c r="H174" s="116"/>
      <c r="I174" s="116"/>
      <c r="L174" s="170">
        <v>42251</v>
      </c>
      <c r="M174" s="116">
        <v>6.15</v>
      </c>
      <c r="N174" s="116">
        <v>6.3</v>
      </c>
      <c r="O174" s="116">
        <v>6.05</v>
      </c>
      <c r="P174" s="116">
        <v>6.3</v>
      </c>
      <c r="Q174" s="116">
        <v>6.15</v>
      </c>
      <c r="R174">
        <v>974391</v>
      </c>
    </row>
    <row r="175" spans="1:18" x14ac:dyDescent="0.25">
      <c r="A175" s="170">
        <v>42254</v>
      </c>
      <c r="B175" s="116">
        <v>6.84</v>
      </c>
      <c r="C175" s="116">
        <v>6.28</v>
      </c>
      <c r="D175" s="116">
        <v>6.18</v>
      </c>
      <c r="E175" s="116">
        <v>6.25</v>
      </c>
      <c r="F175" s="116">
        <v>6.28</v>
      </c>
      <c r="G175">
        <v>370674</v>
      </c>
      <c r="H175" s="116"/>
      <c r="I175" s="116"/>
      <c r="L175" s="170">
        <v>42254</v>
      </c>
      <c r="M175" s="116">
        <v>6.25</v>
      </c>
      <c r="N175" s="116">
        <v>6.95</v>
      </c>
      <c r="O175" s="116">
        <v>6.15</v>
      </c>
      <c r="P175" s="116">
        <v>6.3</v>
      </c>
      <c r="Q175" s="116">
        <v>6.25</v>
      </c>
      <c r="R175">
        <v>1675292</v>
      </c>
    </row>
    <row r="176" spans="1:18" x14ac:dyDescent="0.25">
      <c r="A176" s="170">
        <v>42255</v>
      </c>
      <c r="B176" s="116">
        <v>6.43</v>
      </c>
      <c r="C176" s="116">
        <v>6.24</v>
      </c>
      <c r="D176" s="116">
        <v>6.15</v>
      </c>
      <c r="E176" s="116">
        <v>6.43</v>
      </c>
      <c r="F176" s="116">
        <v>6.24</v>
      </c>
      <c r="G176">
        <v>161955</v>
      </c>
      <c r="H176" s="116"/>
      <c r="I176" s="116"/>
      <c r="L176" s="170">
        <v>42255</v>
      </c>
      <c r="M176" s="116">
        <v>6.25</v>
      </c>
      <c r="N176" s="116">
        <v>6.45</v>
      </c>
      <c r="O176" s="116">
        <v>6.15</v>
      </c>
      <c r="P176" s="116">
        <v>6.45</v>
      </c>
      <c r="Q176" s="116">
        <v>6.25</v>
      </c>
      <c r="R176">
        <v>691138</v>
      </c>
    </row>
    <row r="177" spans="1:18" x14ac:dyDescent="0.25">
      <c r="A177" s="170">
        <v>42256</v>
      </c>
      <c r="B177" s="116">
        <v>6.89</v>
      </c>
      <c r="C177" s="116">
        <v>6.57</v>
      </c>
      <c r="D177" s="116">
        <v>6.3</v>
      </c>
      <c r="E177" s="116">
        <v>6.42</v>
      </c>
      <c r="F177" s="116">
        <v>6.57</v>
      </c>
      <c r="G177">
        <v>598344</v>
      </c>
      <c r="H177" s="116"/>
      <c r="I177" s="116"/>
      <c r="L177" s="170">
        <v>42256</v>
      </c>
      <c r="M177" s="116">
        <v>6.6</v>
      </c>
      <c r="N177" s="116">
        <v>6.9</v>
      </c>
      <c r="O177" s="116">
        <v>6.3</v>
      </c>
      <c r="P177" s="116">
        <v>6.45</v>
      </c>
      <c r="Q177" s="116">
        <v>6.6</v>
      </c>
      <c r="R177">
        <v>2685430</v>
      </c>
    </row>
    <row r="178" spans="1:18" x14ac:dyDescent="0.25">
      <c r="A178" s="170">
        <v>42257</v>
      </c>
      <c r="B178" s="116">
        <v>6.6</v>
      </c>
      <c r="C178" s="116">
        <v>6.51</v>
      </c>
      <c r="D178" s="116">
        <v>6.35</v>
      </c>
      <c r="E178" s="116">
        <v>6.57</v>
      </c>
      <c r="F178" s="116">
        <v>6.51</v>
      </c>
      <c r="G178">
        <v>245767</v>
      </c>
      <c r="H178" s="116"/>
      <c r="I178" s="116"/>
      <c r="L178" s="170">
        <v>42257</v>
      </c>
      <c r="M178" s="116">
        <v>6.5</v>
      </c>
      <c r="N178" s="116">
        <v>6.6</v>
      </c>
      <c r="O178" s="116">
        <v>6.3</v>
      </c>
      <c r="P178" s="116">
        <v>6.3</v>
      </c>
      <c r="Q178" s="116">
        <v>6.5</v>
      </c>
      <c r="R178">
        <v>882995</v>
      </c>
    </row>
    <row r="179" spans="1:18" x14ac:dyDescent="0.25">
      <c r="A179" s="170">
        <v>42258</v>
      </c>
      <c r="B179" s="116">
        <v>6.65</v>
      </c>
      <c r="C179" s="116">
        <v>6.38</v>
      </c>
      <c r="D179" s="116">
        <v>6.33</v>
      </c>
      <c r="E179" s="116">
        <v>6.6</v>
      </c>
      <c r="F179" s="116">
        <v>6.38</v>
      </c>
      <c r="G179">
        <v>257274</v>
      </c>
      <c r="H179" s="116"/>
      <c r="I179" s="116"/>
      <c r="L179" s="170">
        <v>42258</v>
      </c>
      <c r="M179" s="116">
        <v>6.4</v>
      </c>
      <c r="N179" s="116">
        <v>6.7</v>
      </c>
      <c r="O179" s="116">
        <v>6.35</v>
      </c>
      <c r="P179" s="116">
        <v>6.5</v>
      </c>
      <c r="Q179" s="116">
        <v>6.4</v>
      </c>
      <c r="R179">
        <v>753744</v>
      </c>
    </row>
    <row r="180" spans="1:18" x14ac:dyDescent="0.25">
      <c r="A180" s="170">
        <v>42261</v>
      </c>
      <c r="B180" s="116">
        <v>6.58</v>
      </c>
      <c r="C180" s="116">
        <v>6.45</v>
      </c>
      <c r="D180" s="116">
        <v>6.35</v>
      </c>
      <c r="E180" s="116">
        <v>6.36</v>
      </c>
      <c r="F180" s="116">
        <v>6.45</v>
      </c>
      <c r="G180">
        <v>257901</v>
      </c>
      <c r="H180" s="116"/>
      <c r="I180" s="116"/>
      <c r="L180" s="170">
        <v>42261</v>
      </c>
      <c r="M180" s="116">
        <v>6.5</v>
      </c>
      <c r="N180" s="116">
        <v>6.55</v>
      </c>
      <c r="O180" s="116">
        <v>6.35</v>
      </c>
      <c r="P180" s="116">
        <v>6.45</v>
      </c>
      <c r="Q180" s="116">
        <v>6.5</v>
      </c>
      <c r="R180">
        <v>806272</v>
      </c>
    </row>
    <row r="181" spans="1:18" x14ac:dyDescent="0.25">
      <c r="A181" s="170">
        <v>42262</v>
      </c>
      <c r="B181" s="116">
        <v>6.53</v>
      </c>
      <c r="C181" s="116">
        <v>6.4</v>
      </c>
      <c r="D181" s="116">
        <v>6.36</v>
      </c>
      <c r="E181" s="116">
        <v>6.47</v>
      </c>
      <c r="F181" s="116">
        <v>6.4</v>
      </c>
      <c r="G181">
        <v>57475</v>
      </c>
      <c r="H181" s="116"/>
      <c r="I181" s="116"/>
      <c r="L181" s="170">
        <v>42262</v>
      </c>
      <c r="M181" s="116">
        <v>6.4</v>
      </c>
      <c r="N181" s="116">
        <v>6.55</v>
      </c>
      <c r="O181" s="116">
        <v>6.4</v>
      </c>
      <c r="P181" s="116">
        <v>6.55</v>
      </c>
      <c r="Q181" s="116">
        <v>6.4</v>
      </c>
      <c r="R181">
        <v>470858</v>
      </c>
    </row>
    <row r="182" spans="1:18" x14ac:dyDescent="0.25">
      <c r="A182" s="170">
        <v>42263</v>
      </c>
      <c r="B182" s="116">
        <v>6.5</v>
      </c>
      <c r="C182" s="116">
        <v>6.33</v>
      </c>
      <c r="D182" s="116">
        <v>6.3</v>
      </c>
      <c r="E182" s="116">
        <v>6.4</v>
      </c>
      <c r="F182" s="116">
        <v>6.33</v>
      </c>
      <c r="G182">
        <v>132720</v>
      </c>
      <c r="H182" s="116"/>
      <c r="I182" s="116"/>
      <c r="L182" s="170">
        <v>42263</v>
      </c>
      <c r="M182" s="116">
        <v>6.3</v>
      </c>
      <c r="N182" s="116">
        <v>6.5</v>
      </c>
      <c r="O182" s="116">
        <v>6.25</v>
      </c>
      <c r="P182" s="116">
        <v>6.5</v>
      </c>
      <c r="Q182" s="116">
        <v>6.3</v>
      </c>
      <c r="R182">
        <v>644894</v>
      </c>
    </row>
    <row r="183" spans="1:18" x14ac:dyDescent="0.25">
      <c r="A183" s="170">
        <v>42265</v>
      </c>
      <c r="B183" s="116">
        <v>6.7</v>
      </c>
      <c r="C183" s="116">
        <v>6.18</v>
      </c>
      <c r="D183" s="116">
        <v>6</v>
      </c>
      <c r="E183" s="116">
        <v>6.42</v>
      </c>
      <c r="F183" s="116">
        <v>6.18</v>
      </c>
      <c r="G183">
        <v>875520</v>
      </c>
      <c r="H183" s="116"/>
      <c r="I183" s="116"/>
      <c r="L183" s="170">
        <v>42265</v>
      </c>
      <c r="M183" s="116">
        <v>6.15</v>
      </c>
      <c r="N183" s="116">
        <v>6.75</v>
      </c>
      <c r="O183" s="116">
        <v>5.95</v>
      </c>
      <c r="P183" s="116">
        <v>6.4</v>
      </c>
      <c r="Q183" s="116">
        <v>6.15</v>
      </c>
      <c r="R183">
        <v>8828185</v>
      </c>
    </row>
    <row r="184" spans="1:18" x14ac:dyDescent="0.25">
      <c r="A184" s="170">
        <v>42268</v>
      </c>
      <c r="B184" s="116">
        <v>6.43</v>
      </c>
      <c r="C184" s="116">
        <v>6.34</v>
      </c>
      <c r="D184" s="116">
        <v>6.12</v>
      </c>
      <c r="E184" s="116">
        <v>6.18</v>
      </c>
      <c r="F184" s="116">
        <v>6.34</v>
      </c>
      <c r="G184">
        <v>429321</v>
      </c>
      <c r="H184" s="116"/>
      <c r="I184" s="116"/>
      <c r="L184" s="170">
        <v>42268</v>
      </c>
      <c r="M184" s="116">
        <v>6.35</v>
      </c>
      <c r="N184" s="116">
        <v>6.45</v>
      </c>
      <c r="O184" s="116">
        <v>6.1</v>
      </c>
      <c r="P184" s="116">
        <v>6.2</v>
      </c>
      <c r="Q184" s="116">
        <v>6.35</v>
      </c>
      <c r="R184">
        <v>1033802</v>
      </c>
    </row>
    <row r="185" spans="1:18" x14ac:dyDescent="0.25">
      <c r="A185" s="170">
        <v>42269</v>
      </c>
      <c r="B185" s="116">
        <v>6.53</v>
      </c>
      <c r="C185" s="116">
        <v>6.27</v>
      </c>
      <c r="D185" s="116">
        <v>6.23</v>
      </c>
      <c r="E185" s="116">
        <v>6.53</v>
      </c>
      <c r="F185" s="116">
        <v>6.27</v>
      </c>
      <c r="G185">
        <v>305321</v>
      </c>
      <c r="H185" s="116"/>
      <c r="I185" s="116"/>
      <c r="L185" s="170">
        <v>42269</v>
      </c>
      <c r="M185" s="116">
        <v>6.25</v>
      </c>
      <c r="N185" s="116">
        <v>6.6</v>
      </c>
      <c r="O185" s="116">
        <v>6.25</v>
      </c>
      <c r="P185" s="116">
        <v>6.5</v>
      </c>
      <c r="Q185" s="116">
        <v>6.25</v>
      </c>
      <c r="R185">
        <v>921651</v>
      </c>
    </row>
    <row r="186" spans="1:18" x14ac:dyDescent="0.25">
      <c r="A186" s="170">
        <v>42270</v>
      </c>
      <c r="B186" s="116">
        <v>6.32</v>
      </c>
      <c r="C186" s="116">
        <v>6.24</v>
      </c>
      <c r="D186" s="116">
        <v>6.2</v>
      </c>
      <c r="E186" s="116">
        <v>6.27</v>
      </c>
      <c r="F186" s="116">
        <v>6.24</v>
      </c>
      <c r="G186">
        <v>241277</v>
      </c>
      <c r="H186" s="116"/>
      <c r="I186" s="116"/>
      <c r="L186" s="170">
        <v>42270</v>
      </c>
      <c r="M186" s="116">
        <v>6.2</v>
      </c>
      <c r="N186" s="116">
        <v>6.3</v>
      </c>
      <c r="O186" s="116">
        <v>6.2</v>
      </c>
      <c r="P186" s="116">
        <v>6.25</v>
      </c>
      <c r="Q186" s="116">
        <v>6.2</v>
      </c>
      <c r="R186">
        <v>525738</v>
      </c>
    </row>
    <row r="187" spans="1:18" x14ac:dyDescent="0.25">
      <c r="A187" s="170">
        <v>42271</v>
      </c>
      <c r="B187" s="116">
        <v>6.29</v>
      </c>
      <c r="C187" s="116">
        <v>6.24</v>
      </c>
      <c r="D187" s="116">
        <v>6.2</v>
      </c>
      <c r="E187" s="116">
        <v>6.29</v>
      </c>
      <c r="F187" s="116">
        <v>6.24</v>
      </c>
      <c r="G187">
        <v>179808</v>
      </c>
      <c r="H187" s="116"/>
      <c r="I187" s="116"/>
      <c r="L187" s="170">
        <v>42271</v>
      </c>
      <c r="M187" s="116">
        <v>6.25</v>
      </c>
      <c r="N187" s="116">
        <v>6.3</v>
      </c>
      <c r="O187" s="116">
        <v>6.2</v>
      </c>
      <c r="P187" s="116">
        <v>6.2</v>
      </c>
      <c r="Q187" s="116">
        <v>6.25</v>
      </c>
      <c r="R187">
        <v>497706</v>
      </c>
    </row>
    <row r="188" spans="1:18" x14ac:dyDescent="0.25">
      <c r="A188" s="170">
        <v>42275</v>
      </c>
      <c r="B188" s="116">
        <v>6.37</v>
      </c>
      <c r="C188" s="116">
        <v>6.16</v>
      </c>
      <c r="D188" s="116">
        <v>6.13</v>
      </c>
      <c r="E188" s="116">
        <v>6.15</v>
      </c>
      <c r="F188" s="116">
        <v>6.16</v>
      </c>
      <c r="G188">
        <v>126740</v>
      </c>
      <c r="H188" s="116"/>
      <c r="I188" s="116"/>
      <c r="L188" s="170">
        <v>42275</v>
      </c>
      <c r="M188" s="116">
        <v>6.15</v>
      </c>
      <c r="N188" s="116">
        <v>6.4</v>
      </c>
      <c r="O188" s="116">
        <v>6.1</v>
      </c>
      <c r="P188" s="116">
        <v>6.3</v>
      </c>
      <c r="Q188" s="116">
        <v>6.15</v>
      </c>
      <c r="R188">
        <v>448570</v>
      </c>
    </row>
    <row r="189" spans="1:18" x14ac:dyDescent="0.25">
      <c r="A189" s="170">
        <v>42276</v>
      </c>
      <c r="B189" s="116">
        <v>6.3</v>
      </c>
      <c r="C189" s="116">
        <v>6.11</v>
      </c>
      <c r="D189" s="116">
        <v>6.03</v>
      </c>
      <c r="E189" s="116">
        <v>6.03</v>
      </c>
      <c r="F189" s="116">
        <v>6.11</v>
      </c>
      <c r="G189">
        <v>295804</v>
      </c>
      <c r="H189" s="116"/>
      <c r="I189" s="116"/>
      <c r="L189" s="170">
        <v>42276</v>
      </c>
      <c r="M189" s="116">
        <v>6.15</v>
      </c>
      <c r="N189" s="116">
        <v>6.3</v>
      </c>
      <c r="O189" s="116">
        <v>6.1</v>
      </c>
      <c r="P189" s="116">
        <v>6.1</v>
      </c>
      <c r="Q189" s="116">
        <v>6.15</v>
      </c>
      <c r="R189">
        <v>1168139</v>
      </c>
    </row>
    <row r="190" spans="1:18" x14ac:dyDescent="0.25">
      <c r="A190" s="170">
        <v>42277</v>
      </c>
      <c r="B190" s="116">
        <v>6.26</v>
      </c>
      <c r="C190" s="116">
        <v>6.19</v>
      </c>
      <c r="D190" s="116">
        <v>6.1</v>
      </c>
      <c r="E190" s="116">
        <v>6.26</v>
      </c>
      <c r="F190" s="116">
        <v>6.19</v>
      </c>
      <c r="G190">
        <v>242837</v>
      </c>
      <c r="H190" s="116"/>
      <c r="I190" s="116"/>
      <c r="L190" s="170">
        <v>42277</v>
      </c>
      <c r="M190" s="116">
        <v>6.2</v>
      </c>
      <c r="N190" s="116">
        <v>6.3</v>
      </c>
      <c r="O190" s="116">
        <v>6.1</v>
      </c>
      <c r="P190" s="116">
        <v>6.3</v>
      </c>
      <c r="Q190" s="116">
        <v>6.2</v>
      </c>
      <c r="R190">
        <v>781593</v>
      </c>
    </row>
    <row r="191" spans="1:18" x14ac:dyDescent="0.25">
      <c r="A191" s="170">
        <v>42278</v>
      </c>
      <c r="B191" s="116">
        <v>6.3</v>
      </c>
      <c r="C191" s="116">
        <v>6.21</v>
      </c>
      <c r="D191" s="116">
        <v>6.17</v>
      </c>
      <c r="E191" s="116">
        <v>6.25</v>
      </c>
      <c r="F191" s="116">
        <v>6.21</v>
      </c>
      <c r="G191">
        <v>234728</v>
      </c>
      <c r="H191" s="116"/>
      <c r="I191" s="116"/>
      <c r="L191" s="170">
        <v>42278</v>
      </c>
      <c r="M191" s="116">
        <v>6.2</v>
      </c>
      <c r="N191" s="116">
        <v>6.3</v>
      </c>
      <c r="O191" s="116">
        <v>6.15</v>
      </c>
      <c r="P191" s="116">
        <v>6.25</v>
      </c>
      <c r="Q191" s="116">
        <v>6.2</v>
      </c>
      <c r="R191">
        <v>604933</v>
      </c>
    </row>
    <row r="192" spans="1:18" x14ac:dyDescent="0.25">
      <c r="A192" s="170">
        <v>42282</v>
      </c>
      <c r="B192" s="116">
        <v>6.4</v>
      </c>
      <c r="C192" s="116">
        <v>6.31</v>
      </c>
      <c r="D192" s="116">
        <v>6.28</v>
      </c>
      <c r="E192" s="116">
        <v>6.35</v>
      </c>
      <c r="F192" s="116">
        <v>6.31</v>
      </c>
      <c r="G192">
        <v>125031</v>
      </c>
      <c r="H192" s="116"/>
      <c r="I192" s="116"/>
      <c r="L192" s="170">
        <v>42282</v>
      </c>
      <c r="M192" s="116">
        <v>6.3</v>
      </c>
      <c r="N192" s="116">
        <v>6.4</v>
      </c>
      <c r="O192" s="116">
        <v>6.25</v>
      </c>
      <c r="P192" s="116">
        <v>6.25</v>
      </c>
      <c r="Q192" s="116">
        <v>6.3</v>
      </c>
      <c r="R192">
        <v>729009</v>
      </c>
    </row>
    <row r="193" spans="1:18" x14ac:dyDescent="0.25">
      <c r="A193" s="170">
        <v>42283</v>
      </c>
      <c r="B193" s="116">
        <v>6.49</v>
      </c>
      <c r="C193" s="116">
        <v>6.43</v>
      </c>
      <c r="D193" s="116">
        <v>6.31</v>
      </c>
      <c r="E193" s="116">
        <v>6.31</v>
      </c>
      <c r="F193" s="116">
        <v>6.43</v>
      </c>
      <c r="G193">
        <v>469074</v>
      </c>
      <c r="H193" s="116"/>
      <c r="I193" s="116"/>
      <c r="L193" s="170">
        <v>42283</v>
      </c>
      <c r="M193" s="116">
        <v>6.4</v>
      </c>
      <c r="N193" s="116">
        <v>6.45</v>
      </c>
      <c r="O193" s="116">
        <v>6.25</v>
      </c>
      <c r="P193" s="116">
        <v>6.4</v>
      </c>
      <c r="Q193" s="116">
        <v>6.4</v>
      </c>
      <c r="R193">
        <v>1281590</v>
      </c>
    </row>
    <row r="194" spans="1:18" x14ac:dyDescent="0.25">
      <c r="A194" s="170">
        <v>42284</v>
      </c>
      <c r="B194" s="116">
        <v>6.76</v>
      </c>
      <c r="C194" s="116">
        <v>6.65</v>
      </c>
      <c r="D194" s="116">
        <v>6.41</v>
      </c>
      <c r="E194" s="116">
        <v>6.43</v>
      </c>
      <c r="F194" s="116">
        <v>6.65</v>
      </c>
      <c r="G194">
        <v>448576</v>
      </c>
      <c r="H194" s="116"/>
      <c r="I194" s="116"/>
      <c r="L194" s="170">
        <v>42284</v>
      </c>
      <c r="M194" s="116">
        <v>6.65</v>
      </c>
      <c r="N194" s="116">
        <v>6.75</v>
      </c>
      <c r="O194" s="116">
        <v>6.4</v>
      </c>
      <c r="P194" s="116">
        <v>6.5</v>
      </c>
      <c r="Q194" s="116">
        <v>6.65</v>
      </c>
      <c r="R194">
        <v>1920417</v>
      </c>
    </row>
    <row r="195" spans="1:18" x14ac:dyDescent="0.25">
      <c r="A195" s="170">
        <v>42285</v>
      </c>
      <c r="B195" s="116">
        <v>7</v>
      </c>
      <c r="C195" s="116">
        <v>6.84</v>
      </c>
      <c r="D195" s="116">
        <v>6.8</v>
      </c>
      <c r="E195" s="116">
        <v>6.81</v>
      </c>
      <c r="F195" s="116">
        <v>6.84</v>
      </c>
      <c r="G195">
        <v>889856</v>
      </c>
      <c r="H195" s="116"/>
      <c r="I195" s="116"/>
      <c r="L195" s="170">
        <v>42285</v>
      </c>
      <c r="M195" s="116">
        <v>6.85</v>
      </c>
      <c r="N195" s="116">
        <v>7</v>
      </c>
      <c r="O195" s="116">
        <v>6.8</v>
      </c>
      <c r="P195" s="116">
        <v>6.8</v>
      </c>
      <c r="Q195" s="116">
        <v>6.85</v>
      </c>
      <c r="R195">
        <v>2287803</v>
      </c>
    </row>
    <row r="196" spans="1:18" x14ac:dyDescent="0.25">
      <c r="A196" s="170">
        <v>42286</v>
      </c>
      <c r="B196" s="116">
        <v>7.05</v>
      </c>
      <c r="C196" s="116">
        <v>6.75</v>
      </c>
      <c r="D196" s="116">
        <v>6.65</v>
      </c>
      <c r="E196" s="116">
        <v>6.95</v>
      </c>
      <c r="F196" s="116">
        <v>6.75</v>
      </c>
      <c r="G196">
        <v>387464</v>
      </c>
      <c r="H196" s="116"/>
      <c r="I196" s="116"/>
      <c r="L196" s="170">
        <v>42286</v>
      </c>
      <c r="M196" s="116">
        <v>6.75</v>
      </c>
      <c r="N196" s="116">
        <v>7.05</v>
      </c>
      <c r="O196" s="116">
        <v>6.65</v>
      </c>
      <c r="P196" s="116">
        <v>7</v>
      </c>
      <c r="Q196" s="116">
        <v>6.75</v>
      </c>
      <c r="R196">
        <v>1069760</v>
      </c>
    </row>
    <row r="197" spans="1:18" x14ac:dyDescent="0.25">
      <c r="A197" s="170">
        <v>42289</v>
      </c>
      <c r="B197" s="116">
        <v>7.12</v>
      </c>
      <c r="C197" s="116">
        <v>6.85</v>
      </c>
      <c r="D197" s="116">
        <v>6.76</v>
      </c>
      <c r="E197" s="116">
        <v>6.85</v>
      </c>
      <c r="F197" s="116">
        <v>6.85</v>
      </c>
      <c r="G197">
        <v>601038</v>
      </c>
      <c r="H197" s="116"/>
      <c r="I197" s="116"/>
      <c r="L197" s="170">
        <v>42289</v>
      </c>
      <c r="M197" s="116">
        <v>6.85</v>
      </c>
      <c r="N197" s="116">
        <v>7.15</v>
      </c>
      <c r="O197" s="116">
        <v>6.8</v>
      </c>
      <c r="P197" s="116">
        <v>6.8</v>
      </c>
      <c r="Q197" s="116">
        <v>6.85</v>
      </c>
      <c r="R197">
        <v>2721071</v>
      </c>
    </row>
    <row r="198" spans="1:18" x14ac:dyDescent="0.25">
      <c r="A198" s="170">
        <v>42290</v>
      </c>
      <c r="B198" s="116">
        <v>7.5</v>
      </c>
      <c r="C198" s="116">
        <v>7.3</v>
      </c>
      <c r="D198" s="116">
        <v>6.92</v>
      </c>
      <c r="E198" s="116">
        <v>7.05</v>
      </c>
      <c r="F198" s="116">
        <v>7.3</v>
      </c>
      <c r="G198">
        <v>1010645</v>
      </c>
      <c r="H198" s="116"/>
      <c r="I198" s="116"/>
      <c r="L198" s="170">
        <v>42290</v>
      </c>
      <c r="M198" s="116">
        <v>7.3</v>
      </c>
      <c r="N198" s="116">
        <v>7.5</v>
      </c>
      <c r="O198" s="116">
        <v>6.95</v>
      </c>
      <c r="P198" s="116">
        <v>7.1</v>
      </c>
      <c r="Q198" s="116">
        <v>7.3</v>
      </c>
      <c r="R198">
        <v>4250381</v>
      </c>
    </row>
    <row r="199" spans="1:18" x14ac:dyDescent="0.25">
      <c r="A199" s="170">
        <v>42291</v>
      </c>
      <c r="B199" s="116">
        <v>7.4</v>
      </c>
      <c r="C199" s="116">
        <v>7.12</v>
      </c>
      <c r="D199" s="116">
        <v>7.09</v>
      </c>
      <c r="E199" s="116">
        <v>7.35</v>
      </c>
      <c r="F199" s="116">
        <v>7.12</v>
      </c>
      <c r="G199">
        <v>408495</v>
      </c>
      <c r="H199" s="116"/>
      <c r="I199" s="116"/>
      <c r="L199" s="170">
        <v>42291</v>
      </c>
      <c r="M199" s="116">
        <v>7.15</v>
      </c>
      <c r="N199" s="116">
        <v>7.4</v>
      </c>
      <c r="O199" s="116">
        <v>7.1</v>
      </c>
      <c r="P199" s="116">
        <v>7.3</v>
      </c>
      <c r="Q199" s="116">
        <v>7.15</v>
      </c>
      <c r="R199">
        <v>1577072</v>
      </c>
    </row>
    <row r="200" spans="1:18" x14ac:dyDescent="0.25">
      <c r="A200" s="170">
        <v>42292</v>
      </c>
      <c r="B200" s="116">
        <v>7.25</v>
      </c>
      <c r="C200" s="116">
        <v>7.07</v>
      </c>
      <c r="D200" s="116">
        <v>7.01</v>
      </c>
      <c r="E200" s="116">
        <v>7.2</v>
      </c>
      <c r="F200" s="116">
        <v>7.07</v>
      </c>
      <c r="G200">
        <v>319150</v>
      </c>
      <c r="H200" s="116"/>
      <c r="I200" s="116"/>
      <c r="L200" s="170">
        <v>42292</v>
      </c>
      <c r="M200" s="116">
        <v>7.05</v>
      </c>
      <c r="N200" s="116">
        <v>7.25</v>
      </c>
      <c r="O200" s="116">
        <v>7</v>
      </c>
      <c r="P200" s="116">
        <v>7.2</v>
      </c>
      <c r="Q200" s="116">
        <v>7.05</v>
      </c>
      <c r="R200">
        <v>1295543</v>
      </c>
    </row>
    <row r="201" spans="1:18" x14ac:dyDescent="0.25">
      <c r="A201" s="170">
        <v>42293</v>
      </c>
      <c r="B201" s="116">
        <v>7.57</v>
      </c>
      <c r="C201" s="116">
        <v>7.27</v>
      </c>
      <c r="D201" s="116">
        <v>7.23</v>
      </c>
      <c r="E201" s="116">
        <v>7.3</v>
      </c>
      <c r="F201" s="116">
        <v>7.27</v>
      </c>
      <c r="G201">
        <v>886708</v>
      </c>
      <c r="H201" s="116"/>
      <c r="I201" s="116"/>
      <c r="L201" s="170">
        <v>42293</v>
      </c>
      <c r="M201" s="116">
        <v>7.25</v>
      </c>
      <c r="N201" s="116">
        <v>7.6</v>
      </c>
      <c r="O201" s="116">
        <v>7.25</v>
      </c>
      <c r="P201" s="116">
        <v>7.25</v>
      </c>
      <c r="Q201" s="116">
        <v>7.25</v>
      </c>
      <c r="R201">
        <v>3030424</v>
      </c>
    </row>
    <row r="202" spans="1:18" x14ac:dyDescent="0.25">
      <c r="A202" s="170">
        <v>42296</v>
      </c>
      <c r="B202" s="116">
        <v>7.34</v>
      </c>
      <c r="C202" s="116">
        <v>7.21</v>
      </c>
      <c r="D202" s="116">
        <v>7.16</v>
      </c>
      <c r="E202" s="116">
        <v>7.31</v>
      </c>
      <c r="F202" s="116">
        <v>7.21</v>
      </c>
      <c r="G202">
        <v>246986</v>
      </c>
      <c r="H202" s="116"/>
      <c r="I202" s="116"/>
      <c r="L202" s="170">
        <v>42296</v>
      </c>
      <c r="M202" s="116">
        <v>7.2</v>
      </c>
      <c r="N202" s="116">
        <v>7.35</v>
      </c>
      <c r="O202" s="116">
        <v>7.15</v>
      </c>
      <c r="P202" s="116">
        <v>7.35</v>
      </c>
      <c r="Q202" s="116">
        <v>7.2</v>
      </c>
      <c r="R202">
        <v>907179</v>
      </c>
    </row>
    <row r="203" spans="1:18" x14ac:dyDescent="0.25">
      <c r="A203" s="170">
        <v>42297</v>
      </c>
      <c r="B203" s="116">
        <v>7.94</v>
      </c>
      <c r="C203" s="116">
        <v>7.7</v>
      </c>
      <c r="D203" s="116">
        <v>7.61</v>
      </c>
      <c r="E203" s="116">
        <v>7.7</v>
      </c>
      <c r="F203" s="116">
        <v>7.7</v>
      </c>
      <c r="G203">
        <v>1637508</v>
      </c>
      <c r="H203" s="116"/>
      <c r="I203" s="116"/>
      <c r="L203" s="170">
        <v>42297</v>
      </c>
      <c r="M203" s="116">
        <v>7.65</v>
      </c>
      <c r="N203" s="116">
        <v>7.95</v>
      </c>
      <c r="O203" s="116">
        <v>7.55</v>
      </c>
      <c r="P203" s="116">
        <v>7.6</v>
      </c>
      <c r="Q203" s="116">
        <v>7.65</v>
      </c>
      <c r="R203">
        <v>5734888</v>
      </c>
    </row>
    <row r="204" spans="1:18" x14ac:dyDescent="0.25">
      <c r="A204" s="170">
        <v>42298</v>
      </c>
      <c r="B204" s="116">
        <v>7.82</v>
      </c>
      <c r="C204" s="116">
        <v>7.5</v>
      </c>
      <c r="D204" s="116">
        <v>7.35</v>
      </c>
      <c r="E204" s="116">
        <v>7.8</v>
      </c>
      <c r="F204" s="116">
        <v>7.5</v>
      </c>
      <c r="G204">
        <v>836684</v>
      </c>
      <c r="H204" s="116"/>
      <c r="I204" s="116"/>
      <c r="L204" s="170">
        <v>42298</v>
      </c>
      <c r="M204" s="116">
        <v>7.45</v>
      </c>
      <c r="N204" s="116">
        <v>7.8</v>
      </c>
      <c r="O204" s="116">
        <v>7.35</v>
      </c>
      <c r="P204" s="116">
        <v>7.75</v>
      </c>
      <c r="Q204" s="116">
        <v>7.45</v>
      </c>
      <c r="R204">
        <v>4679803</v>
      </c>
    </row>
    <row r="205" spans="1:18" x14ac:dyDescent="0.25">
      <c r="A205" s="170">
        <v>42300</v>
      </c>
      <c r="B205" s="116">
        <v>7.97</v>
      </c>
      <c r="C205" s="116">
        <v>7.38</v>
      </c>
      <c r="D205" s="116">
        <v>7.35</v>
      </c>
      <c r="E205" s="116">
        <v>7.56</v>
      </c>
      <c r="F205" s="116">
        <v>7.38</v>
      </c>
      <c r="G205">
        <v>610514</v>
      </c>
      <c r="H205" s="116"/>
      <c r="I205" s="116"/>
      <c r="L205" s="170">
        <v>42300</v>
      </c>
      <c r="M205" s="116">
        <v>7.35</v>
      </c>
      <c r="N205" s="116">
        <v>8</v>
      </c>
      <c r="O205" s="116">
        <v>7.35</v>
      </c>
      <c r="P205" s="116">
        <v>7.7</v>
      </c>
      <c r="Q205" s="116">
        <v>7.35</v>
      </c>
      <c r="R205">
        <v>3164403</v>
      </c>
    </row>
    <row r="206" spans="1:18" x14ac:dyDescent="0.25">
      <c r="A206" s="170">
        <v>42303</v>
      </c>
      <c r="B206" s="116">
        <v>7.45</v>
      </c>
      <c r="C206" s="116">
        <v>7.31</v>
      </c>
      <c r="D206" s="116">
        <v>7.2</v>
      </c>
      <c r="E206" s="116">
        <v>7.45</v>
      </c>
      <c r="F206" s="116">
        <v>7.31</v>
      </c>
      <c r="G206">
        <v>404630</v>
      </c>
      <c r="H206" s="116"/>
      <c r="I206" s="116"/>
      <c r="L206" s="170">
        <v>42303</v>
      </c>
      <c r="M206" s="116">
        <v>7.3</v>
      </c>
      <c r="N206" s="116">
        <v>7.45</v>
      </c>
      <c r="O206" s="116">
        <v>7.2</v>
      </c>
      <c r="P206" s="116">
        <v>7.35</v>
      </c>
      <c r="Q206" s="116">
        <v>7.3</v>
      </c>
      <c r="R206">
        <v>1274478</v>
      </c>
    </row>
    <row r="207" spans="1:18" x14ac:dyDescent="0.25">
      <c r="A207" s="170">
        <v>42304</v>
      </c>
      <c r="B207" s="116">
        <v>7.25</v>
      </c>
      <c r="C207" s="116">
        <v>7.17</v>
      </c>
      <c r="D207" s="116">
        <v>7.11</v>
      </c>
      <c r="E207" s="116">
        <v>7.24</v>
      </c>
      <c r="F207" s="116">
        <v>7.17</v>
      </c>
      <c r="G207">
        <v>200371</v>
      </c>
      <c r="H207" s="116"/>
      <c r="I207" s="116"/>
      <c r="L207" s="170">
        <v>42304</v>
      </c>
      <c r="M207" s="116">
        <v>7.2</v>
      </c>
      <c r="N207" s="116">
        <v>7.35</v>
      </c>
      <c r="O207" s="116">
        <v>7.1</v>
      </c>
      <c r="P207" s="116">
        <v>7.2</v>
      </c>
      <c r="Q207" s="116">
        <v>7.2</v>
      </c>
      <c r="R207">
        <v>623897</v>
      </c>
    </row>
    <row r="208" spans="1:18" x14ac:dyDescent="0.25">
      <c r="A208" s="170">
        <v>42305</v>
      </c>
      <c r="B208" s="116">
        <v>7.3</v>
      </c>
      <c r="C208" s="116">
        <v>7.1</v>
      </c>
      <c r="D208" s="116">
        <v>7.04</v>
      </c>
      <c r="E208" s="116">
        <v>7.16</v>
      </c>
      <c r="F208" s="116">
        <v>7.1</v>
      </c>
      <c r="G208">
        <v>265918</v>
      </c>
      <c r="H208" s="116"/>
      <c r="I208" s="116"/>
      <c r="L208" s="170">
        <v>42305</v>
      </c>
      <c r="M208" s="116">
        <v>7.1</v>
      </c>
      <c r="N208" s="116">
        <v>7.3</v>
      </c>
      <c r="O208" s="116">
        <v>7</v>
      </c>
      <c r="P208" s="116">
        <v>7.2</v>
      </c>
      <c r="Q208" s="116">
        <v>7.1</v>
      </c>
      <c r="R208">
        <v>906615</v>
      </c>
    </row>
    <row r="209" spans="1:18" x14ac:dyDescent="0.25">
      <c r="A209" s="170">
        <v>42306</v>
      </c>
      <c r="B209" s="116">
        <v>7.2</v>
      </c>
      <c r="C209" s="116">
        <v>7.12</v>
      </c>
      <c r="D209" s="116">
        <v>7.05</v>
      </c>
      <c r="E209" s="116">
        <v>7.05</v>
      </c>
      <c r="F209" s="116">
        <v>7.12</v>
      </c>
      <c r="G209">
        <v>216852</v>
      </c>
      <c r="H209" s="116"/>
      <c r="I209" s="116"/>
      <c r="L209" s="170">
        <v>42306</v>
      </c>
      <c r="M209" s="116">
        <v>7.1</v>
      </c>
      <c r="N209" s="116">
        <v>7.25</v>
      </c>
      <c r="O209" s="116">
        <v>7.05</v>
      </c>
      <c r="P209" s="116">
        <v>7.1</v>
      </c>
      <c r="Q209" s="116">
        <v>7.1</v>
      </c>
      <c r="R209">
        <v>471058</v>
      </c>
    </row>
    <row r="210" spans="1:18" x14ac:dyDescent="0.25">
      <c r="A210" s="170">
        <v>42307</v>
      </c>
      <c r="B210" s="116">
        <v>7.19</v>
      </c>
      <c r="C210" s="116">
        <v>7.09</v>
      </c>
      <c r="D210" s="116">
        <v>7.05</v>
      </c>
      <c r="E210" s="116">
        <v>7.13</v>
      </c>
      <c r="F210" s="116">
        <v>7.09</v>
      </c>
      <c r="G210">
        <v>291855</v>
      </c>
      <c r="H210" s="116"/>
      <c r="I210" s="116"/>
      <c r="L210" s="170">
        <v>42307</v>
      </c>
      <c r="M210" s="116">
        <v>7.05</v>
      </c>
      <c r="N210" s="116">
        <v>7.2</v>
      </c>
      <c r="O210" s="116">
        <v>7.05</v>
      </c>
      <c r="P210" s="116">
        <v>7.15</v>
      </c>
      <c r="Q210" s="116">
        <v>7.05</v>
      </c>
      <c r="R210">
        <v>739487</v>
      </c>
    </row>
    <row r="211" spans="1:18" x14ac:dyDescent="0.25">
      <c r="A211" s="170">
        <v>42310</v>
      </c>
      <c r="B211" s="116">
        <v>7.16</v>
      </c>
      <c r="C211" s="116">
        <v>6.97</v>
      </c>
      <c r="D211" s="116">
        <v>6.87</v>
      </c>
      <c r="E211" s="116">
        <v>7.09</v>
      </c>
      <c r="F211" s="116">
        <v>6.97</v>
      </c>
      <c r="G211">
        <v>434639</v>
      </c>
      <c r="H211" s="116"/>
      <c r="I211" s="116"/>
      <c r="L211" s="170">
        <v>42310</v>
      </c>
      <c r="M211" s="116">
        <v>6.95</v>
      </c>
      <c r="N211" s="116">
        <v>7.15</v>
      </c>
      <c r="O211" s="116">
        <v>6.85</v>
      </c>
      <c r="P211" s="116">
        <v>7.15</v>
      </c>
      <c r="Q211" s="116">
        <v>6.95</v>
      </c>
      <c r="R211">
        <v>1036896</v>
      </c>
    </row>
    <row r="212" spans="1:18" x14ac:dyDescent="0.25">
      <c r="A212" s="170">
        <v>42311</v>
      </c>
      <c r="B212" s="116">
        <v>7.06</v>
      </c>
      <c r="C212" s="116">
        <v>6.98</v>
      </c>
      <c r="D212" s="116">
        <v>6.96</v>
      </c>
      <c r="E212" s="116">
        <v>6.98</v>
      </c>
      <c r="F212" s="116">
        <v>6.98</v>
      </c>
      <c r="G212">
        <v>265606</v>
      </c>
      <c r="H212" s="116"/>
      <c r="I212" s="116"/>
      <c r="L212" s="170">
        <v>42311</v>
      </c>
      <c r="M212" s="116">
        <v>6.95</v>
      </c>
      <c r="N212" s="116">
        <v>7.05</v>
      </c>
      <c r="O212" s="116">
        <v>6.95</v>
      </c>
      <c r="P212" s="116">
        <v>7</v>
      </c>
      <c r="Q212" s="116">
        <v>6.95</v>
      </c>
      <c r="R212">
        <v>611710</v>
      </c>
    </row>
    <row r="213" spans="1:18" x14ac:dyDescent="0.25">
      <c r="A213" s="170">
        <v>42312</v>
      </c>
      <c r="B213" s="116">
        <v>7.05</v>
      </c>
      <c r="C213" s="116">
        <v>6.89</v>
      </c>
      <c r="D213" s="116">
        <v>6.85</v>
      </c>
      <c r="E213" s="116">
        <v>7</v>
      </c>
      <c r="F213" s="116">
        <v>6.89</v>
      </c>
      <c r="G213">
        <v>168728</v>
      </c>
      <c r="H213" s="116"/>
      <c r="I213" s="116"/>
      <c r="L213" s="170">
        <v>42312</v>
      </c>
      <c r="M213" s="116">
        <v>6.85</v>
      </c>
      <c r="N213" s="116">
        <v>7.1</v>
      </c>
      <c r="O213" s="116">
        <v>6.85</v>
      </c>
      <c r="P213" s="116">
        <v>7</v>
      </c>
      <c r="Q213" s="116">
        <v>6.85</v>
      </c>
      <c r="R213">
        <v>541526</v>
      </c>
    </row>
    <row r="214" spans="1:18" x14ac:dyDescent="0.25">
      <c r="A214" s="170">
        <v>42313</v>
      </c>
      <c r="B214" s="116">
        <v>6.89</v>
      </c>
      <c r="C214" s="116">
        <v>6.52</v>
      </c>
      <c r="D214" s="116">
        <v>6.41</v>
      </c>
      <c r="E214" s="116">
        <v>6.82</v>
      </c>
      <c r="F214" s="116">
        <v>6.52</v>
      </c>
      <c r="G214">
        <v>439782</v>
      </c>
      <c r="H214" s="116"/>
      <c r="I214" s="116"/>
      <c r="L214" s="170">
        <v>42313</v>
      </c>
      <c r="M214" s="116">
        <v>6.45</v>
      </c>
      <c r="N214" s="116">
        <v>6.9</v>
      </c>
      <c r="O214" s="116">
        <v>6.35</v>
      </c>
      <c r="P214" s="116">
        <v>6.85</v>
      </c>
      <c r="Q214" s="116">
        <v>6.45</v>
      </c>
      <c r="R214">
        <v>1519904</v>
      </c>
    </row>
    <row r="215" spans="1:18" x14ac:dyDescent="0.25">
      <c r="A215" s="170">
        <v>42314</v>
      </c>
      <c r="B215" s="116">
        <v>6.8</v>
      </c>
      <c r="C215" s="116">
        <v>6.48</v>
      </c>
      <c r="D215" s="116">
        <v>6.23</v>
      </c>
      <c r="E215" s="116">
        <v>6.8</v>
      </c>
      <c r="F215" s="116">
        <v>6.48</v>
      </c>
      <c r="G215">
        <v>477954</v>
      </c>
      <c r="H215" s="116"/>
      <c r="I215" s="116"/>
      <c r="L215" s="170">
        <v>42314</v>
      </c>
      <c r="M215" s="116">
        <v>6.5</v>
      </c>
      <c r="N215" s="116">
        <v>6.7</v>
      </c>
      <c r="O215" s="116">
        <v>6.2</v>
      </c>
      <c r="P215" s="116">
        <v>6.6</v>
      </c>
      <c r="Q215" s="116">
        <v>6.5</v>
      </c>
      <c r="R215">
        <v>1676108</v>
      </c>
    </row>
    <row r="216" spans="1:18" x14ac:dyDescent="0.25">
      <c r="A216" s="170">
        <v>42317</v>
      </c>
      <c r="B216" s="116">
        <v>6.61</v>
      </c>
      <c r="C216" s="116">
        <v>6.57</v>
      </c>
      <c r="D216" s="116">
        <v>6.3</v>
      </c>
      <c r="E216" s="116">
        <v>6.4</v>
      </c>
      <c r="F216" s="116">
        <v>6.57</v>
      </c>
      <c r="G216">
        <v>190683</v>
      </c>
      <c r="H216" s="116"/>
      <c r="I216" s="116"/>
      <c r="L216" s="170">
        <v>42317</v>
      </c>
      <c r="M216" s="116">
        <v>6.55</v>
      </c>
      <c r="N216" s="116">
        <v>6.65</v>
      </c>
      <c r="O216" s="116">
        <v>6.2</v>
      </c>
      <c r="P216" s="116">
        <v>6.3</v>
      </c>
      <c r="Q216" s="116">
        <v>6.55</v>
      </c>
      <c r="R216">
        <v>1021415</v>
      </c>
    </row>
    <row r="217" spans="1:18" x14ac:dyDescent="0.25">
      <c r="A217" s="170">
        <v>42318</v>
      </c>
      <c r="B217" s="116">
        <v>6.66</v>
      </c>
      <c r="C217" s="116">
        <v>6.48</v>
      </c>
      <c r="D217" s="116">
        <v>6.43</v>
      </c>
      <c r="E217" s="116">
        <v>6.58</v>
      </c>
      <c r="F217" s="116">
        <v>6.48</v>
      </c>
      <c r="G217">
        <v>239192</v>
      </c>
      <c r="H217" s="116"/>
      <c r="I217" s="116"/>
      <c r="L217" s="170">
        <v>42318</v>
      </c>
      <c r="M217" s="116">
        <v>6.5</v>
      </c>
      <c r="N217" s="116">
        <v>6.65</v>
      </c>
      <c r="O217" s="116">
        <v>6.45</v>
      </c>
      <c r="P217" s="116">
        <v>6.65</v>
      </c>
      <c r="Q217" s="116">
        <v>6.5</v>
      </c>
      <c r="R217">
        <v>415341</v>
      </c>
    </row>
    <row r="218" spans="1:18" x14ac:dyDescent="0.25">
      <c r="A218" s="170">
        <v>42319</v>
      </c>
      <c r="B218" s="116">
        <v>6.73</v>
      </c>
      <c r="C218" s="116">
        <v>6.68</v>
      </c>
      <c r="D218" s="116">
        <v>6.6</v>
      </c>
      <c r="E218" s="116">
        <v>6.66</v>
      </c>
      <c r="F218" s="116">
        <v>6.68</v>
      </c>
      <c r="G218">
        <v>184982</v>
      </c>
      <c r="H218" s="116"/>
      <c r="I218" s="116"/>
      <c r="L218" s="170">
        <v>42319</v>
      </c>
      <c r="M218" s="116">
        <v>6.65</v>
      </c>
      <c r="N218" s="116">
        <v>6.7</v>
      </c>
      <c r="O218" s="116">
        <v>6.5</v>
      </c>
      <c r="P218" s="116">
        <v>6.5</v>
      </c>
      <c r="Q218" s="116">
        <v>6.65</v>
      </c>
      <c r="R218">
        <v>281376</v>
      </c>
    </row>
    <row r="219" spans="1:18" x14ac:dyDescent="0.25">
      <c r="A219" s="170">
        <v>42321</v>
      </c>
      <c r="B219" s="116">
        <v>6.63</v>
      </c>
      <c r="C219" s="116">
        <v>6.57</v>
      </c>
      <c r="D219" s="116">
        <v>6.52</v>
      </c>
      <c r="E219" s="116">
        <v>6.56</v>
      </c>
      <c r="F219" s="116">
        <v>6.57</v>
      </c>
      <c r="G219">
        <v>91736</v>
      </c>
      <c r="H219" s="116"/>
      <c r="I219" s="116"/>
      <c r="L219" s="170">
        <v>42321</v>
      </c>
      <c r="M219" s="116">
        <v>6.6</v>
      </c>
      <c r="N219" s="116">
        <v>6.7</v>
      </c>
      <c r="O219" s="116">
        <v>6.55</v>
      </c>
      <c r="P219" s="116">
        <v>6.7</v>
      </c>
      <c r="Q219" s="116">
        <v>6.6</v>
      </c>
      <c r="R219">
        <v>390102</v>
      </c>
    </row>
    <row r="220" spans="1:18" x14ac:dyDescent="0.25">
      <c r="A220" s="170">
        <v>42324</v>
      </c>
      <c r="B220" s="116">
        <v>6.74</v>
      </c>
      <c r="C220" s="116">
        <v>6.61</v>
      </c>
      <c r="D220" s="116">
        <v>6.49</v>
      </c>
      <c r="E220" s="116">
        <v>6.54</v>
      </c>
      <c r="F220" s="116">
        <v>6.61</v>
      </c>
      <c r="G220">
        <v>224612</v>
      </c>
      <c r="H220" s="116"/>
      <c r="I220" s="116"/>
      <c r="L220" s="170">
        <v>42324</v>
      </c>
      <c r="M220" s="116">
        <v>6.65</v>
      </c>
      <c r="N220" s="116">
        <v>6.75</v>
      </c>
      <c r="O220" s="116">
        <v>6.5</v>
      </c>
      <c r="P220" s="116">
        <v>6.6</v>
      </c>
      <c r="Q220" s="116">
        <v>6.65</v>
      </c>
      <c r="R220">
        <v>585667</v>
      </c>
    </row>
    <row r="221" spans="1:18" x14ac:dyDescent="0.25">
      <c r="A221" s="170">
        <v>42325</v>
      </c>
      <c r="B221" s="116">
        <v>6.75</v>
      </c>
      <c r="C221" s="116">
        <v>6.58</v>
      </c>
      <c r="D221" s="116">
        <v>6.55</v>
      </c>
      <c r="E221" s="116">
        <v>6.72</v>
      </c>
      <c r="F221" s="116">
        <v>6.58</v>
      </c>
      <c r="G221">
        <v>203272</v>
      </c>
      <c r="H221" s="116"/>
      <c r="I221" s="116"/>
      <c r="L221" s="170">
        <v>42325</v>
      </c>
      <c r="M221" s="116">
        <v>6.55</v>
      </c>
      <c r="N221" s="116">
        <v>6.75</v>
      </c>
      <c r="O221" s="116">
        <v>6.55</v>
      </c>
      <c r="P221" s="116">
        <v>6.7</v>
      </c>
      <c r="Q221" s="116">
        <v>6.55</v>
      </c>
      <c r="R221">
        <v>603042</v>
      </c>
    </row>
    <row r="222" spans="1:18" x14ac:dyDescent="0.25">
      <c r="A222" s="170">
        <v>42326</v>
      </c>
      <c r="B222" s="116">
        <v>6.98</v>
      </c>
      <c r="C222" s="116">
        <v>6.63</v>
      </c>
      <c r="D222" s="116">
        <v>6.57</v>
      </c>
      <c r="E222" s="116">
        <v>6.59</v>
      </c>
      <c r="F222" s="116">
        <v>6.63</v>
      </c>
      <c r="G222">
        <v>588289</v>
      </c>
      <c r="H222" s="116"/>
      <c r="I222" s="116"/>
      <c r="L222" s="170">
        <v>42326</v>
      </c>
      <c r="M222" s="116">
        <v>6.6</v>
      </c>
      <c r="N222" s="116">
        <v>7</v>
      </c>
      <c r="O222" s="116">
        <v>6.5</v>
      </c>
      <c r="P222" s="116">
        <v>6.6</v>
      </c>
      <c r="Q222" s="116">
        <v>6.6</v>
      </c>
      <c r="R222">
        <v>1555711</v>
      </c>
    </row>
    <row r="223" spans="1:18" x14ac:dyDescent="0.25">
      <c r="A223" s="170">
        <v>42327</v>
      </c>
      <c r="B223" s="116">
        <v>6.9</v>
      </c>
      <c r="C223" s="116">
        <v>6.73</v>
      </c>
      <c r="D223" s="116">
        <v>6.61</v>
      </c>
      <c r="E223" s="116">
        <v>6.7</v>
      </c>
      <c r="F223" s="116">
        <v>6.73</v>
      </c>
      <c r="G223">
        <v>303654</v>
      </c>
      <c r="H223" s="116"/>
      <c r="I223" s="116"/>
      <c r="L223" s="170">
        <v>42327</v>
      </c>
      <c r="M223" s="116">
        <v>6.75</v>
      </c>
      <c r="N223" s="116">
        <v>6.95</v>
      </c>
      <c r="O223" s="116">
        <v>6.65</v>
      </c>
      <c r="P223" s="116">
        <v>6.7</v>
      </c>
      <c r="Q223" s="116">
        <v>6.75</v>
      </c>
      <c r="R223">
        <v>1059388</v>
      </c>
    </row>
    <row r="224" spans="1:18" x14ac:dyDescent="0.25">
      <c r="A224" s="170">
        <v>42328</v>
      </c>
      <c r="B224" s="116">
        <v>6.96</v>
      </c>
      <c r="C224" s="116">
        <v>6.92</v>
      </c>
      <c r="D224" s="116">
        <v>6.67</v>
      </c>
      <c r="E224" s="116">
        <v>6.8</v>
      </c>
      <c r="F224" s="116">
        <v>6.92</v>
      </c>
      <c r="G224">
        <v>303706</v>
      </c>
      <c r="H224" s="116"/>
      <c r="I224" s="116"/>
      <c r="L224" s="170">
        <v>42328</v>
      </c>
      <c r="M224" s="116">
        <v>6.95</v>
      </c>
      <c r="N224" s="116">
        <v>7</v>
      </c>
      <c r="O224" s="116">
        <v>6.65</v>
      </c>
      <c r="P224" s="116">
        <v>6.75</v>
      </c>
      <c r="Q224" s="116">
        <v>6.95</v>
      </c>
      <c r="R224">
        <v>1052257</v>
      </c>
    </row>
    <row r="225" spans="1:18" x14ac:dyDescent="0.25">
      <c r="A225" s="170">
        <v>42331</v>
      </c>
      <c r="B225" s="116">
        <v>7.02</v>
      </c>
      <c r="C225" s="116">
        <v>6.85</v>
      </c>
      <c r="D225" s="116">
        <v>6.83</v>
      </c>
      <c r="E225" s="116">
        <v>6.98</v>
      </c>
      <c r="F225" s="116">
        <v>6.85</v>
      </c>
      <c r="G225">
        <v>145054</v>
      </c>
      <c r="H225" s="116"/>
      <c r="I225" s="116"/>
      <c r="L225" s="170">
        <v>42331</v>
      </c>
      <c r="M225" s="116">
        <v>6.85</v>
      </c>
      <c r="N225" s="116">
        <v>7</v>
      </c>
      <c r="O225" s="116">
        <v>6.85</v>
      </c>
      <c r="P225" s="116">
        <v>6.95</v>
      </c>
      <c r="Q225" s="116">
        <v>6.85</v>
      </c>
      <c r="R225">
        <v>521106</v>
      </c>
    </row>
    <row r="226" spans="1:18" x14ac:dyDescent="0.25">
      <c r="A226" s="170">
        <v>42332</v>
      </c>
      <c r="B226" s="116">
        <v>6.98</v>
      </c>
      <c r="C226" s="116">
        <v>6.93</v>
      </c>
      <c r="D226" s="116">
        <v>6.72</v>
      </c>
      <c r="E226" s="116">
        <v>6.94</v>
      </c>
      <c r="F226" s="116">
        <v>6.93</v>
      </c>
      <c r="G226">
        <v>242855</v>
      </c>
      <c r="H226" s="116"/>
      <c r="I226" s="116"/>
      <c r="L226" s="170">
        <v>42332</v>
      </c>
      <c r="M226" s="116">
        <v>6.9</v>
      </c>
      <c r="N226" s="116">
        <v>7</v>
      </c>
      <c r="O226" s="116">
        <v>6.7</v>
      </c>
      <c r="P226" s="116">
        <v>7</v>
      </c>
      <c r="Q226" s="116">
        <v>6.9</v>
      </c>
      <c r="R226">
        <v>843155</v>
      </c>
    </row>
    <row r="227" spans="1:18" x14ac:dyDescent="0.25">
      <c r="A227" s="170">
        <v>42334</v>
      </c>
      <c r="B227" s="116">
        <v>7.2</v>
      </c>
      <c r="C227" s="116">
        <v>7.04</v>
      </c>
      <c r="D227" s="116">
        <v>6.86</v>
      </c>
      <c r="E227" s="116">
        <v>6.9</v>
      </c>
      <c r="F227" s="116">
        <v>7.04</v>
      </c>
      <c r="G227">
        <v>783577</v>
      </c>
      <c r="H227" s="116"/>
      <c r="I227" s="116"/>
      <c r="L227" s="170">
        <v>42334</v>
      </c>
      <c r="M227" s="116">
        <v>7.05</v>
      </c>
      <c r="N227" s="116">
        <v>7.2</v>
      </c>
      <c r="O227" s="116">
        <v>6.85</v>
      </c>
      <c r="P227" s="116">
        <v>6.9</v>
      </c>
      <c r="Q227" s="116">
        <v>7.05</v>
      </c>
      <c r="R227">
        <v>2514440</v>
      </c>
    </row>
    <row r="228" spans="1:18" x14ac:dyDescent="0.25">
      <c r="A228" s="170">
        <v>42335</v>
      </c>
      <c r="B228" s="116">
        <v>7.19</v>
      </c>
      <c r="C228" s="116">
        <v>6.96</v>
      </c>
      <c r="D228" s="116">
        <v>6.85</v>
      </c>
      <c r="E228" s="116">
        <v>7.16</v>
      </c>
      <c r="F228" s="116">
        <v>6.96</v>
      </c>
      <c r="G228">
        <v>350540</v>
      </c>
      <c r="H228" s="116"/>
      <c r="I228" s="116"/>
      <c r="L228" s="170">
        <v>42335</v>
      </c>
      <c r="M228" s="116">
        <v>6.9</v>
      </c>
      <c r="N228" s="116">
        <v>7.2</v>
      </c>
      <c r="O228" s="116">
        <v>6.85</v>
      </c>
      <c r="P228" s="116">
        <v>7.1</v>
      </c>
      <c r="Q228" s="116">
        <v>6.9</v>
      </c>
      <c r="R228">
        <v>823062</v>
      </c>
    </row>
    <row r="229" spans="1:18" x14ac:dyDescent="0.25">
      <c r="A229" s="170">
        <v>42338</v>
      </c>
      <c r="B229" s="116">
        <v>7.07</v>
      </c>
      <c r="C229" s="116">
        <v>6.74</v>
      </c>
      <c r="D229" s="116">
        <v>6.64</v>
      </c>
      <c r="E229" s="116">
        <v>6.93</v>
      </c>
      <c r="F229" s="116">
        <v>6.74</v>
      </c>
      <c r="G229">
        <v>549278</v>
      </c>
      <c r="H229" s="116"/>
      <c r="I229" s="116"/>
      <c r="L229" s="170">
        <v>42338</v>
      </c>
      <c r="M229" s="116">
        <v>6.7</v>
      </c>
      <c r="N229" s="116">
        <v>7.05</v>
      </c>
      <c r="O229" s="116">
        <v>6.6</v>
      </c>
      <c r="P229" s="116">
        <v>6.9</v>
      </c>
      <c r="Q229" s="116">
        <v>6.7</v>
      </c>
      <c r="R229">
        <v>1279642</v>
      </c>
    </row>
    <row r="230" spans="1:18" x14ac:dyDescent="0.25">
      <c r="A230" s="170">
        <v>42339</v>
      </c>
      <c r="B230" s="116">
        <v>7.01</v>
      </c>
      <c r="C230" s="116">
        <v>6.95</v>
      </c>
      <c r="D230" s="116">
        <v>6.74</v>
      </c>
      <c r="E230" s="116">
        <v>6.74</v>
      </c>
      <c r="F230" s="116">
        <v>6.95</v>
      </c>
      <c r="G230">
        <v>403162</v>
      </c>
      <c r="H230" s="116"/>
      <c r="I230" s="116"/>
      <c r="L230" s="170">
        <v>42339</v>
      </c>
      <c r="M230" s="116">
        <v>6.95</v>
      </c>
      <c r="N230" s="116">
        <v>7</v>
      </c>
      <c r="O230" s="116">
        <v>6.75</v>
      </c>
      <c r="P230" s="116">
        <v>6.8</v>
      </c>
      <c r="Q230" s="116">
        <v>6.95</v>
      </c>
      <c r="R230">
        <v>865500</v>
      </c>
    </row>
    <row r="231" spans="1:18" x14ac:dyDescent="0.25">
      <c r="A231" s="170">
        <v>42340</v>
      </c>
      <c r="B231" s="116">
        <v>7.65</v>
      </c>
      <c r="C231" s="116">
        <v>7.45</v>
      </c>
      <c r="D231" s="116">
        <v>6.8</v>
      </c>
      <c r="E231" s="116">
        <v>7</v>
      </c>
      <c r="F231" s="116">
        <v>7.45</v>
      </c>
      <c r="G231">
        <v>1064421</v>
      </c>
      <c r="H231" s="116"/>
      <c r="I231" s="116"/>
      <c r="L231" s="170">
        <v>42340</v>
      </c>
      <c r="M231" s="116">
        <v>7.5</v>
      </c>
      <c r="N231" s="116">
        <v>7.75</v>
      </c>
      <c r="O231" s="116">
        <v>6.8</v>
      </c>
      <c r="P231" s="116">
        <v>6.95</v>
      </c>
      <c r="Q231" s="116">
        <v>7.5</v>
      </c>
      <c r="R231">
        <v>4143847</v>
      </c>
    </row>
    <row r="232" spans="1:18" x14ac:dyDescent="0.25">
      <c r="A232" s="170">
        <v>42341</v>
      </c>
      <c r="B232" s="116">
        <v>8.7100000000000009</v>
      </c>
      <c r="C232" s="116">
        <v>8.2799999999999994</v>
      </c>
      <c r="D232" s="116">
        <v>7.48</v>
      </c>
      <c r="E232" s="116">
        <v>7.61</v>
      </c>
      <c r="F232" s="116">
        <v>8.2799999999999994</v>
      </c>
      <c r="G232">
        <v>3944846</v>
      </c>
      <c r="H232" s="116"/>
      <c r="I232" s="116"/>
      <c r="L232" s="170">
        <v>42341</v>
      </c>
      <c r="M232" s="116">
        <v>8.3000000000000007</v>
      </c>
      <c r="N232" s="116">
        <v>8.75</v>
      </c>
      <c r="O232" s="116">
        <v>7.5</v>
      </c>
      <c r="P232" s="116">
        <v>7.5</v>
      </c>
      <c r="Q232" s="116">
        <v>8.3000000000000007</v>
      </c>
      <c r="R232">
        <v>16975324</v>
      </c>
    </row>
    <row r="233" spans="1:18" x14ac:dyDescent="0.25">
      <c r="A233" s="170">
        <v>42342</v>
      </c>
      <c r="B233" s="116">
        <v>8.8000000000000007</v>
      </c>
      <c r="C233" s="116">
        <v>8.3699999999999992</v>
      </c>
      <c r="D233" s="116">
        <v>8.1300000000000008</v>
      </c>
      <c r="E233" s="116">
        <v>8.3000000000000007</v>
      </c>
      <c r="F233" s="116">
        <v>8.3699999999999992</v>
      </c>
      <c r="G233">
        <v>1498409</v>
      </c>
      <c r="H233" s="116"/>
      <c r="I233" s="116"/>
      <c r="L233" s="170">
        <v>42342</v>
      </c>
      <c r="M233" s="116">
        <v>8.4</v>
      </c>
      <c r="N233" s="116">
        <v>8.8000000000000007</v>
      </c>
      <c r="O233" s="116">
        <v>8.1</v>
      </c>
      <c r="P233" s="116">
        <v>8.3000000000000007</v>
      </c>
      <c r="Q233" s="116">
        <v>8.4</v>
      </c>
      <c r="R233">
        <v>5195372</v>
      </c>
    </row>
    <row r="234" spans="1:18" x14ac:dyDescent="0.25">
      <c r="A234" s="170">
        <v>42345</v>
      </c>
      <c r="B234" s="116">
        <v>9.0500000000000007</v>
      </c>
      <c r="C234" s="116">
        <v>8.6999999999999993</v>
      </c>
      <c r="D234" s="116">
        <v>8.35</v>
      </c>
      <c r="E234" s="116">
        <v>8.35</v>
      </c>
      <c r="F234" s="116">
        <v>8.6999999999999993</v>
      </c>
      <c r="G234">
        <v>1441787</v>
      </c>
      <c r="H234" s="116"/>
      <c r="I234" s="116"/>
      <c r="L234" s="170">
        <v>42345</v>
      </c>
      <c r="M234" s="116">
        <v>8.6999999999999993</v>
      </c>
      <c r="N234" s="116">
        <v>9.0500000000000007</v>
      </c>
      <c r="O234" s="116">
        <v>8.4</v>
      </c>
      <c r="P234" s="116">
        <v>8.5</v>
      </c>
      <c r="Q234" s="116">
        <v>8.6999999999999993</v>
      </c>
      <c r="R234">
        <v>5257919</v>
      </c>
    </row>
    <row r="235" spans="1:18" x14ac:dyDescent="0.25">
      <c r="A235" s="170">
        <v>42346</v>
      </c>
      <c r="B235" s="116">
        <v>9.4</v>
      </c>
      <c r="C235" s="116">
        <v>8.74</v>
      </c>
      <c r="D235" s="116">
        <v>8.66</v>
      </c>
      <c r="E235" s="116">
        <v>8.76</v>
      </c>
      <c r="F235" s="116">
        <v>8.74</v>
      </c>
      <c r="G235">
        <v>1514333</v>
      </c>
      <c r="H235" s="116"/>
      <c r="I235" s="116"/>
      <c r="L235" s="170">
        <v>42346</v>
      </c>
      <c r="M235" s="116">
        <v>8.75</v>
      </c>
      <c r="N235" s="116">
        <v>9.4</v>
      </c>
      <c r="O235" s="116">
        <v>8.6999999999999993</v>
      </c>
      <c r="P235" s="116">
        <v>8.8000000000000007</v>
      </c>
      <c r="Q235" s="116">
        <v>8.75</v>
      </c>
      <c r="R235">
        <v>6617994</v>
      </c>
    </row>
    <row r="236" spans="1:18" x14ac:dyDescent="0.25">
      <c r="A236" s="170">
        <v>42347</v>
      </c>
      <c r="B236" s="116">
        <v>8.89</v>
      </c>
      <c r="C236" s="116">
        <v>7.92</v>
      </c>
      <c r="D236" s="116">
        <v>7.8</v>
      </c>
      <c r="E236" s="116">
        <v>8.75</v>
      </c>
      <c r="F236" s="116">
        <v>7.92</v>
      </c>
      <c r="G236">
        <v>956771</v>
      </c>
      <c r="H236" s="116"/>
      <c r="I236" s="116"/>
      <c r="L236" s="170">
        <v>42347</v>
      </c>
      <c r="M236" s="116">
        <v>7.9</v>
      </c>
      <c r="N236" s="116">
        <v>8.9</v>
      </c>
      <c r="O236" s="116">
        <v>7.75</v>
      </c>
      <c r="P236" s="116">
        <v>8.8000000000000007</v>
      </c>
      <c r="Q236" s="116">
        <v>7.9</v>
      </c>
      <c r="R236">
        <v>3643365</v>
      </c>
    </row>
    <row r="237" spans="1:18" x14ac:dyDescent="0.25">
      <c r="A237" s="170">
        <v>42348</v>
      </c>
      <c r="B237" s="116">
        <v>8.32</v>
      </c>
      <c r="C237" s="116">
        <v>8.23</v>
      </c>
      <c r="D237" s="116">
        <v>7.81</v>
      </c>
      <c r="E237" s="116">
        <v>7.94</v>
      </c>
      <c r="F237" s="116">
        <v>8.23</v>
      </c>
      <c r="G237">
        <v>522766</v>
      </c>
      <c r="H237" s="116"/>
      <c r="I237" s="116"/>
      <c r="L237" s="170">
        <v>42348</v>
      </c>
      <c r="M237" s="116">
        <v>8.1999999999999993</v>
      </c>
      <c r="N237" s="116">
        <v>8.3000000000000007</v>
      </c>
      <c r="O237" s="116">
        <v>7.8</v>
      </c>
      <c r="P237" s="116">
        <v>7.9</v>
      </c>
      <c r="Q237" s="116">
        <v>8.1999999999999993</v>
      </c>
      <c r="R237">
        <v>2672293</v>
      </c>
    </row>
    <row r="238" spans="1:18" x14ac:dyDescent="0.25">
      <c r="A238" s="170">
        <v>42349</v>
      </c>
      <c r="B238" s="116">
        <v>8.26</v>
      </c>
      <c r="C238" s="116">
        <v>7.89</v>
      </c>
      <c r="D238" s="116">
        <v>7.85</v>
      </c>
      <c r="E238" s="116">
        <v>8.1</v>
      </c>
      <c r="F238" s="116">
        <v>7.89</v>
      </c>
      <c r="G238">
        <v>322300</v>
      </c>
      <c r="H238" s="116"/>
      <c r="I238" s="116"/>
      <c r="L238" s="170">
        <v>42349</v>
      </c>
      <c r="M238" s="116">
        <v>7.95</v>
      </c>
      <c r="N238" s="116">
        <v>8.3000000000000007</v>
      </c>
      <c r="O238" s="116">
        <v>7.85</v>
      </c>
      <c r="P238" s="116">
        <v>8.1999999999999993</v>
      </c>
      <c r="Q238" s="116">
        <v>7.95</v>
      </c>
      <c r="R238">
        <v>1205511</v>
      </c>
    </row>
    <row r="239" spans="1:18" x14ac:dyDescent="0.25">
      <c r="A239" s="170">
        <v>42352</v>
      </c>
      <c r="B239" s="116">
        <v>8.1999999999999993</v>
      </c>
      <c r="C239" s="116">
        <v>7.99</v>
      </c>
      <c r="D239" s="116">
        <v>7.86</v>
      </c>
      <c r="E239" s="116">
        <v>7.9</v>
      </c>
      <c r="F239" s="116">
        <v>7.99</v>
      </c>
      <c r="G239">
        <v>247158</v>
      </c>
      <c r="H239" s="116"/>
      <c r="I239" s="116"/>
      <c r="L239" s="170">
        <v>42352</v>
      </c>
      <c r="M239" s="116">
        <v>7.95</v>
      </c>
      <c r="N239" s="116">
        <v>8.1999999999999993</v>
      </c>
      <c r="O239" s="116">
        <v>7.85</v>
      </c>
      <c r="P239" s="116">
        <v>7.9</v>
      </c>
      <c r="Q239" s="116">
        <v>7.95</v>
      </c>
      <c r="R239">
        <v>1427170</v>
      </c>
    </row>
    <row r="240" spans="1:18" x14ac:dyDescent="0.25">
      <c r="A240" s="170">
        <v>42353</v>
      </c>
      <c r="B240" s="116">
        <v>8.11</v>
      </c>
      <c r="C240" s="116">
        <v>7.85</v>
      </c>
      <c r="D240" s="116">
        <v>7.75</v>
      </c>
      <c r="E240" s="116">
        <v>8.11</v>
      </c>
      <c r="F240" s="116">
        <v>7.85</v>
      </c>
      <c r="G240">
        <v>256021</v>
      </c>
      <c r="H240" s="116"/>
      <c r="I240" s="116"/>
      <c r="L240" s="170">
        <v>42353</v>
      </c>
      <c r="M240" s="116">
        <v>7.8</v>
      </c>
      <c r="N240" s="116">
        <v>8.1</v>
      </c>
      <c r="O240" s="116">
        <v>7.7</v>
      </c>
      <c r="P240" s="116">
        <v>7.95</v>
      </c>
      <c r="Q240" s="116">
        <v>7.8</v>
      </c>
      <c r="R240">
        <v>1239239</v>
      </c>
    </row>
    <row r="241" spans="1:18" x14ac:dyDescent="0.25">
      <c r="A241" s="170">
        <v>42354</v>
      </c>
      <c r="B241" s="116">
        <v>8</v>
      </c>
      <c r="C241" s="116">
        <v>7.83</v>
      </c>
      <c r="D241" s="116">
        <v>7.8</v>
      </c>
      <c r="E241" s="116">
        <v>7.96</v>
      </c>
      <c r="F241" s="116">
        <v>7.83</v>
      </c>
      <c r="G241">
        <v>241946</v>
      </c>
      <c r="H241" s="116"/>
      <c r="I241" s="116"/>
      <c r="L241" s="170">
        <v>42354</v>
      </c>
      <c r="M241" s="116">
        <v>7.85</v>
      </c>
      <c r="N241" s="116">
        <v>8.0500000000000007</v>
      </c>
      <c r="O241" s="116">
        <v>7.8</v>
      </c>
      <c r="P241" s="116">
        <v>7.8</v>
      </c>
      <c r="Q241" s="116">
        <v>7.85</v>
      </c>
      <c r="R241">
        <v>850672</v>
      </c>
    </row>
    <row r="242" spans="1:18" x14ac:dyDescent="0.25">
      <c r="A242" s="170">
        <v>42355</v>
      </c>
      <c r="B242" s="116">
        <v>8.0399999999999991</v>
      </c>
      <c r="C242" s="116">
        <v>7.91</v>
      </c>
      <c r="D242" s="116">
        <v>7.76</v>
      </c>
      <c r="E242" s="116">
        <v>7.93</v>
      </c>
      <c r="F242" s="116">
        <v>7.91</v>
      </c>
      <c r="G242">
        <v>239092</v>
      </c>
      <c r="H242" s="116"/>
      <c r="I242" s="116"/>
      <c r="L242" s="170">
        <v>42355</v>
      </c>
      <c r="M242" s="116">
        <v>7.95</v>
      </c>
      <c r="N242" s="116">
        <v>8.0500000000000007</v>
      </c>
      <c r="O242" s="116">
        <v>7.75</v>
      </c>
      <c r="P242" s="116">
        <v>7.75</v>
      </c>
      <c r="Q242" s="116">
        <v>7.95</v>
      </c>
      <c r="R242">
        <v>746234</v>
      </c>
    </row>
    <row r="243" spans="1:18" x14ac:dyDescent="0.25">
      <c r="A243" s="170">
        <v>42356</v>
      </c>
      <c r="B243" s="116">
        <v>8.35</v>
      </c>
      <c r="C243" s="116">
        <v>8.09</v>
      </c>
      <c r="D243" s="116">
        <v>7.9</v>
      </c>
      <c r="E243" s="116">
        <v>7.9</v>
      </c>
      <c r="F243" s="116">
        <v>8.09</v>
      </c>
      <c r="G243">
        <v>541283</v>
      </c>
      <c r="H243" s="116"/>
      <c r="I243" s="116"/>
      <c r="L243" s="170">
        <v>42356</v>
      </c>
      <c r="M243" s="116">
        <v>8.1</v>
      </c>
      <c r="N243" s="116">
        <v>8.35</v>
      </c>
      <c r="O243" s="116">
        <v>7.85</v>
      </c>
      <c r="P243" s="116">
        <v>7.9</v>
      </c>
      <c r="Q243" s="116">
        <v>8.1</v>
      </c>
      <c r="R243">
        <v>1754642</v>
      </c>
    </row>
    <row r="244" spans="1:18" x14ac:dyDescent="0.25">
      <c r="A244" s="170">
        <v>42359</v>
      </c>
      <c r="B244" s="116">
        <v>8.35</v>
      </c>
      <c r="C244" s="116">
        <v>8.26</v>
      </c>
      <c r="D244" s="116">
        <v>8.1</v>
      </c>
      <c r="E244" s="116">
        <v>8.11</v>
      </c>
      <c r="F244" s="116">
        <v>8.26</v>
      </c>
      <c r="G244">
        <v>306171</v>
      </c>
      <c r="H244" s="116"/>
      <c r="I244" s="116"/>
      <c r="L244" s="170">
        <v>42359</v>
      </c>
      <c r="M244" s="116">
        <v>8.25</v>
      </c>
      <c r="N244" s="116">
        <v>8.35</v>
      </c>
      <c r="O244" s="116">
        <v>8.0500000000000007</v>
      </c>
      <c r="P244" s="116">
        <v>8.1</v>
      </c>
      <c r="Q244" s="116">
        <v>8.25</v>
      </c>
      <c r="R244">
        <v>996864</v>
      </c>
    </row>
    <row r="245" spans="1:18" x14ac:dyDescent="0.25">
      <c r="A245" s="170">
        <v>42360</v>
      </c>
      <c r="B245" s="116">
        <v>8.7799999999999994</v>
      </c>
      <c r="C245" s="116">
        <v>8.41</v>
      </c>
      <c r="D245" s="116">
        <v>8.15</v>
      </c>
      <c r="E245" s="116">
        <v>8.4700000000000006</v>
      </c>
      <c r="F245" s="116">
        <v>8.41</v>
      </c>
      <c r="G245">
        <v>709646</v>
      </c>
      <c r="H245" s="116"/>
      <c r="I245" s="116"/>
      <c r="L245" s="170">
        <v>42360</v>
      </c>
      <c r="M245" s="116">
        <v>8.4</v>
      </c>
      <c r="N245" s="116">
        <v>8.8000000000000007</v>
      </c>
      <c r="O245" s="116">
        <v>8.15</v>
      </c>
      <c r="P245" s="116">
        <v>8.25</v>
      </c>
      <c r="Q245" s="116">
        <v>8.4</v>
      </c>
      <c r="R245">
        <v>3208845</v>
      </c>
    </row>
    <row r="246" spans="1:18" x14ac:dyDescent="0.25">
      <c r="A246" s="170">
        <v>42361</v>
      </c>
      <c r="B246" s="116">
        <v>8.9499999999999993</v>
      </c>
      <c r="C246" s="116">
        <v>8.67</v>
      </c>
      <c r="D246" s="116">
        <v>8.5</v>
      </c>
      <c r="E246" s="116">
        <v>8.5</v>
      </c>
      <c r="F246" s="116">
        <v>8.67</v>
      </c>
      <c r="G246">
        <v>690004</v>
      </c>
      <c r="H246" s="116"/>
      <c r="I246" s="116"/>
      <c r="L246" s="170">
        <v>42361</v>
      </c>
      <c r="M246" s="116">
        <v>8.6999999999999993</v>
      </c>
      <c r="N246" s="116">
        <v>9</v>
      </c>
      <c r="O246" s="116">
        <v>8.5500000000000007</v>
      </c>
      <c r="P246" s="116">
        <v>8.6</v>
      </c>
      <c r="Q246" s="116">
        <v>8.6999999999999993</v>
      </c>
      <c r="R246">
        <v>2316790</v>
      </c>
    </row>
    <row r="247" spans="1:18" x14ac:dyDescent="0.25">
      <c r="A247" s="170">
        <v>42362</v>
      </c>
      <c r="B247" s="116">
        <v>8.92</v>
      </c>
      <c r="C247" s="116">
        <v>8.77</v>
      </c>
      <c r="D247" s="116">
        <v>8.4499999999999993</v>
      </c>
      <c r="E247" s="116">
        <v>8.6999999999999993</v>
      </c>
      <c r="F247" s="116">
        <v>8.77</v>
      </c>
      <c r="G247">
        <v>469358</v>
      </c>
      <c r="H247" s="116"/>
      <c r="I247" s="116"/>
      <c r="L247" s="170">
        <v>42362</v>
      </c>
      <c r="M247" s="116">
        <v>8.75</v>
      </c>
      <c r="N247" s="116">
        <v>8.9499999999999993</v>
      </c>
      <c r="O247" s="116">
        <v>8.4499999999999993</v>
      </c>
      <c r="P247" s="116">
        <v>8.75</v>
      </c>
      <c r="Q247" s="116">
        <v>8.75</v>
      </c>
      <c r="R247">
        <v>1832236</v>
      </c>
    </row>
    <row r="248" spans="1:18" x14ac:dyDescent="0.25">
      <c r="A248" s="170">
        <v>42366</v>
      </c>
      <c r="B248" s="116">
        <v>8.81</v>
      </c>
      <c r="C248" s="116">
        <v>8.43</v>
      </c>
      <c r="D248" s="116">
        <v>8.3000000000000007</v>
      </c>
      <c r="E248" s="116">
        <v>8.73</v>
      </c>
      <c r="F248" s="116">
        <v>8.43</v>
      </c>
      <c r="G248">
        <v>361793</v>
      </c>
      <c r="H248" s="116"/>
      <c r="I248" s="116"/>
      <c r="L248" s="170">
        <v>42366</v>
      </c>
      <c r="M248" s="116">
        <v>8.4</v>
      </c>
      <c r="N248" s="116">
        <v>8.85</v>
      </c>
      <c r="O248" s="116">
        <v>8.3000000000000007</v>
      </c>
      <c r="P248" s="116">
        <v>8.75</v>
      </c>
      <c r="Q248" s="116">
        <v>8.4</v>
      </c>
      <c r="R248">
        <v>1480458</v>
      </c>
    </row>
    <row r="249" spans="1:18" x14ac:dyDescent="0.25">
      <c r="A249" s="170">
        <v>42367</v>
      </c>
      <c r="B249" s="116">
        <v>8.5500000000000007</v>
      </c>
      <c r="C249" s="116">
        <v>8.3800000000000008</v>
      </c>
      <c r="D249" s="116">
        <v>8.1999999999999993</v>
      </c>
      <c r="E249" s="116">
        <v>8.3699999999999992</v>
      </c>
      <c r="F249" s="116">
        <v>8.3800000000000008</v>
      </c>
      <c r="G249">
        <v>760590</v>
      </c>
      <c r="H249" s="116"/>
      <c r="I249" s="116"/>
      <c r="L249" s="170">
        <v>42367</v>
      </c>
      <c r="M249" s="116">
        <v>8.35</v>
      </c>
      <c r="N249" s="116">
        <v>8.5500000000000007</v>
      </c>
      <c r="O249" s="116">
        <v>8.1999999999999993</v>
      </c>
      <c r="P249" s="116">
        <v>8.4</v>
      </c>
      <c r="Q249" s="116">
        <v>8.35</v>
      </c>
      <c r="R249">
        <v>1562117</v>
      </c>
    </row>
    <row r="250" spans="1:18" x14ac:dyDescent="0.25">
      <c r="A250" s="170">
        <v>42368</v>
      </c>
      <c r="B250" s="116">
        <v>8.41</v>
      </c>
      <c r="C250" s="116">
        <v>8.2100000000000009</v>
      </c>
      <c r="D250" s="116">
        <v>8.1999999999999993</v>
      </c>
      <c r="E250" s="116">
        <v>8.4</v>
      </c>
      <c r="F250" s="116">
        <v>8.2100000000000009</v>
      </c>
      <c r="G250">
        <v>241561</v>
      </c>
      <c r="H250" s="116"/>
      <c r="I250" s="116"/>
      <c r="L250" s="170">
        <v>42368</v>
      </c>
      <c r="M250" s="116">
        <v>8.1999999999999993</v>
      </c>
      <c r="N250" s="116">
        <v>8.4499999999999993</v>
      </c>
      <c r="O250" s="116">
        <v>8.1999999999999993</v>
      </c>
      <c r="P250" s="116">
        <v>8.4499999999999993</v>
      </c>
      <c r="Q250" s="116">
        <v>8.1999999999999993</v>
      </c>
      <c r="R250">
        <v>879132</v>
      </c>
    </row>
    <row r="251" spans="1:18" x14ac:dyDescent="0.25">
      <c r="A251" s="170">
        <v>42369</v>
      </c>
      <c r="B251" s="116">
        <v>8.34</v>
      </c>
      <c r="C251" s="116">
        <v>8.1999999999999993</v>
      </c>
      <c r="D251" s="116">
        <v>8.15</v>
      </c>
      <c r="E251" s="116">
        <v>8.3000000000000007</v>
      </c>
      <c r="F251" s="116">
        <v>8.1999999999999993</v>
      </c>
      <c r="G251">
        <v>246319</v>
      </c>
      <c r="H251" s="116"/>
      <c r="I251" s="116"/>
      <c r="L251" s="170">
        <v>42369</v>
      </c>
      <c r="M251" s="116">
        <v>8.1999999999999993</v>
      </c>
      <c r="N251" s="116">
        <v>8.4</v>
      </c>
      <c r="O251" s="116">
        <v>8.1</v>
      </c>
      <c r="P251" s="116">
        <v>8.1999999999999993</v>
      </c>
      <c r="Q251" s="116">
        <v>8.1999999999999993</v>
      </c>
      <c r="R251">
        <v>560604</v>
      </c>
    </row>
    <row r="252" spans="1:18" x14ac:dyDescent="0.25">
      <c r="A252" s="170">
        <v>42370</v>
      </c>
      <c r="B252" s="116">
        <v>8.59</v>
      </c>
      <c r="C252" s="116">
        <v>8.4700000000000006</v>
      </c>
      <c r="D252" s="116">
        <v>8.1999999999999993</v>
      </c>
      <c r="E252" s="116">
        <v>8.1999999999999993</v>
      </c>
      <c r="F252" s="116">
        <v>8.4700000000000006</v>
      </c>
      <c r="G252">
        <v>405497</v>
      </c>
      <c r="H252" s="116"/>
      <c r="I252" s="116"/>
      <c r="L252" s="170">
        <v>42370</v>
      </c>
      <c r="M252" s="116">
        <v>8.4499999999999993</v>
      </c>
      <c r="N252" s="116">
        <v>8.6</v>
      </c>
      <c r="O252" s="116">
        <v>8.15</v>
      </c>
      <c r="P252" s="116">
        <v>8.1999999999999993</v>
      </c>
      <c r="Q252" s="116">
        <v>8.4499999999999993</v>
      </c>
      <c r="R252">
        <v>859509</v>
      </c>
    </row>
    <row r="253" spans="1:18" x14ac:dyDescent="0.25">
      <c r="A253" s="170">
        <v>42373</v>
      </c>
      <c r="B253" s="116">
        <v>8.6</v>
      </c>
      <c r="C253" s="116">
        <v>8.2100000000000009</v>
      </c>
      <c r="D253" s="116">
        <v>7.96</v>
      </c>
      <c r="E253" s="116">
        <v>8.5</v>
      </c>
      <c r="F253" s="116">
        <v>8.2100000000000009</v>
      </c>
      <c r="G253">
        <v>449752</v>
      </c>
      <c r="H253" s="116"/>
      <c r="I253" s="116"/>
      <c r="L253" s="170">
        <v>42373</v>
      </c>
      <c r="M253" s="116">
        <v>8.1999999999999993</v>
      </c>
      <c r="N253" s="116">
        <v>8.6</v>
      </c>
      <c r="O253" s="116">
        <v>7.95</v>
      </c>
      <c r="P253" s="116">
        <v>8.35</v>
      </c>
      <c r="Q253" s="116">
        <v>8.1999999999999993</v>
      </c>
      <c r="R253">
        <v>2256452</v>
      </c>
    </row>
    <row r="254" spans="1:18" x14ac:dyDescent="0.25">
      <c r="A254" s="170">
        <v>42374</v>
      </c>
      <c r="B254" s="116">
        <v>8.32</v>
      </c>
      <c r="C254" s="116">
        <v>8.19</v>
      </c>
      <c r="D254" s="116">
        <v>8.11</v>
      </c>
      <c r="E254" s="116">
        <v>8.2100000000000009</v>
      </c>
      <c r="F254" s="116">
        <v>8.19</v>
      </c>
      <c r="G254">
        <v>352099</v>
      </c>
      <c r="H254" s="116"/>
      <c r="I254" s="116"/>
      <c r="L254" s="170">
        <v>42374</v>
      </c>
      <c r="M254" s="116">
        <v>8.1999999999999993</v>
      </c>
      <c r="N254" s="116">
        <v>8.35</v>
      </c>
      <c r="O254" s="116">
        <v>8.1</v>
      </c>
      <c r="P254" s="116">
        <v>8.15</v>
      </c>
      <c r="Q254" s="116">
        <v>8.1999999999999993</v>
      </c>
      <c r="R254">
        <v>1298539</v>
      </c>
    </row>
    <row r="255" spans="1:18" x14ac:dyDescent="0.25">
      <c r="A255" s="170">
        <v>42375</v>
      </c>
      <c r="B255" s="116">
        <v>8.44</v>
      </c>
      <c r="C255" s="116">
        <v>8.1300000000000008</v>
      </c>
      <c r="D255" s="116">
        <v>8.0299999999999994</v>
      </c>
      <c r="E255" s="116">
        <v>8.44</v>
      </c>
      <c r="F255" s="116">
        <v>8.1300000000000008</v>
      </c>
      <c r="G255">
        <v>498855</v>
      </c>
      <c r="H255" s="116"/>
      <c r="I255" s="116"/>
      <c r="L255" s="170">
        <v>42375</v>
      </c>
      <c r="M255" s="116">
        <v>8.1</v>
      </c>
      <c r="N255" s="116">
        <v>8.4499999999999993</v>
      </c>
      <c r="O255" s="116">
        <v>8</v>
      </c>
      <c r="P255" s="116">
        <v>8.3000000000000007</v>
      </c>
      <c r="Q255" s="116">
        <v>8.1</v>
      </c>
      <c r="R255">
        <v>1620678</v>
      </c>
    </row>
    <row r="256" spans="1:18" x14ac:dyDescent="0.25">
      <c r="A256" s="170">
        <v>42376</v>
      </c>
      <c r="B256" s="116">
        <v>8.02</v>
      </c>
      <c r="C256" s="116">
        <v>7.79</v>
      </c>
      <c r="D256" s="116">
        <v>7.75</v>
      </c>
      <c r="E256" s="116">
        <v>7.95</v>
      </c>
      <c r="F256" s="116">
        <v>7.79</v>
      </c>
      <c r="G256">
        <v>568416</v>
      </c>
      <c r="H256" s="116"/>
      <c r="I256" s="116"/>
      <c r="L256" s="170">
        <v>42376</v>
      </c>
      <c r="M256" s="116">
        <v>7.75</v>
      </c>
      <c r="N256" s="116">
        <v>8</v>
      </c>
      <c r="O256" s="116">
        <v>7.7</v>
      </c>
      <c r="P256" s="116">
        <v>7.95</v>
      </c>
      <c r="Q256" s="116">
        <v>7.75</v>
      </c>
      <c r="R256">
        <v>1573740</v>
      </c>
    </row>
    <row r="257" spans="1:18" x14ac:dyDescent="0.25">
      <c r="A257" s="170">
        <v>42377</v>
      </c>
      <c r="B257" s="116">
        <v>8.11</v>
      </c>
      <c r="C257" s="116">
        <v>7.8</v>
      </c>
      <c r="D257" s="116">
        <v>7.74</v>
      </c>
      <c r="E257" s="116">
        <v>7.91</v>
      </c>
      <c r="F257" s="116">
        <v>7.8</v>
      </c>
      <c r="G257">
        <v>244587</v>
      </c>
      <c r="H257" s="116"/>
      <c r="I257" s="116"/>
      <c r="L257" s="170">
        <v>42377</v>
      </c>
      <c r="M257" s="116">
        <v>7.8</v>
      </c>
      <c r="N257" s="116">
        <v>8.1</v>
      </c>
      <c r="O257" s="116">
        <v>7.75</v>
      </c>
      <c r="P257" s="116">
        <v>7.8</v>
      </c>
      <c r="Q257" s="116">
        <v>7.8</v>
      </c>
      <c r="R257">
        <v>697620</v>
      </c>
    </row>
    <row r="258" spans="1:18" x14ac:dyDescent="0.25">
      <c r="A258" s="170">
        <v>42380</v>
      </c>
      <c r="B258" s="116">
        <v>8.15</v>
      </c>
      <c r="C258" s="116">
        <v>7.82</v>
      </c>
      <c r="D258" s="116">
        <v>7.68</v>
      </c>
      <c r="E258" s="116">
        <v>7.7</v>
      </c>
      <c r="F258" s="116">
        <v>7.82</v>
      </c>
      <c r="G258">
        <v>302461</v>
      </c>
      <c r="H258" s="116"/>
      <c r="I258" s="116"/>
      <c r="L258" s="170">
        <v>42380</v>
      </c>
      <c r="M258" s="116">
        <v>7.8</v>
      </c>
      <c r="N258" s="116">
        <v>8.1</v>
      </c>
      <c r="O258" s="116">
        <v>7.7</v>
      </c>
      <c r="P258" s="116">
        <v>7.7</v>
      </c>
      <c r="Q258" s="116">
        <v>7.8</v>
      </c>
      <c r="R258">
        <v>1010656</v>
      </c>
    </row>
    <row r="259" spans="1:18" x14ac:dyDescent="0.25">
      <c r="A259" s="170">
        <v>42381</v>
      </c>
      <c r="B259" s="116">
        <v>8.08</v>
      </c>
      <c r="C259" s="116">
        <v>7.74</v>
      </c>
      <c r="D259" s="116">
        <v>7.71</v>
      </c>
      <c r="E259" s="116">
        <v>7.91</v>
      </c>
      <c r="F259" s="116">
        <v>7.74</v>
      </c>
      <c r="G259">
        <v>222207</v>
      </c>
      <c r="H259" s="116"/>
      <c r="I259" s="116"/>
      <c r="L259" s="170">
        <v>42381</v>
      </c>
      <c r="M259" s="116">
        <v>7.75</v>
      </c>
      <c r="N259" s="116">
        <v>8.1</v>
      </c>
      <c r="O259" s="116">
        <v>7.7</v>
      </c>
      <c r="P259" s="116">
        <v>8</v>
      </c>
      <c r="Q259" s="116">
        <v>7.75</v>
      </c>
      <c r="R259">
        <v>844219</v>
      </c>
    </row>
    <row r="260" spans="1:18" x14ac:dyDescent="0.25">
      <c r="A260" s="170">
        <v>42382</v>
      </c>
      <c r="B260" s="116">
        <v>8.01</v>
      </c>
      <c r="C260" s="116">
        <v>7.39</v>
      </c>
      <c r="D260" s="116">
        <v>7.18</v>
      </c>
      <c r="E260" s="116">
        <v>7.87</v>
      </c>
      <c r="F260" s="116">
        <v>7.39</v>
      </c>
      <c r="G260">
        <v>383108</v>
      </c>
      <c r="H260" s="116"/>
      <c r="I260" s="116"/>
      <c r="L260" s="170">
        <v>42382</v>
      </c>
      <c r="M260" s="116">
        <v>7.4</v>
      </c>
      <c r="N260" s="116">
        <v>8</v>
      </c>
      <c r="O260" s="116">
        <v>7.15</v>
      </c>
      <c r="P260" s="116">
        <v>7.95</v>
      </c>
      <c r="Q260" s="116">
        <v>7.4</v>
      </c>
      <c r="R260">
        <v>1641266</v>
      </c>
    </row>
    <row r="261" spans="1:18" x14ac:dyDescent="0.25">
      <c r="A261" s="170">
        <v>42383</v>
      </c>
      <c r="B261" s="116">
        <v>7.45</v>
      </c>
      <c r="C261" s="116">
        <v>7.22</v>
      </c>
      <c r="D261" s="116">
        <v>7.15</v>
      </c>
      <c r="E261" s="116">
        <v>7.3</v>
      </c>
      <c r="F261" s="116">
        <v>7.22</v>
      </c>
      <c r="G261">
        <v>231584</v>
      </c>
      <c r="H261" s="116"/>
      <c r="I261" s="116"/>
      <c r="L261" s="170">
        <v>42383</v>
      </c>
      <c r="M261" s="116">
        <v>7.25</v>
      </c>
      <c r="N261" s="116">
        <v>7.45</v>
      </c>
      <c r="O261" s="116">
        <v>7.1</v>
      </c>
      <c r="P261" s="116">
        <v>7.3</v>
      </c>
      <c r="Q261" s="116">
        <v>7.25</v>
      </c>
      <c r="R261">
        <v>816449</v>
      </c>
    </row>
    <row r="262" spans="1:18" x14ac:dyDescent="0.25">
      <c r="A262" s="170">
        <v>42384</v>
      </c>
      <c r="B262" s="116">
        <v>7.58</v>
      </c>
      <c r="C262" s="116">
        <v>6.96</v>
      </c>
      <c r="D262" s="116">
        <v>6.88</v>
      </c>
      <c r="E262" s="116">
        <v>7.58</v>
      </c>
      <c r="F262" s="116">
        <v>6.96</v>
      </c>
      <c r="G262">
        <v>347093</v>
      </c>
      <c r="H262" s="116"/>
      <c r="I262" s="116"/>
      <c r="L262" s="170">
        <v>42384</v>
      </c>
      <c r="M262" s="116">
        <v>6.95</v>
      </c>
      <c r="N262" s="116">
        <v>7.35</v>
      </c>
      <c r="O262" s="116">
        <v>6.85</v>
      </c>
      <c r="P262" s="116">
        <v>7.3</v>
      </c>
      <c r="Q262" s="116">
        <v>6.95</v>
      </c>
      <c r="R262">
        <v>1054721</v>
      </c>
    </row>
    <row r="263" spans="1:18" x14ac:dyDescent="0.25">
      <c r="A263" s="170">
        <v>42387</v>
      </c>
      <c r="B263" s="116">
        <v>7.1</v>
      </c>
      <c r="C263" s="116">
        <v>6.57</v>
      </c>
      <c r="D263" s="116">
        <v>6.5</v>
      </c>
      <c r="E263" s="116">
        <v>7.1</v>
      </c>
      <c r="F263" s="116">
        <v>6.57</v>
      </c>
      <c r="G263">
        <v>543791</v>
      </c>
      <c r="H263" s="116"/>
      <c r="I263" s="116"/>
      <c r="L263" s="170">
        <v>42387</v>
      </c>
      <c r="M263" s="116">
        <v>6.55</v>
      </c>
      <c r="N263" s="116">
        <v>7.05</v>
      </c>
      <c r="O263" s="116">
        <v>6.5</v>
      </c>
      <c r="P263" s="116">
        <v>7.05</v>
      </c>
      <c r="Q263" s="116">
        <v>6.55</v>
      </c>
      <c r="R263">
        <v>1394477</v>
      </c>
    </row>
    <row r="264" spans="1:18" x14ac:dyDescent="0.25">
      <c r="A264" s="170">
        <v>42388</v>
      </c>
      <c r="B264" s="116">
        <v>6.84</v>
      </c>
      <c r="C264" s="116">
        <v>6.74</v>
      </c>
      <c r="D264" s="116">
        <v>6.35</v>
      </c>
      <c r="E264" s="116">
        <v>6.35</v>
      </c>
      <c r="F264" s="116">
        <v>6.74</v>
      </c>
      <c r="G264">
        <v>293071</v>
      </c>
      <c r="H264" s="116"/>
      <c r="I264" s="116"/>
      <c r="L264" s="170">
        <v>42388</v>
      </c>
      <c r="M264" s="116">
        <v>6.75</v>
      </c>
      <c r="N264" s="116">
        <v>6.85</v>
      </c>
      <c r="O264" s="116">
        <v>6.55</v>
      </c>
      <c r="P264" s="116">
        <v>6.55</v>
      </c>
      <c r="Q264" s="116">
        <v>6.75</v>
      </c>
      <c r="R264">
        <v>868876</v>
      </c>
    </row>
    <row r="265" spans="1:18" x14ac:dyDescent="0.25">
      <c r="A265" s="170">
        <v>42389</v>
      </c>
      <c r="B265" s="116">
        <v>6.72</v>
      </c>
      <c r="C265" s="116">
        <v>6.56</v>
      </c>
      <c r="D265" s="116">
        <v>6.45</v>
      </c>
      <c r="E265" s="116">
        <v>6.69</v>
      </c>
      <c r="F265" s="116">
        <v>6.56</v>
      </c>
      <c r="G265">
        <v>365141</v>
      </c>
      <c r="H265" s="116"/>
      <c r="I265" s="116"/>
      <c r="L265" s="170">
        <v>42389</v>
      </c>
      <c r="M265" s="116">
        <v>6.55</v>
      </c>
      <c r="N265" s="116">
        <v>6.7</v>
      </c>
      <c r="O265" s="116">
        <v>6.45</v>
      </c>
      <c r="P265" s="116">
        <v>6.65</v>
      </c>
      <c r="Q265" s="116">
        <v>6.55</v>
      </c>
      <c r="R265">
        <v>913078</v>
      </c>
    </row>
    <row r="266" spans="1:18" x14ac:dyDescent="0.25">
      <c r="A266" s="170">
        <v>42390</v>
      </c>
      <c r="B266" s="116">
        <v>6.99</v>
      </c>
      <c r="C266" s="116">
        <v>6.85</v>
      </c>
      <c r="D266" s="116">
        <v>6.55</v>
      </c>
      <c r="E266" s="116">
        <v>6.58</v>
      </c>
      <c r="F266" s="116">
        <v>6.85</v>
      </c>
      <c r="G266">
        <v>475996</v>
      </c>
      <c r="H266" s="116"/>
      <c r="I266" s="116"/>
      <c r="L266" s="170">
        <v>42390</v>
      </c>
      <c r="M266" s="116">
        <v>6.8</v>
      </c>
      <c r="N266" s="116">
        <v>7</v>
      </c>
      <c r="O266" s="116">
        <v>6.55</v>
      </c>
      <c r="P266" s="116">
        <v>6.55</v>
      </c>
      <c r="Q266" s="116">
        <v>6.8</v>
      </c>
      <c r="R266">
        <v>1191608</v>
      </c>
    </row>
    <row r="267" spans="1:18" x14ac:dyDescent="0.25">
      <c r="A267" s="170">
        <v>42391</v>
      </c>
      <c r="B267" s="116">
        <v>7</v>
      </c>
      <c r="C267" s="116">
        <v>6.88</v>
      </c>
      <c r="D267" s="116">
        <v>6.8</v>
      </c>
      <c r="E267" s="116">
        <v>6.93</v>
      </c>
      <c r="F267" s="116">
        <v>6.88</v>
      </c>
      <c r="G267">
        <v>269654</v>
      </c>
      <c r="H267" s="116"/>
      <c r="I267" s="116"/>
      <c r="L267" s="170">
        <v>42391</v>
      </c>
      <c r="M267" s="116">
        <v>6.9</v>
      </c>
      <c r="N267" s="116">
        <v>7</v>
      </c>
      <c r="O267" s="116">
        <v>6.8</v>
      </c>
      <c r="P267" s="116">
        <v>7</v>
      </c>
      <c r="Q267" s="116">
        <v>6.9</v>
      </c>
      <c r="R267">
        <v>551610</v>
      </c>
    </row>
    <row r="268" spans="1:18" x14ac:dyDescent="0.25">
      <c r="A268" s="170">
        <v>42394</v>
      </c>
      <c r="B268" s="116">
        <v>7.11</v>
      </c>
      <c r="C268" s="116">
        <v>6.88</v>
      </c>
      <c r="D268" s="116">
        <v>6.84</v>
      </c>
      <c r="E268" s="116">
        <v>6.85</v>
      </c>
      <c r="F268" s="116">
        <v>6.88</v>
      </c>
      <c r="G268">
        <v>186611</v>
      </c>
      <c r="H268" s="116"/>
      <c r="I268" s="116"/>
      <c r="L268" s="170">
        <v>42394</v>
      </c>
      <c r="M268" s="116">
        <v>6.85</v>
      </c>
      <c r="N268" s="116">
        <v>7.1</v>
      </c>
      <c r="O268" s="116">
        <v>6.85</v>
      </c>
      <c r="P268" s="116">
        <v>6.9</v>
      </c>
      <c r="Q268" s="116">
        <v>6.85</v>
      </c>
      <c r="R268">
        <v>533132</v>
      </c>
    </row>
    <row r="269" spans="1:18" x14ac:dyDescent="0.25">
      <c r="A269" s="170">
        <v>42396</v>
      </c>
      <c r="B269" s="116">
        <v>6.97</v>
      </c>
      <c r="C269" s="116">
        <v>6.7</v>
      </c>
      <c r="D269" s="116">
        <v>6.66</v>
      </c>
      <c r="E269" s="116">
        <v>6.88</v>
      </c>
      <c r="F269" s="116">
        <v>6.7</v>
      </c>
      <c r="G269">
        <v>280265</v>
      </c>
      <c r="H269" s="116"/>
      <c r="I269" s="116"/>
      <c r="L269" s="170">
        <v>42396</v>
      </c>
      <c r="M269" s="116">
        <v>6.75</v>
      </c>
      <c r="N269" s="116">
        <v>6.95</v>
      </c>
      <c r="O269" s="116">
        <v>6.6</v>
      </c>
      <c r="P269" s="116">
        <v>6.9</v>
      </c>
      <c r="Q269" s="116">
        <v>6.75</v>
      </c>
      <c r="R269">
        <v>579936</v>
      </c>
    </row>
    <row r="270" spans="1:18" x14ac:dyDescent="0.25">
      <c r="A270" s="170">
        <v>42397</v>
      </c>
      <c r="B270" s="116">
        <v>6.81</v>
      </c>
      <c r="C270" s="116">
        <v>6.68</v>
      </c>
      <c r="D270" s="116">
        <v>6.65</v>
      </c>
      <c r="E270" s="116">
        <v>6.77</v>
      </c>
      <c r="F270" s="116">
        <v>6.68</v>
      </c>
      <c r="G270">
        <v>210968</v>
      </c>
      <c r="H270" s="116"/>
      <c r="I270" s="116"/>
      <c r="L270" s="170">
        <v>42397</v>
      </c>
      <c r="M270" s="116">
        <v>6.7</v>
      </c>
      <c r="N270" s="116">
        <v>6.85</v>
      </c>
      <c r="O270" s="116">
        <v>6.65</v>
      </c>
      <c r="P270" s="116">
        <v>6.8</v>
      </c>
      <c r="Q270" s="116">
        <v>6.7</v>
      </c>
      <c r="R270">
        <v>427110</v>
      </c>
    </row>
    <row r="271" spans="1:18" x14ac:dyDescent="0.25">
      <c r="A271" s="170">
        <v>42398</v>
      </c>
      <c r="B271" s="116">
        <v>6.8</v>
      </c>
      <c r="C271" s="116">
        <v>6.68</v>
      </c>
      <c r="D271" s="116">
        <v>6.62</v>
      </c>
      <c r="E271" s="116">
        <v>6.74</v>
      </c>
      <c r="F271" s="116">
        <v>6.68</v>
      </c>
      <c r="G271">
        <v>165429</v>
      </c>
      <c r="H271" s="116"/>
      <c r="I271" s="116"/>
      <c r="L271" s="170">
        <v>42398</v>
      </c>
      <c r="M271" s="116">
        <v>6.7</v>
      </c>
      <c r="N271" s="116">
        <v>6.8</v>
      </c>
      <c r="O271" s="116">
        <v>6.6</v>
      </c>
      <c r="P271" s="116">
        <v>6.75</v>
      </c>
      <c r="Q271" s="116">
        <v>6.7</v>
      </c>
      <c r="R271">
        <v>520440</v>
      </c>
    </row>
    <row r="272" spans="1:18" x14ac:dyDescent="0.25">
      <c r="A272" s="170">
        <v>42401</v>
      </c>
      <c r="B272" s="116">
        <v>7.09</v>
      </c>
      <c r="C272" s="116">
        <v>6.77</v>
      </c>
      <c r="D272" s="116">
        <v>6.71</v>
      </c>
      <c r="E272" s="116">
        <v>6.89</v>
      </c>
      <c r="F272" s="116">
        <v>6.77</v>
      </c>
      <c r="G272">
        <v>238012</v>
      </c>
      <c r="H272" s="116"/>
      <c r="I272" s="116"/>
      <c r="L272" s="170">
        <v>42401</v>
      </c>
      <c r="M272" s="116">
        <v>6.8</v>
      </c>
      <c r="N272" s="116">
        <v>7.1</v>
      </c>
      <c r="O272" s="116">
        <v>6.75</v>
      </c>
      <c r="P272" s="116">
        <v>6.9</v>
      </c>
      <c r="Q272" s="116">
        <v>6.8</v>
      </c>
      <c r="R272">
        <v>705380</v>
      </c>
    </row>
    <row r="273" spans="1:18" x14ac:dyDescent="0.25">
      <c r="A273" s="170">
        <v>42402</v>
      </c>
      <c r="B273" s="116">
        <v>6.86</v>
      </c>
      <c r="C273" s="116">
        <v>6.66</v>
      </c>
      <c r="D273" s="116">
        <v>6.65</v>
      </c>
      <c r="E273" s="116">
        <v>6.85</v>
      </c>
      <c r="F273" s="116">
        <v>6.66</v>
      </c>
      <c r="G273">
        <v>188178</v>
      </c>
      <c r="H273" s="116"/>
      <c r="I273" s="116"/>
      <c r="L273" s="170">
        <v>42402</v>
      </c>
      <c r="M273" s="116">
        <v>6.65</v>
      </c>
      <c r="N273" s="116">
        <v>6.85</v>
      </c>
      <c r="O273" s="116">
        <v>6.6</v>
      </c>
      <c r="P273" s="116">
        <v>6.8</v>
      </c>
      <c r="Q273" s="116">
        <v>6.65</v>
      </c>
      <c r="R273">
        <v>607444</v>
      </c>
    </row>
    <row r="274" spans="1:18" x14ac:dyDescent="0.25">
      <c r="A274" s="170">
        <v>42403</v>
      </c>
      <c r="B274" s="116">
        <v>6.73</v>
      </c>
      <c r="C274" s="116">
        <v>6.55</v>
      </c>
      <c r="D274" s="116">
        <v>6.36</v>
      </c>
      <c r="E274" s="116">
        <v>6.51</v>
      </c>
      <c r="F274" s="116">
        <v>6.55</v>
      </c>
      <c r="G274">
        <v>369119</v>
      </c>
      <c r="H274" s="116"/>
      <c r="I274" s="116"/>
      <c r="L274" s="170">
        <v>42403</v>
      </c>
      <c r="M274" s="116">
        <v>6.6</v>
      </c>
      <c r="N274" s="116">
        <v>6.75</v>
      </c>
      <c r="O274" s="116">
        <v>6.3</v>
      </c>
      <c r="P274" s="116">
        <v>6.5</v>
      </c>
      <c r="Q274" s="116">
        <v>6.6</v>
      </c>
      <c r="R274">
        <v>945381</v>
      </c>
    </row>
    <row r="275" spans="1:18" x14ac:dyDescent="0.25">
      <c r="A275" s="170">
        <v>42404</v>
      </c>
      <c r="B275" s="116">
        <v>6.94</v>
      </c>
      <c r="C275" s="116">
        <v>6.72</v>
      </c>
      <c r="D275" s="116">
        <v>6.67</v>
      </c>
      <c r="E275" s="116">
        <v>6.79</v>
      </c>
      <c r="F275" s="116">
        <v>6.72</v>
      </c>
      <c r="G275">
        <v>433519</v>
      </c>
      <c r="H275" s="116"/>
      <c r="I275" s="116"/>
      <c r="L275" s="170">
        <v>42404</v>
      </c>
      <c r="M275" s="116">
        <v>6.7</v>
      </c>
      <c r="N275" s="116">
        <v>6.95</v>
      </c>
      <c r="O275" s="116">
        <v>6.65</v>
      </c>
      <c r="P275" s="116">
        <v>6.65</v>
      </c>
      <c r="Q275" s="116">
        <v>6.7</v>
      </c>
      <c r="R275">
        <v>832440</v>
      </c>
    </row>
    <row r="276" spans="1:18" x14ac:dyDescent="0.25">
      <c r="A276" s="170">
        <v>42405</v>
      </c>
      <c r="B276" s="116">
        <v>6.93</v>
      </c>
      <c r="C276" s="116">
        <v>6.7</v>
      </c>
      <c r="D276" s="116">
        <v>6.61</v>
      </c>
      <c r="E276" s="116">
        <v>6.93</v>
      </c>
      <c r="F276" s="116">
        <v>6.7</v>
      </c>
      <c r="G276">
        <v>349792</v>
      </c>
      <c r="H276" s="116"/>
      <c r="I276" s="116"/>
      <c r="L276" s="170">
        <v>42405</v>
      </c>
      <c r="M276" s="116">
        <v>6.7</v>
      </c>
      <c r="N276" s="116">
        <v>6.95</v>
      </c>
      <c r="O276" s="116">
        <v>6.6</v>
      </c>
      <c r="P276" s="116">
        <v>6.95</v>
      </c>
      <c r="Q276" s="116">
        <v>6.7</v>
      </c>
      <c r="R276">
        <v>776395</v>
      </c>
    </row>
    <row r="277" spans="1:18" x14ac:dyDescent="0.25">
      <c r="A277" s="170">
        <v>42408</v>
      </c>
      <c r="B277" s="116">
        <v>6.86</v>
      </c>
      <c r="C277" s="116">
        <v>6.66</v>
      </c>
      <c r="D277" s="116">
        <v>6.64</v>
      </c>
      <c r="E277" s="116">
        <v>6.69</v>
      </c>
      <c r="F277" s="116">
        <v>6.66</v>
      </c>
      <c r="G277">
        <v>237548</v>
      </c>
      <c r="H277" s="116"/>
      <c r="I277" s="116"/>
      <c r="L277" s="170">
        <v>42408</v>
      </c>
      <c r="M277" s="116">
        <v>6.65</v>
      </c>
      <c r="N277" s="116">
        <v>6.85</v>
      </c>
      <c r="O277" s="116">
        <v>6.65</v>
      </c>
      <c r="P277" s="116">
        <v>6.7</v>
      </c>
      <c r="Q277" s="116">
        <v>6.65</v>
      </c>
      <c r="R277">
        <v>398482</v>
      </c>
    </row>
    <row r="278" spans="1:18" x14ac:dyDescent="0.25">
      <c r="A278" s="170">
        <v>42409</v>
      </c>
      <c r="B278" s="116">
        <v>6.71</v>
      </c>
      <c r="C278" s="116">
        <v>6.43</v>
      </c>
      <c r="D278" s="116">
        <v>6.35</v>
      </c>
      <c r="E278" s="116">
        <v>6.59</v>
      </c>
      <c r="F278" s="116">
        <v>6.43</v>
      </c>
      <c r="G278">
        <v>241491</v>
      </c>
      <c r="H278" s="116"/>
      <c r="I278" s="116"/>
      <c r="L278" s="170">
        <v>42409</v>
      </c>
      <c r="M278" s="116">
        <v>6.4</v>
      </c>
      <c r="N278" s="116">
        <v>6.7</v>
      </c>
      <c r="O278" s="116">
        <v>6.3</v>
      </c>
      <c r="P278" s="116">
        <v>6.65</v>
      </c>
      <c r="Q278" s="116">
        <v>6.4</v>
      </c>
      <c r="R278">
        <v>997227</v>
      </c>
    </row>
    <row r="279" spans="1:18" x14ac:dyDescent="0.25">
      <c r="A279" s="170">
        <v>42410</v>
      </c>
      <c r="B279" s="116">
        <v>6.54</v>
      </c>
      <c r="C279" s="116">
        <v>6.42</v>
      </c>
      <c r="D279" s="116">
        <v>6.3</v>
      </c>
      <c r="E279" s="116">
        <v>6.35</v>
      </c>
      <c r="F279" s="116">
        <v>6.42</v>
      </c>
      <c r="G279">
        <v>231014</v>
      </c>
      <c r="H279" s="116"/>
      <c r="I279" s="116"/>
      <c r="L279" s="170">
        <v>42410</v>
      </c>
      <c r="M279" s="116">
        <v>6.4</v>
      </c>
      <c r="N279" s="116">
        <v>6.55</v>
      </c>
      <c r="O279" s="116">
        <v>6.25</v>
      </c>
      <c r="P279" s="116">
        <v>6.35</v>
      </c>
      <c r="Q279" s="116">
        <v>6.4</v>
      </c>
      <c r="R279">
        <v>761924</v>
      </c>
    </row>
    <row r="280" spans="1:18" x14ac:dyDescent="0.25">
      <c r="A280" s="170">
        <v>42411</v>
      </c>
      <c r="B280" s="116">
        <v>6.55</v>
      </c>
      <c r="C280" s="116">
        <v>6.19</v>
      </c>
      <c r="D280" s="116">
        <v>5.95</v>
      </c>
      <c r="E280" s="116">
        <v>6.55</v>
      </c>
      <c r="F280" s="116">
        <v>6.19</v>
      </c>
      <c r="G280">
        <v>428365</v>
      </c>
      <c r="H280" s="116"/>
      <c r="I280" s="116"/>
      <c r="L280" s="170">
        <v>42411</v>
      </c>
      <c r="M280" s="116">
        <v>6.1</v>
      </c>
      <c r="N280" s="116">
        <v>6.55</v>
      </c>
      <c r="O280" s="116">
        <v>5.95</v>
      </c>
      <c r="P280" s="116">
        <v>6.55</v>
      </c>
      <c r="Q280" s="116">
        <v>6.1</v>
      </c>
      <c r="R280">
        <v>1229619</v>
      </c>
    </row>
    <row r="281" spans="1:18" x14ac:dyDescent="0.25">
      <c r="A281" s="170">
        <v>42412</v>
      </c>
      <c r="B281" s="116">
        <v>6.28</v>
      </c>
      <c r="C281" s="116">
        <v>6.13</v>
      </c>
      <c r="D281" s="116">
        <v>5.8</v>
      </c>
      <c r="E281" s="116">
        <v>6.1</v>
      </c>
      <c r="F281" s="116">
        <v>6.13</v>
      </c>
      <c r="G281">
        <v>288502</v>
      </c>
      <c r="H281" s="116"/>
      <c r="I281" s="116"/>
      <c r="L281" s="170">
        <v>42412</v>
      </c>
      <c r="M281" s="116">
        <v>6.1</v>
      </c>
      <c r="N281" s="116">
        <v>6.3</v>
      </c>
      <c r="O281" s="116">
        <v>5.8</v>
      </c>
      <c r="P281" s="116">
        <v>6.15</v>
      </c>
      <c r="Q281" s="116">
        <v>6.1</v>
      </c>
      <c r="R281">
        <v>1384035</v>
      </c>
    </row>
    <row r="282" spans="1:18" x14ac:dyDescent="0.25">
      <c r="A282" s="170">
        <v>42415</v>
      </c>
      <c r="B282" s="116">
        <v>6.32</v>
      </c>
      <c r="C282" s="116">
        <v>6.27</v>
      </c>
      <c r="D282" s="116">
        <v>6.08</v>
      </c>
      <c r="E282" s="116">
        <v>6.15</v>
      </c>
      <c r="F282" s="116">
        <v>6.27</v>
      </c>
      <c r="G282">
        <v>253304</v>
      </c>
      <c r="H282" s="116"/>
      <c r="I282" s="116"/>
      <c r="L282" s="170">
        <v>42415</v>
      </c>
      <c r="M282" s="116">
        <v>6.25</v>
      </c>
      <c r="N282" s="116">
        <v>6.35</v>
      </c>
      <c r="O282" s="116">
        <v>6.1</v>
      </c>
      <c r="P282" s="116">
        <v>6.35</v>
      </c>
      <c r="Q282" s="116">
        <v>6.25</v>
      </c>
      <c r="R282">
        <v>969112</v>
      </c>
    </row>
    <row r="283" spans="1:18" x14ac:dyDescent="0.25">
      <c r="A283" s="170">
        <v>42416</v>
      </c>
      <c r="B283" s="116">
        <v>6.31</v>
      </c>
      <c r="C283" s="116">
        <v>6.04</v>
      </c>
      <c r="D283" s="116">
        <v>6.01</v>
      </c>
      <c r="E283" s="116">
        <v>6.25</v>
      </c>
      <c r="F283" s="116">
        <v>6.04</v>
      </c>
      <c r="G283">
        <v>181064</v>
      </c>
      <c r="H283" s="116"/>
      <c r="I283" s="116"/>
      <c r="L283" s="170">
        <v>42416</v>
      </c>
      <c r="M283" s="116">
        <v>6.05</v>
      </c>
      <c r="N283" s="116">
        <v>6.35</v>
      </c>
      <c r="O283" s="116">
        <v>6</v>
      </c>
      <c r="P283" s="116">
        <v>6.35</v>
      </c>
      <c r="Q283" s="116">
        <v>6.05</v>
      </c>
      <c r="R283">
        <v>510329</v>
      </c>
    </row>
    <row r="284" spans="1:18" x14ac:dyDescent="0.25">
      <c r="A284" s="170">
        <v>42417</v>
      </c>
      <c r="B284" s="116">
        <v>6.1</v>
      </c>
      <c r="C284" s="116">
        <v>6</v>
      </c>
      <c r="D284" s="116">
        <v>5.84</v>
      </c>
      <c r="E284" s="116">
        <v>6.1</v>
      </c>
      <c r="F284" s="116">
        <v>6</v>
      </c>
      <c r="G284">
        <v>199655</v>
      </c>
      <c r="H284" s="116"/>
      <c r="I284" s="116"/>
      <c r="L284" s="170">
        <v>42417</v>
      </c>
      <c r="M284" s="116">
        <v>6</v>
      </c>
      <c r="N284" s="116">
        <v>6.05</v>
      </c>
      <c r="O284" s="116">
        <v>5.8</v>
      </c>
      <c r="P284" s="116">
        <v>6.05</v>
      </c>
      <c r="Q284" s="116">
        <v>6</v>
      </c>
      <c r="R284">
        <v>825228</v>
      </c>
    </row>
    <row r="285" spans="1:18" x14ac:dyDescent="0.25">
      <c r="A285" s="170">
        <v>42418</v>
      </c>
      <c r="B285" s="116">
        <v>6.19</v>
      </c>
      <c r="C285" s="116">
        <v>5.85</v>
      </c>
      <c r="D285" s="116">
        <v>5.73</v>
      </c>
      <c r="E285" s="116">
        <v>6.1</v>
      </c>
      <c r="F285" s="116">
        <v>5.85</v>
      </c>
      <c r="G285">
        <v>411944</v>
      </c>
      <c r="H285" s="116"/>
      <c r="I285" s="116"/>
      <c r="L285" s="170">
        <v>42418</v>
      </c>
      <c r="M285" s="116">
        <v>5.85</v>
      </c>
      <c r="N285" s="116">
        <v>6.2</v>
      </c>
      <c r="O285" s="116">
        <v>5.7</v>
      </c>
      <c r="P285" s="116">
        <v>6.05</v>
      </c>
      <c r="Q285" s="116">
        <v>5.85</v>
      </c>
      <c r="R285">
        <v>1228905</v>
      </c>
    </row>
    <row r="286" spans="1:18" x14ac:dyDescent="0.25">
      <c r="A286" s="170">
        <v>42419</v>
      </c>
      <c r="B286" s="116">
        <v>6.03</v>
      </c>
      <c r="C286" s="116">
        <v>5.91</v>
      </c>
      <c r="D286" s="116">
        <v>5.79</v>
      </c>
      <c r="E286" s="116">
        <v>5.85</v>
      </c>
      <c r="F286" s="116">
        <v>5.91</v>
      </c>
      <c r="G286">
        <v>204602</v>
      </c>
      <c r="H286" s="116"/>
      <c r="I286" s="116"/>
      <c r="L286" s="170">
        <v>42419</v>
      </c>
      <c r="M286" s="116">
        <v>5.9</v>
      </c>
      <c r="N286" s="116">
        <v>6.05</v>
      </c>
      <c r="O286" s="116">
        <v>5.8</v>
      </c>
      <c r="P286" s="116">
        <v>5.85</v>
      </c>
      <c r="Q286" s="116">
        <v>5.9</v>
      </c>
      <c r="R286">
        <v>682996</v>
      </c>
    </row>
    <row r="287" spans="1:18" x14ac:dyDescent="0.25">
      <c r="A287" s="170">
        <v>42422</v>
      </c>
      <c r="B287" s="116">
        <v>6.5</v>
      </c>
      <c r="C287" s="116">
        <v>6.26</v>
      </c>
      <c r="D287" s="116">
        <v>5.92</v>
      </c>
      <c r="E287" s="116">
        <v>5.99</v>
      </c>
      <c r="F287" s="116">
        <v>6.26</v>
      </c>
      <c r="G287">
        <v>444902</v>
      </c>
      <c r="H287" s="116"/>
      <c r="I287" s="116"/>
      <c r="L287" s="170">
        <v>42422</v>
      </c>
      <c r="M287" s="116">
        <v>6.25</v>
      </c>
      <c r="N287" s="116">
        <v>6.65</v>
      </c>
      <c r="O287" s="116">
        <v>5.9</v>
      </c>
      <c r="P287" s="116">
        <v>5.95</v>
      </c>
      <c r="Q287" s="116">
        <v>6.25</v>
      </c>
      <c r="R287">
        <v>1414046</v>
      </c>
    </row>
    <row r="288" spans="1:18" x14ac:dyDescent="0.25">
      <c r="A288" s="170">
        <v>42423</v>
      </c>
      <c r="B288" s="116">
        <v>6.43</v>
      </c>
      <c r="C288" s="116">
        <v>6.1</v>
      </c>
      <c r="D288" s="116">
        <v>6.07</v>
      </c>
      <c r="E288" s="116">
        <v>6.35</v>
      </c>
      <c r="F288" s="116">
        <v>6.1</v>
      </c>
      <c r="G288">
        <v>212155</v>
      </c>
      <c r="H288" s="116"/>
      <c r="I288" s="116"/>
      <c r="L288" s="170">
        <v>42423</v>
      </c>
      <c r="M288" s="116">
        <v>6.15</v>
      </c>
      <c r="N288" s="116">
        <v>6.4</v>
      </c>
      <c r="O288" s="116">
        <v>6.05</v>
      </c>
      <c r="P288" s="116">
        <v>6.4</v>
      </c>
      <c r="Q288" s="116">
        <v>6.15</v>
      </c>
      <c r="R288">
        <v>423376</v>
      </c>
    </row>
    <row r="289" spans="1:18" x14ac:dyDescent="0.25">
      <c r="A289" s="170">
        <v>42424</v>
      </c>
      <c r="B289" s="116">
        <v>6.2</v>
      </c>
      <c r="C289" s="116">
        <v>6.06</v>
      </c>
      <c r="D289" s="116">
        <v>6.01</v>
      </c>
      <c r="E289" s="116">
        <v>6.15</v>
      </c>
      <c r="F289" s="116">
        <v>6.06</v>
      </c>
      <c r="G289">
        <v>190750</v>
      </c>
      <c r="H289" s="116"/>
      <c r="I289" s="116"/>
      <c r="L289" s="170">
        <v>42424</v>
      </c>
      <c r="M289" s="116">
        <v>6.05</v>
      </c>
      <c r="N289" s="116">
        <v>6.25</v>
      </c>
      <c r="O289" s="116">
        <v>6</v>
      </c>
      <c r="P289" s="116">
        <v>6.25</v>
      </c>
      <c r="Q289" s="116">
        <v>6.05</v>
      </c>
      <c r="R289">
        <v>506291</v>
      </c>
    </row>
    <row r="290" spans="1:18" x14ac:dyDescent="0.25">
      <c r="A290" s="170">
        <v>42425</v>
      </c>
      <c r="B290" s="116">
        <v>6.17</v>
      </c>
      <c r="C290" s="116">
        <v>6.03</v>
      </c>
      <c r="D290" s="116">
        <v>6.01</v>
      </c>
      <c r="E290" s="116">
        <v>6.17</v>
      </c>
      <c r="F290" s="116">
        <v>6.03</v>
      </c>
      <c r="G290">
        <v>103027</v>
      </c>
      <c r="H290" s="116"/>
      <c r="I290" s="116"/>
      <c r="L290" s="170">
        <v>42425</v>
      </c>
      <c r="M290" s="116">
        <v>6</v>
      </c>
      <c r="N290" s="116">
        <v>6.15</v>
      </c>
      <c r="O290" s="116">
        <v>6</v>
      </c>
      <c r="P290" s="116">
        <v>6.05</v>
      </c>
      <c r="Q290" s="116">
        <v>6</v>
      </c>
      <c r="R290">
        <v>467151</v>
      </c>
    </row>
    <row r="291" spans="1:18" x14ac:dyDescent="0.25">
      <c r="A291" s="170">
        <v>42426</v>
      </c>
      <c r="B291" s="116">
        <v>6.15</v>
      </c>
      <c r="C291" s="116">
        <v>5.88</v>
      </c>
      <c r="D291" s="116">
        <v>5.85</v>
      </c>
      <c r="E291" s="116">
        <v>6.13</v>
      </c>
      <c r="F291" s="116">
        <v>5.88</v>
      </c>
      <c r="G291">
        <v>249942</v>
      </c>
      <c r="H291" s="116"/>
      <c r="I291" s="116"/>
      <c r="L291" s="170">
        <v>42426</v>
      </c>
      <c r="M291" s="116">
        <v>5.9</v>
      </c>
      <c r="N291" s="116">
        <v>6.2</v>
      </c>
      <c r="O291" s="116">
        <v>5.85</v>
      </c>
      <c r="P291" s="116">
        <v>6</v>
      </c>
      <c r="Q291" s="116">
        <v>5.9</v>
      </c>
      <c r="R291">
        <v>814688</v>
      </c>
    </row>
    <row r="292" spans="1:18" x14ac:dyDescent="0.25">
      <c r="A292" s="170">
        <v>42429</v>
      </c>
      <c r="B292" s="116">
        <v>6.03</v>
      </c>
      <c r="C292" s="116">
        <v>5.91</v>
      </c>
      <c r="D292" s="116">
        <v>5.86</v>
      </c>
      <c r="E292" s="116">
        <v>5.91</v>
      </c>
      <c r="F292" s="116">
        <v>5.91</v>
      </c>
      <c r="G292">
        <v>314374</v>
      </c>
      <c r="H292" s="116"/>
      <c r="I292" s="116"/>
      <c r="L292" s="170">
        <v>42429</v>
      </c>
      <c r="M292" s="116">
        <v>5.9</v>
      </c>
      <c r="N292" s="116">
        <v>6.05</v>
      </c>
      <c r="O292" s="116">
        <v>5.85</v>
      </c>
      <c r="P292" s="116">
        <v>6</v>
      </c>
      <c r="Q292" s="116">
        <v>5.9</v>
      </c>
      <c r="R292">
        <v>680101</v>
      </c>
    </row>
    <row r="293" spans="1:18" x14ac:dyDescent="0.25">
      <c r="A293" s="170">
        <v>42430</v>
      </c>
      <c r="B293" s="116">
        <v>6.05</v>
      </c>
      <c r="C293" s="116">
        <v>5.96</v>
      </c>
      <c r="D293" s="116">
        <v>5.9</v>
      </c>
      <c r="E293" s="116">
        <v>5.99</v>
      </c>
      <c r="F293" s="116">
        <v>5.96</v>
      </c>
      <c r="G293">
        <v>173604</v>
      </c>
      <c r="H293" s="116"/>
      <c r="I293" s="116"/>
      <c r="L293" s="170">
        <v>42430</v>
      </c>
      <c r="M293" s="116">
        <v>5.95</v>
      </c>
      <c r="N293" s="116">
        <v>6.05</v>
      </c>
      <c r="O293" s="116">
        <v>5.9</v>
      </c>
      <c r="P293" s="116">
        <v>5.95</v>
      </c>
      <c r="Q293" s="116">
        <v>5.95</v>
      </c>
      <c r="R293">
        <v>530115</v>
      </c>
    </row>
    <row r="294" spans="1:18" x14ac:dyDescent="0.25">
      <c r="A294" s="170">
        <v>42431</v>
      </c>
      <c r="B294" s="116">
        <v>6.48</v>
      </c>
      <c r="C294" s="116">
        <v>6.06</v>
      </c>
      <c r="D294" s="116">
        <v>6.01</v>
      </c>
      <c r="E294" s="116">
        <v>6.02</v>
      </c>
      <c r="F294" s="116">
        <v>6.06</v>
      </c>
      <c r="G294">
        <v>416367</v>
      </c>
      <c r="H294" s="116"/>
      <c r="I294" s="116"/>
      <c r="L294" s="170">
        <v>42431</v>
      </c>
      <c r="M294" s="116">
        <v>6.05</v>
      </c>
      <c r="N294" s="116">
        <v>6.2</v>
      </c>
      <c r="O294" s="116">
        <v>5.95</v>
      </c>
      <c r="P294" s="116">
        <v>6.05</v>
      </c>
      <c r="Q294" s="116">
        <v>6.05</v>
      </c>
      <c r="R294">
        <v>871907</v>
      </c>
    </row>
    <row r="295" spans="1:18" x14ac:dyDescent="0.25">
      <c r="A295" s="170">
        <v>42432</v>
      </c>
      <c r="B295" s="116">
        <v>6.31</v>
      </c>
      <c r="C295" s="116">
        <v>6.27</v>
      </c>
      <c r="D295" s="116">
        <v>6.04</v>
      </c>
      <c r="E295" s="116">
        <v>6.1</v>
      </c>
      <c r="F295" s="116">
        <v>6.27</v>
      </c>
      <c r="G295">
        <v>245277</v>
      </c>
      <c r="H295" s="116"/>
      <c r="I295" s="116"/>
      <c r="L295" s="170">
        <v>42432</v>
      </c>
      <c r="M295" s="116">
        <v>6.25</v>
      </c>
      <c r="N295" s="116">
        <v>6.35</v>
      </c>
      <c r="O295" s="116">
        <v>6</v>
      </c>
      <c r="P295" s="116">
        <v>6.1</v>
      </c>
      <c r="Q295" s="116">
        <v>6.25</v>
      </c>
      <c r="R295">
        <v>927102</v>
      </c>
    </row>
    <row r="296" spans="1:18" x14ac:dyDescent="0.25">
      <c r="A296" s="170">
        <v>42433</v>
      </c>
      <c r="B296" s="116">
        <v>6.36</v>
      </c>
      <c r="C296" s="116">
        <v>6.33</v>
      </c>
      <c r="D296" s="116">
        <v>6.1</v>
      </c>
      <c r="E296" s="116">
        <v>6.28</v>
      </c>
      <c r="F296" s="116">
        <v>6.33</v>
      </c>
      <c r="G296">
        <v>316875</v>
      </c>
      <c r="H296" s="116"/>
      <c r="I296" s="116"/>
      <c r="L296" s="170">
        <v>42433</v>
      </c>
      <c r="M296" s="116">
        <v>6.35</v>
      </c>
      <c r="N296" s="116">
        <v>6.4</v>
      </c>
      <c r="O296" s="116">
        <v>6.15</v>
      </c>
      <c r="P296" s="116">
        <v>6.25</v>
      </c>
      <c r="Q296" s="116">
        <v>6.35</v>
      </c>
      <c r="R296">
        <v>736036</v>
      </c>
    </row>
    <row r="297" spans="1:18" x14ac:dyDescent="0.25">
      <c r="A297" s="170">
        <v>42437</v>
      </c>
      <c r="B297" s="116">
        <v>6.4</v>
      </c>
      <c r="C297" s="116">
        <v>6.18</v>
      </c>
      <c r="D297" s="116">
        <v>6.15</v>
      </c>
      <c r="E297" s="116">
        <v>6.26</v>
      </c>
      <c r="F297" s="116">
        <v>6.18</v>
      </c>
      <c r="G297">
        <v>323892</v>
      </c>
      <c r="H297" s="116"/>
      <c r="I297" s="116"/>
      <c r="L297" s="170">
        <v>42437</v>
      </c>
      <c r="M297" s="116">
        <v>6.2</v>
      </c>
      <c r="N297" s="116">
        <v>6.4</v>
      </c>
      <c r="O297" s="116">
        <v>6.15</v>
      </c>
      <c r="P297" s="116">
        <v>6.4</v>
      </c>
      <c r="Q297" s="116">
        <v>6.2</v>
      </c>
      <c r="R297">
        <v>582542</v>
      </c>
    </row>
    <row r="298" spans="1:18" x14ac:dyDescent="0.25">
      <c r="A298" s="170">
        <v>42438</v>
      </c>
      <c r="B298" s="116">
        <v>6.28</v>
      </c>
      <c r="C298" s="116">
        <v>6.23</v>
      </c>
      <c r="D298" s="116">
        <v>6.12</v>
      </c>
      <c r="E298" s="116">
        <v>6.14</v>
      </c>
      <c r="F298" s="116">
        <v>6.23</v>
      </c>
      <c r="G298">
        <v>123999</v>
      </c>
      <c r="H298" s="116"/>
      <c r="I298" s="116"/>
      <c r="L298" s="170">
        <v>42438</v>
      </c>
      <c r="M298" s="116">
        <v>6.25</v>
      </c>
      <c r="N298" s="116">
        <v>6.3</v>
      </c>
      <c r="O298" s="116">
        <v>6.1</v>
      </c>
      <c r="P298" s="116">
        <v>6.25</v>
      </c>
      <c r="Q298" s="116">
        <v>6.25</v>
      </c>
      <c r="R298">
        <v>574302</v>
      </c>
    </row>
    <row r="299" spans="1:18" x14ac:dyDescent="0.25">
      <c r="A299" s="170">
        <v>42439</v>
      </c>
      <c r="B299" s="116">
        <v>6.3</v>
      </c>
      <c r="C299" s="116">
        <v>6.14</v>
      </c>
      <c r="D299" s="116">
        <v>6.12</v>
      </c>
      <c r="E299" s="116">
        <v>6.29</v>
      </c>
      <c r="F299" s="116">
        <v>6.14</v>
      </c>
      <c r="G299">
        <v>283998</v>
      </c>
      <c r="H299" s="116"/>
      <c r="I299" s="116"/>
      <c r="L299" s="170">
        <v>42439</v>
      </c>
      <c r="M299" s="116">
        <v>6.15</v>
      </c>
      <c r="N299" s="116">
        <v>6.35</v>
      </c>
      <c r="O299" s="116">
        <v>6.1</v>
      </c>
      <c r="P299" s="116">
        <v>6.3</v>
      </c>
      <c r="Q299" s="116">
        <v>6.15</v>
      </c>
      <c r="R299">
        <v>628354</v>
      </c>
    </row>
    <row r="300" spans="1:18" x14ac:dyDescent="0.25">
      <c r="A300" s="170">
        <v>42440</v>
      </c>
      <c r="B300" s="116">
        <v>6.34</v>
      </c>
      <c r="C300" s="116">
        <v>6.16</v>
      </c>
      <c r="D300" s="116">
        <v>6.11</v>
      </c>
      <c r="E300" s="116">
        <v>6.34</v>
      </c>
      <c r="F300" s="116">
        <v>6.16</v>
      </c>
      <c r="G300">
        <v>166933</v>
      </c>
      <c r="H300" s="116"/>
      <c r="I300" s="116"/>
      <c r="L300" s="170">
        <v>42440</v>
      </c>
      <c r="M300" s="116">
        <v>6.15</v>
      </c>
      <c r="N300" s="116">
        <v>6.35</v>
      </c>
      <c r="O300" s="116">
        <v>6.1</v>
      </c>
      <c r="P300" s="116">
        <v>6.2</v>
      </c>
      <c r="Q300" s="116">
        <v>6.15</v>
      </c>
      <c r="R300">
        <v>484764</v>
      </c>
    </row>
    <row r="301" spans="1:18" x14ac:dyDescent="0.25">
      <c r="A301" s="170">
        <v>42443</v>
      </c>
      <c r="B301" s="116">
        <v>6.25</v>
      </c>
      <c r="C301" s="116">
        <v>6.09</v>
      </c>
      <c r="D301" s="116">
        <v>6.04</v>
      </c>
      <c r="E301" s="116">
        <v>6.21</v>
      </c>
      <c r="F301" s="116">
        <v>6.09</v>
      </c>
      <c r="G301">
        <v>196778</v>
      </c>
      <c r="H301" s="116"/>
      <c r="I301" s="116"/>
      <c r="L301" s="170">
        <v>42443</v>
      </c>
      <c r="M301" s="116">
        <v>6.1</v>
      </c>
      <c r="N301" s="116">
        <v>6.3</v>
      </c>
      <c r="O301" s="116">
        <v>6.05</v>
      </c>
      <c r="P301" s="116">
        <v>6.2</v>
      </c>
      <c r="Q301" s="116">
        <v>6.1</v>
      </c>
      <c r="R301">
        <v>430050</v>
      </c>
    </row>
    <row r="302" spans="1:18" x14ac:dyDescent="0.25">
      <c r="A302" s="170">
        <v>42444</v>
      </c>
      <c r="B302" s="116">
        <v>6.18</v>
      </c>
      <c r="C302" s="116">
        <v>6.05</v>
      </c>
      <c r="D302" s="116">
        <v>5.93</v>
      </c>
      <c r="E302" s="116">
        <v>5.93</v>
      </c>
      <c r="F302" s="116">
        <v>6.05</v>
      </c>
      <c r="G302">
        <v>94338</v>
      </c>
      <c r="H302" s="116"/>
      <c r="I302" s="116"/>
      <c r="L302" s="170">
        <v>42444</v>
      </c>
      <c r="M302" s="116">
        <v>6.05</v>
      </c>
      <c r="N302" s="116">
        <v>6.2</v>
      </c>
      <c r="O302" s="116">
        <v>6</v>
      </c>
      <c r="P302" s="116">
        <v>6.1</v>
      </c>
      <c r="Q302" s="116">
        <v>6.05</v>
      </c>
      <c r="R302">
        <v>500984</v>
      </c>
    </row>
    <row r="303" spans="1:18" x14ac:dyDescent="0.25">
      <c r="A303" s="170">
        <v>42445</v>
      </c>
      <c r="B303" s="116">
        <v>6.13</v>
      </c>
      <c r="C303" s="116">
        <v>6.05</v>
      </c>
      <c r="D303" s="116">
        <v>6.01</v>
      </c>
      <c r="E303" s="116">
        <v>6.03</v>
      </c>
      <c r="F303" s="116">
        <v>6.05</v>
      </c>
      <c r="G303">
        <v>120188</v>
      </c>
      <c r="H303" s="116"/>
      <c r="I303" s="116"/>
      <c r="L303" s="170">
        <v>42445</v>
      </c>
      <c r="M303" s="116">
        <v>6.05</v>
      </c>
      <c r="N303" s="116">
        <v>6.15</v>
      </c>
      <c r="O303" s="116">
        <v>6</v>
      </c>
      <c r="P303" s="116">
        <v>6.05</v>
      </c>
      <c r="Q303" s="116">
        <v>6.05</v>
      </c>
      <c r="R303">
        <v>421032</v>
      </c>
    </row>
    <row r="304" spans="1:18" x14ac:dyDescent="0.25">
      <c r="A304" s="170">
        <v>42446</v>
      </c>
      <c r="B304" s="116">
        <v>6.17</v>
      </c>
      <c r="C304" s="116">
        <v>6.05</v>
      </c>
      <c r="D304" s="116">
        <v>6</v>
      </c>
      <c r="E304" s="116">
        <v>6.08</v>
      </c>
      <c r="F304" s="116">
        <v>6.05</v>
      </c>
      <c r="G304">
        <v>259041</v>
      </c>
      <c r="H304" s="116"/>
      <c r="I304" s="116"/>
      <c r="L304" s="170">
        <v>42446</v>
      </c>
      <c r="M304" s="116">
        <v>6.05</v>
      </c>
      <c r="N304" s="116">
        <v>6.2</v>
      </c>
      <c r="O304" s="116">
        <v>6</v>
      </c>
      <c r="P304" s="116">
        <v>6.05</v>
      </c>
      <c r="Q304" s="116">
        <v>6.05</v>
      </c>
      <c r="R304">
        <v>540733</v>
      </c>
    </row>
    <row r="305" spans="1:18" x14ac:dyDescent="0.25">
      <c r="A305" s="170">
        <v>42447</v>
      </c>
      <c r="B305" s="116">
        <v>6.15</v>
      </c>
      <c r="C305" s="116">
        <v>6.08</v>
      </c>
      <c r="D305" s="116">
        <v>6.01</v>
      </c>
      <c r="E305" s="116">
        <v>6.1</v>
      </c>
      <c r="F305" s="116">
        <v>6.08</v>
      </c>
      <c r="G305">
        <v>410157</v>
      </c>
      <c r="H305" s="116"/>
      <c r="I305" s="116"/>
      <c r="L305" s="170">
        <v>42447</v>
      </c>
      <c r="M305" s="116">
        <v>6.1</v>
      </c>
      <c r="N305" s="116">
        <v>6.15</v>
      </c>
      <c r="O305" s="116">
        <v>6</v>
      </c>
      <c r="P305" s="116">
        <v>6.15</v>
      </c>
      <c r="Q305" s="116">
        <v>6.1</v>
      </c>
      <c r="R305">
        <v>563978</v>
      </c>
    </row>
    <row r="306" spans="1:18" x14ac:dyDescent="0.25">
      <c r="A306" s="170">
        <v>42450</v>
      </c>
      <c r="B306" s="116">
        <v>6.79</v>
      </c>
      <c r="C306" s="116">
        <v>6.71</v>
      </c>
      <c r="D306" s="116">
        <v>6.01</v>
      </c>
      <c r="E306" s="116">
        <v>6.06</v>
      </c>
      <c r="F306" s="116">
        <v>6.71</v>
      </c>
      <c r="G306">
        <v>882161</v>
      </c>
      <c r="H306" s="116"/>
      <c r="I306" s="116"/>
      <c r="L306" s="170">
        <v>42450</v>
      </c>
      <c r="M306" s="116">
        <v>6.7</v>
      </c>
      <c r="N306" s="116">
        <v>6.8</v>
      </c>
      <c r="O306" s="116">
        <v>6</v>
      </c>
      <c r="P306" s="116">
        <v>6.05</v>
      </c>
      <c r="Q306" s="116">
        <v>6.7</v>
      </c>
      <c r="R306">
        <v>2258460</v>
      </c>
    </row>
    <row r="307" spans="1:18" x14ac:dyDescent="0.25">
      <c r="A307" s="170">
        <v>42451</v>
      </c>
      <c r="B307" s="116">
        <v>7.07</v>
      </c>
      <c r="C307" s="116">
        <v>6.69</v>
      </c>
      <c r="D307" s="116">
        <v>6.6</v>
      </c>
      <c r="E307" s="116">
        <v>6.7</v>
      </c>
      <c r="F307" s="116">
        <v>6.69</v>
      </c>
      <c r="G307">
        <v>1068345</v>
      </c>
      <c r="H307" s="116"/>
      <c r="I307" s="116"/>
      <c r="L307" s="170">
        <v>42451</v>
      </c>
      <c r="M307" s="116">
        <v>6.75</v>
      </c>
      <c r="N307" s="116">
        <v>7.1</v>
      </c>
      <c r="O307" s="116">
        <v>6.65</v>
      </c>
      <c r="P307" s="116">
        <v>6.7</v>
      </c>
      <c r="Q307" s="116">
        <v>6.75</v>
      </c>
      <c r="R307">
        <v>2983203</v>
      </c>
    </row>
    <row r="308" spans="1:18" x14ac:dyDescent="0.25">
      <c r="A308" s="170">
        <v>42452</v>
      </c>
      <c r="B308" s="116">
        <v>7.12</v>
      </c>
      <c r="C308" s="116">
        <v>6.96</v>
      </c>
      <c r="D308" s="116">
        <v>6.6</v>
      </c>
      <c r="E308" s="116">
        <v>6.68</v>
      </c>
      <c r="F308" s="116">
        <v>6.96</v>
      </c>
      <c r="G308">
        <v>463150</v>
      </c>
      <c r="H308" s="116"/>
      <c r="I308" s="116"/>
      <c r="L308" s="170">
        <v>42452</v>
      </c>
      <c r="M308" s="116">
        <v>6.95</v>
      </c>
      <c r="N308" s="116">
        <v>7.1</v>
      </c>
      <c r="O308" s="116">
        <v>6.6</v>
      </c>
      <c r="P308" s="116">
        <v>6.75</v>
      </c>
      <c r="Q308" s="116">
        <v>6.95</v>
      </c>
      <c r="R308">
        <v>1253712</v>
      </c>
    </row>
    <row r="309" spans="1:18" x14ac:dyDescent="0.25">
      <c r="A309" s="170">
        <v>42457</v>
      </c>
      <c r="B309" s="116">
        <v>7.15</v>
      </c>
      <c r="C309" s="116">
        <v>6.6</v>
      </c>
      <c r="D309" s="116">
        <v>6.55</v>
      </c>
      <c r="E309" s="116">
        <v>6.97</v>
      </c>
      <c r="F309" s="116">
        <v>6.6</v>
      </c>
      <c r="G309">
        <v>295708</v>
      </c>
      <c r="H309" s="116"/>
      <c r="I309" s="116"/>
      <c r="L309" s="170">
        <v>42457</v>
      </c>
      <c r="M309" s="116">
        <v>6.6</v>
      </c>
      <c r="N309" s="116">
        <v>7.2</v>
      </c>
      <c r="O309" s="116">
        <v>6.55</v>
      </c>
      <c r="P309" s="116">
        <v>6.9</v>
      </c>
      <c r="Q309" s="116">
        <v>6.6</v>
      </c>
      <c r="R309">
        <v>882684</v>
      </c>
    </row>
    <row r="310" spans="1:18" x14ac:dyDescent="0.25">
      <c r="A310" s="170">
        <v>42458</v>
      </c>
      <c r="B310" s="116">
        <v>6.89</v>
      </c>
      <c r="C310" s="116">
        <v>6.55</v>
      </c>
      <c r="D310" s="116">
        <v>6.45</v>
      </c>
      <c r="E310" s="116">
        <v>6.72</v>
      </c>
      <c r="F310" s="116">
        <v>6.55</v>
      </c>
      <c r="G310">
        <v>418283</v>
      </c>
      <c r="H310" s="116"/>
      <c r="I310" s="116"/>
      <c r="L310" s="170">
        <v>42458</v>
      </c>
      <c r="M310" s="116">
        <v>6.55</v>
      </c>
      <c r="N310" s="116">
        <v>6.9</v>
      </c>
      <c r="O310" s="116">
        <v>6.45</v>
      </c>
      <c r="P310" s="116">
        <v>6.6</v>
      </c>
      <c r="Q310" s="116">
        <v>6.55</v>
      </c>
      <c r="R310">
        <v>1063354</v>
      </c>
    </row>
    <row r="311" spans="1:18" x14ac:dyDescent="0.25">
      <c r="A311" s="170">
        <v>42459</v>
      </c>
      <c r="B311" s="116">
        <v>6.99</v>
      </c>
      <c r="C311" s="116">
        <v>6.74</v>
      </c>
      <c r="D311" s="116">
        <v>6.67</v>
      </c>
      <c r="E311" s="116">
        <v>6.69</v>
      </c>
      <c r="F311" s="116">
        <v>6.74</v>
      </c>
      <c r="G311">
        <v>325098</v>
      </c>
      <c r="H311" s="116"/>
      <c r="I311" s="116"/>
      <c r="L311" s="170">
        <v>42459</v>
      </c>
      <c r="M311" s="116">
        <v>6.7</v>
      </c>
      <c r="N311" s="116">
        <v>7</v>
      </c>
      <c r="O311" s="116">
        <v>6.6</v>
      </c>
      <c r="P311" s="116">
        <v>6.7</v>
      </c>
      <c r="Q311" s="116">
        <v>6.7</v>
      </c>
      <c r="R311">
        <v>998252</v>
      </c>
    </row>
    <row r="312" spans="1:18" x14ac:dyDescent="0.25">
      <c r="A312" s="170">
        <v>42460</v>
      </c>
      <c r="B312" s="116">
        <v>6.85</v>
      </c>
      <c r="C312" s="116">
        <v>6.63</v>
      </c>
      <c r="D312" s="116">
        <v>6.55</v>
      </c>
      <c r="E312" s="116">
        <v>6.81</v>
      </c>
      <c r="F312" s="116">
        <v>6.63</v>
      </c>
      <c r="G312">
        <v>219096</v>
      </c>
      <c r="H312" s="116"/>
      <c r="I312" s="116"/>
      <c r="L312" s="170">
        <v>42460</v>
      </c>
      <c r="M312" s="116">
        <v>6.6</v>
      </c>
      <c r="N312" s="116">
        <v>6.85</v>
      </c>
      <c r="O312" s="116">
        <v>6.55</v>
      </c>
      <c r="P312" s="116">
        <v>6.8</v>
      </c>
      <c r="Q312" s="116">
        <v>6.6</v>
      </c>
      <c r="R312">
        <v>1129073</v>
      </c>
    </row>
    <row r="313" spans="1:18" x14ac:dyDescent="0.25">
      <c r="A313" s="170">
        <v>42461</v>
      </c>
      <c r="B313" s="116">
        <v>6.84</v>
      </c>
      <c r="C313" s="116">
        <v>6.77</v>
      </c>
      <c r="D313" s="116">
        <v>6.66</v>
      </c>
      <c r="E313" s="116">
        <v>6.68</v>
      </c>
      <c r="F313" s="116">
        <v>6.77</v>
      </c>
      <c r="G313">
        <v>177127</v>
      </c>
      <c r="H313" s="116"/>
      <c r="I313" s="116"/>
      <c r="L313" s="170">
        <v>42461</v>
      </c>
      <c r="M313" s="116">
        <v>6.8</v>
      </c>
      <c r="N313" s="116">
        <v>6.85</v>
      </c>
      <c r="O313" s="116">
        <v>6.6</v>
      </c>
      <c r="P313" s="116">
        <v>6.75</v>
      </c>
      <c r="Q313" s="116">
        <v>6.8</v>
      </c>
      <c r="R313">
        <v>646419</v>
      </c>
    </row>
    <row r="314" spans="1:18" x14ac:dyDescent="0.25">
      <c r="A314" s="170">
        <v>42464</v>
      </c>
      <c r="B314" s="116">
        <v>6.99</v>
      </c>
      <c r="C314" s="116">
        <v>6.92</v>
      </c>
      <c r="D314" s="116">
        <v>6.8</v>
      </c>
      <c r="E314" s="116">
        <v>6.85</v>
      </c>
      <c r="F314" s="116">
        <v>6.92</v>
      </c>
      <c r="G314">
        <v>183607</v>
      </c>
      <c r="H314" s="116"/>
      <c r="I314" s="116"/>
      <c r="L314" s="170">
        <v>42464</v>
      </c>
      <c r="M314" s="116">
        <v>6.95</v>
      </c>
      <c r="N314" s="116">
        <v>7</v>
      </c>
      <c r="O314" s="116">
        <v>6.8</v>
      </c>
      <c r="P314" s="116">
        <v>6.85</v>
      </c>
      <c r="Q314" s="116">
        <v>6.95</v>
      </c>
      <c r="R314">
        <v>594908</v>
      </c>
    </row>
    <row r="315" spans="1:18" x14ac:dyDescent="0.25">
      <c r="A315" s="170">
        <v>42465</v>
      </c>
      <c r="B315" s="116">
        <v>7.05</v>
      </c>
      <c r="C315" s="116">
        <v>6.57</v>
      </c>
      <c r="D315" s="116">
        <v>6.48</v>
      </c>
      <c r="E315" s="116">
        <v>6.9</v>
      </c>
      <c r="F315" s="116">
        <v>6.57</v>
      </c>
      <c r="G315">
        <v>387355</v>
      </c>
      <c r="H315" s="116"/>
      <c r="I315" s="116"/>
      <c r="L315" s="170">
        <v>42465</v>
      </c>
      <c r="M315" s="116">
        <v>6.55</v>
      </c>
      <c r="N315" s="116">
        <v>6.95</v>
      </c>
      <c r="O315" s="116">
        <v>6.4</v>
      </c>
      <c r="P315" s="116">
        <v>6.95</v>
      </c>
      <c r="Q315" s="116">
        <v>6.55</v>
      </c>
      <c r="R315">
        <v>1470420</v>
      </c>
    </row>
    <row r="316" spans="1:18" x14ac:dyDescent="0.25">
      <c r="A316" s="170">
        <v>42466</v>
      </c>
      <c r="B316" s="116">
        <v>6.85</v>
      </c>
      <c r="C316" s="116">
        <v>6.7</v>
      </c>
      <c r="D316" s="116">
        <v>6.51</v>
      </c>
      <c r="E316" s="116">
        <v>6.58</v>
      </c>
      <c r="F316" s="116">
        <v>6.7</v>
      </c>
      <c r="G316">
        <v>279456</v>
      </c>
      <c r="H316" s="116"/>
      <c r="I316" s="116"/>
      <c r="L316" s="170">
        <v>42466</v>
      </c>
      <c r="M316" s="116">
        <v>6.7</v>
      </c>
      <c r="N316" s="116">
        <v>6.85</v>
      </c>
      <c r="O316" s="116">
        <v>6.45</v>
      </c>
      <c r="P316" s="116">
        <v>6.65</v>
      </c>
      <c r="Q316" s="116">
        <v>6.7</v>
      </c>
      <c r="R316">
        <v>742315</v>
      </c>
    </row>
    <row r="317" spans="1:18" x14ac:dyDescent="0.25">
      <c r="A317" s="170">
        <v>42467</v>
      </c>
      <c r="B317" s="116">
        <v>6.79</v>
      </c>
      <c r="C317" s="116">
        <v>6.6</v>
      </c>
      <c r="D317" s="116">
        <v>6.57</v>
      </c>
      <c r="E317" s="116">
        <v>6.79</v>
      </c>
      <c r="F317" s="116">
        <v>6.6</v>
      </c>
      <c r="G317">
        <v>94991</v>
      </c>
      <c r="H317" s="116"/>
      <c r="I317" s="116"/>
      <c r="L317" s="170">
        <v>42467</v>
      </c>
      <c r="M317" s="116">
        <v>6.6</v>
      </c>
      <c r="N317" s="116">
        <v>6.85</v>
      </c>
      <c r="O317" s="116">
        <v>6.55</v>
      </c>
      <c r="P317" s="116">
        <v>6.8</v>
      </c>
      <c r="Q317" s="116">
        <v>6.6</v>
      </c>
      <c r="R317">
        <v>467941</v>
      </c>
    </row>
    <row r="318" spans="1:18" x14ac:dyDescent="0.25">
      <c r="A318" s="170">
        <v>42468</v>
      </c>
      <c r="B318" s="116">
        <v>6.72</v>
      </c>
      <c r="C318" s="116">
        <v>6.66</v>
      </c>
      <c r="D318" s="116">
        <v>6.58</v>
      </c>
      <c r="E318" s="116">
        <v>6.72</v>
      </c>
      <c r="F318" s="116">
        <v>6.66</v>
      </c>
      <c r="G318">
        <v>157533</v>
      </c>
      <c r="H318" s="116"/>
      <c r="I318" s="116"/>
      <c r="L318" s="170">
        <v>42468</v>
      </c>
      <c r="M318" s="116">
        <v>6.65</v>
      </c>
      <c r="N318" s="116">
        <v>6.7</v>
      </c>
      <c r="O318" s="116">
        <v>6.55</v>
      </c>
      <c r="P318" s="116">
        <v>6.7</v>
      </c>
      <c r="Q318" s="116">
        <v>6.65</v>
      </c>
      <c r="R318">
        <v>278807</v>
      </c>
    </row>
    <row r="319" spans="1:18" x14ac:dyDescent="0.25">
      <c r="A319" s="170">
        <v>42471</v>
      </c>
      <c r="B319" s="116">
        <v>6.71</v>
      </c>
      <c r="C319" s="116">
        <v>6.68</v>
      </c>
      <c r="D319" s="116">
        <v>6.58</v>
      </c>
      <c r="E319" s="116">
        <v>6.66</v>
      </c>
      <c r="F319" s="116">
        <v>6.68</v>
      </c>
      <c r="G319">
        <v>166953</v>
      </c>
      <c r="H319" s="116"/>
      <c r="I319" s="116"/>
      <c r="L319" s="170">
        <v>42471</v>
      </c>
      <c r="M319" s="116">
        <v>6.65</v>
      </c>
      <c r="N319" s="116">
        <v>6.75</v>
      </c>
      <c r="O319" s="116">
        <v>6.55</v>
      </c>
      <c r="P319" s="116">
        <v>6.6</v>
      </c>
      <c r="Q319" s="116">
        <v>6.65</v>
      </c>
      <c r="R319">
        <v>492973</v>
      </c>
    </row>
    <row r="320" spans="1:18" x14ac:dyDescent="0.25">
      <c r="A320" s="170">
        <v>42472</v>
      </c>
      <c r="B320" s="116">
        <v>6.73</v>
      </c>
      <c r="C320" s="116">
        <v>6.62</v>
      </c>
      <c r="D320" s="116">
        <v>6.6</v>
      </c>
      <c r="E320" s="116">
        <v>6.7</v>
      </c>
      <c r="F320" s="116">
        <v>6.62</v>
      </c>
      <c r="G320">
        <v>157722</v>
      </c>
      <c r="H320" s="116"/>
      <c r="I320" s="116"/>
      <c r="L320" s="170">
        <v>42472</v>
      </c>
      <c r="M320" s="116">
        <v>6.65</v>
      </c>
      <c r="N320" s="116">
        <v>6.75</v>
      </c>
      <c r="O320" s="116">
        <v>6.6</v>
      </c>
      <c r="P320" s="116">
        <v>6.75</v>
      </c>
      <c r="Q320" s="116">
        <v>6.65</v>
      </c>
      <c r="R320">
        <v>478827</v>
      </c>
    </row>
    <row r="321" spans="1:18" x14ac:dyDescent="0.25">
      <c r="A321" s="170">
        <v>42473</v>
      </c>
      <c r="B321" s="116">
        <v>6.85</v>
      </c>
      <c r="C321" s="116">
        <v>6.62</v>
      </c>
      <c r="D321" s="116">
        <v>6.59</v>
      </c>
      <c r="E321" s="116">
        <v>6.7</v>
      </c>
      <c r="F321" s="116">
        <v>6.62</v>
      </c>
      <c r="G321">
        <v>285798</v>
      </c>
      <c r="H321" s="116"/>
      <c r="I321" s="116"/>
      <c r="L321" s="170">
        <v>42473</v>
      </c>
      <c r="M321" s="116">
        <v>6.65</v>
      </c>
      <c r="N321" s="116">
        <v>6.85</v>
      </c>
      <c r="O321" s="116">
        <v>6.6</v>
      </c>
      <c r="P321" s="116">
        <v>6.7</v>
      </c>
      <c r="Q321" s="116">
        <v>6.65</v>
      </c>
      <c r="R321">
        <v>1082119</v>
      </c>
    </row>
    <row r="322" spans="1:18" x14ac:dyDescent="0.25">
      <c r="A322" s="170">
        <v>42478</v>
      </c>
      <c r="B322" s="116">
        <v>6.76</v>
      </c>
      <c r="C322" s="116">
        <v>6.72</v>
      </c>
      <c r="D322" s="116">
        <v>6.6</v>
      </c>
      <c r="E322" s="116">
        <v>6.62</v>
      </c>
      <c r="F322" s="116">
        <v>6.72</v>
      </c>
      <c r="G322">
        <v>235238</v>
      </c>
      <c r="H322" s="116"/>
      <c r="I322" s="116"/>
      <c r="L322" s="170">
        <v>42478</v>
      </c>
      <c r="M322" s="116">
        <v>6.7</v>
      </c>
      <c r="N322" s="116">
        <v>6.75</v>
      </c>
      <c r="O322" s="116">
        <v>6.6</v>
      </c>
      <c r="P322" s="116">
        <v>6.65</v>
      </c>
      <c r="Q322" s="116">
        <v>6.7</v>
      </c>
      <c r="R322">
        <v>709595</v>
      </c>
    </row>
    <row r="323" spans="1:18" x14ac:dyDescent="0.25">
      <c r="A323" s="170">
        <v>42480</v>
      </c>
      <c r="B323" s="116">
        <v>6.84</v>
      </c>
      <c r="C323" s="116">
        <v>6.77</v>
      </c>
      <c r="D323" s="116">
        <v>6.7</v>
      </c>
      <c r="E323" s="116">
        <v>6.7</v>
      </c>
      <c r="F323" s="116">
        <v>6.77</v>
      </c>
      <c r="G323">
        <v>306440</v>
      </c>
      <c r="H323" s="116"/>
      <c r="I323" s="116"/>
      <c r="L323" s="170">
        <v>42480</v>
      </c>
      <c r="M323" s="116">
        <v>6.7</v>
      </c>
      <c r="N323" s="116">
        <v>6.85</v>
      </c>
      <c r="O323" s="116">
        <v>6.7</v>
      </c>
      <c r="P323" s="116">
        <v>6.7</v>
      </c>
      <c r="Q323" s="116">
        <v>6.7</v>
      </c>
      <c r="R323">
        <v>520342</v>
      </c>
    </row>
    <row r="324" spans="1:18" x14ac:dyDescent="0.25">
      <c r="A324" s="170">
        <v>42481</v>
      </c>
      <c r="B324" s="116">
        <v>6.81</v>
      </c>
      <c r="C324" s="116">
        <v>6.67</v>
      </c>
      <c r="D324" s="116">
        <v>6.59</v>
      </c>
      <c r="E324" s="116">
        <v>6.73</v>
      </c>
      <c r="F324" s="116">
        <v>6.67</v>
      </c>
      <c r="G324">
        <v>333904</v>
      </c>
      <c r="H324" s="116"/>
      <c r="I324" s="116"/>
      <c r="L324" s="170">
        <v>42481</v>
      </c>
      <c r="M324" s="116">
        <v>6.65</v>
      </c>
      <c r="N324" s="116">
        <v>6.8</v>
      </c>
      <c r="O324" s="116">
        <v>6.55</v>
      </c>
      <c r="P324" s="116">
        <v>6.7</v>
      </c>
      <c r="Q324" s="116">
        <v>6.65</v>
      </c>
      <c r="R324">
        <v>1161197</v>
      </c>
    </row>
    <row r="325" spans="1:18" x14ac:dyDescent="0.25">
      <c r="A325" s="170">
        <v>42482</v>
      </c>
      <c r="B325" s="116">
        <v>6.69</v>
      </c>
      <c r="C325" s="116">
        <v>6.61</v>
      </c>
      <c r="D325" s="116">
        <v>6.56</v>
      </c>
      <c r="E325" s="116">
        <v>6.69</v>
      </c>
      <c r="F325" s="116">
        <v>6.61</v>
      </c>
      <c r="G325">
        <v>114799</v>
      </c>
      <c r="H325" s="116"/>
      <c r="I325" s="116"/>
      <c r="L325" s="170">
        <v>42482</v>
      </c>
      <c r="M325" s="116">
        <v>6.6</v>
      </c>
      <c r="N325" s="116">
        <v>6.7</v>
      </c>
      <c r="O325" s="116">
        <v>6.55</v>
      </c>
      <c r="P325" s="116">
        <v>6.6</v>
      </c>
      <c r="Q325" s="116">
        <v>6.6</v>
      </c>
      <c r="R325">
        <v>537527</v>
      </c>
    </row>
    <row r="326" spans="1:18" x14ac:dyDescent="0.25">
      <c r="A326" s="170">
        <v>42485</v>
      </c>
      <c r="B326" s="116">
        <v>6.88</v>
      </c>
      <c r="C326" s="116">
        <v>6.59</v>
      </c>
      <c r="D326" s="116">
        <v>6.56</v>
      </c>
      <c r="E326" s="116">
        <v>6.88</v>
      </c>
      <c r="F326" s="116">
        <v>6.59</v>
      </c>
      <c r="G326">
        <v>139973</v>
      </c>
      <c r="H326" s="116"/>
      <c r="I326" s="116"/>
      <c r="L326" s="170">
        <v>42485</v>
      </c>
      <c r="M326" s="116">
        <v>6.55</v>
      </c>
      <c r="N326" s="116">
        <v>6.75</v>
      </c>
      <c r="O326" s="116">
        <v>6.55</v>
      </c>
      <c r="P326" s="116">
        <v>6.6</v>
      </c>
      <c r="Q326" s="116">
        <v>6.55</v>
      </c>
      <c r="R326">
        <v>489571</v>
      </c>
    </row>
    <row r="327" spans="1:18" x14ac:dyDescent="0.25">
      <c r="A327" s="170">
        <v>42486</v>
      </c>
      <c r="B327" s="116">
        <v>6.69</v>
      </c>
      <c r="C327" s="116">
        <v>6.63</v>
      </c>
      <c r="D327" s="116">
        <v>6.51</v>
      </c>
      <c r="E327" s="116">
        <v>6.55</v>
      </c>
      <c r="F327" s="116">
        <v>6.63</v>
      </c>
      <c r="G327">
        <v>146393</v>
      </c>
      <c r="H327" s="116"/>
      <c r="I327" s="116"/>
      <c r="L327" s="170">
        <v>42486</v>
      </c>
      <c r="M327" s="116">
        <v>6.6</v>
      </c>
      <c r="N327" s="116">
        <v>6.7</v>
      </c>
      <c r="O327" s="116">
        <v>6.5</v>
      </c>
      <c r="P327" s="116">
        <v>6.55</v>
      </c>
      <c r="Q327" s="116">
        <v>6.6</v>
      </c>
      <c r="R327">
        <v>571435</v>
      </c>
    </row>
    <row r="328" spans="1:18" x14ac:dyDescent="0.25">
      <c r="A328" s="170">
        <v>42487</v>
      </c>
      <c r="B328" s="116">
        <v>7.56</v>
      </c>
      <c r="C328" s="116">
        <v>7.26</v>
      </c>
      <c r="D328" s="116">
        <v>6.53</v>
      </c>
      <c r="E328" s="116">
        <v>6.63</v>
      </c>
      <c r="F328" s="116">
        <v>7.26</v>
      </c>
      <c r="G328">
        <v>1327448</v>
      </c>
      <c r="H328" s="116"/>
      <c r="I328" s="116"/>
      <c r="L328" s="170">
        <v>42487</v>
      </c>
      <c r="M328" s="116">
        <v>7.25</v>
      </c>
      <c r="N328" s="116">
        <v>7.6</v>
      </c>
      <c r="O328" s="116">
        <v>6.55</v>
      </c>
      <c r="P328" s="116">
        <v>6.6</v>
      </c>
      <c r="Q328" s="116">
        <v>7.25</v>
      </c>
      <c r="R328">
        <v>6602147</v>
      </c>
    </row>
    <row r="329" spans="1:18" x14ac:dyDescent="0.25">
      <c r="A329" s="170">
        <v>42488</v>
      </c>
      <c r="B329" s="116">
        <v>7.36</v>
      </c>
      <c r="C329" s="116">
        <v>6.91</v>
      </c>
      <c r="D329" s="116">
        <v>6.8</v>
      </c>
      <c r="E329" s="116">
        <v>7.21</v>
      </c>
      <c r="F329" s="116">
        <v>6.91</v>
      </c>
      <c r="G329">
        <v>671627</v>
      </c>
      <c r="H329" s="116"/>
      <c r="I329" s="116"/>
      <c r="L329" s="170">
        <v>42488</v>
      </c>
      <c r="M329" s="116">
        <v>6.85</v>
      </c>
      <c r="N329" s="116">
        <v>7.35</v>
      </c>
      <c r="O329" s="116">
        <v>6.75</v>
      </c>
      <c r="P329" s="116">
        <v>7.2</v>
      </c>
      <c r="Q329" s="116">
        <v>6.85</v>
      </c>
      <c r="R329">
        <v>2960614</v>
      </c>
    </row>
    <row r="330" spans="1:18" x14ac:dyDescent="0.25">
      <c r="A330" s="170">
        <v>42489</v>
      </c>
      <c r="B330" s="116">
        <v>7</v>
      </c>
      <c r="C330" s="116">
        <v>6.83</v>
      </c>
      <c r="D330" s="116">
        <v>6.75</v>
      </c>
      <c r="E330" s="116">
        <v>6.99</v>
      </c>
      <c r="F330" s="116">
        <v>6.83</v>
      </c>
      <c r="G330">
        <v>289859</v>
      </c>
      <c r="H330" s="116"/>
      <c r="I330" s="116"/>
      <c r="L330" s="170">
        <v>42489</v>
      </c>
      <c r="M330" s="116">
        <v>6.8</v>
      </c>
      <c r="N330" s="116">
        <v>7</v>
      </c>
      <c r="O330" s="116">
        <v>6.75</v>
      </c>
      <c r="P330" s="116">
        <v>6.75</v>
      </c>
      <c r="Q330" s="116">
        <v>6.8</v>
      </c>
      <c r="R330">
        <v>1186877</v>
      </c>
    </row>
    <row r="331" spans="1:18" x14ac:dyDescent="0.25">
      <c r="A331" s="170">
        <v>42492</v>
      </c>
      <c r="B331" s="116">
        <v>6.95</v>
      </c>
      <c r="C331" s="116">
        <v>6.8</v>
      </c>
      <c r="D331" s="116">
        <v>6.79</v>
      </c>
      <c r="E331" s="116">
        <v>6.83</v>
      </c>
      <c r="F331" s="116">
        <v>6.8</v>
      </c>
      <c r="G331">
        <v>93296</v>
      </c>
      <c r="H331" s="116"/>
      <c r="I331" s="116"/>
      <c r="L331" s="170">
        <v>42492</v>
      </c>
      <c r="M331" s="116">
        <v>6.8</v>
      </c>
      <c r="N331" s="116">
        <v>6.95</v>
      </c>
      <c r="O331" s="116">
        <v>6.75</v>
      </c>
      <c r="P331" s="116">
        <v>6.8</v>
      </c>
      <c r="Q331" s="116">
        <v>6.8</v>
      </c>
      <c r="R331">
        <v>382016</v>
      </c>
    </row>
    <row r="332" spans="1:18" x14ac:dyDescent="0.25">
      <c r="A332" s="170">
        <v>42493</v>
      </c>
      <c r="B332" s="116">
        <v>6.99</v>
      </c>
      <c r="C332" s="116">
        <v>6.68</v>
      </c>
      <c r="D332" s="116">
        <v>6.66</v>
      </c>
      <c r="E332" s="116">
        <v>6.99</v>
      </c>
      <c r="F332" s="116">
        <v>6.68</v>
      </c>
      <c r="G332">
        <v>255093</v>
      </c>
      <c r="H332" s="116"/>
      <c r="I332" s="116"/>
      <c r="L332" s="170">
        <v>42493</v>
      </c>
      <c r="M332" s="116">
        <v>6.65</v>
      </c>
      <c r="N332" s="116">
        <v>6.9</v>
      </c>
      <c r="O332" s="116">
        <v>6.65</v>
      </c>
      <c r="P332" s="116">
        <v>6.8</v>
      </c>
      <c r="Q332" s="116">
        <v>6.65</v>
      </c>
      <c r="R332">
        <v>983391</v>
      </c>
    </row>
    <row r="333" spans="1:18" x14ac:dyDescent="0.25">
      <c r="A333" s="170">
        <v>42494</v>
      </c>
      <c r="B333" s="116">
        <v>6.88</v>
      </c>
      <c r="C333" s="116">
        <v>6.63</v>
      </c>
      <c r="D333" s="116">
        <v>6.58</v>
      </c>
      <c r="E333" s="116">
        <v>6.88</v>
      </c>
      <c r="F333" s="116">
        <v>6.63</v>
      </c>
      <c r="G333">
        <v>102965</v>
      </c>
      <c r="H333" s="116"/>
      <c r="I333" s="116"/>
      <c r="L333" s="170">
        <v>42494</v>
      </c>
      <c r="M333" s="116">
        <v>6.6</v>
      </c>
      <c r="N333" s="116">
        <v>6.85</v>
      </c>
      <c r="O333" s="116">
        <v>6.6</v>
      </c>
      <c r="P333" s="116">
        <v>6.6</v>
      </c>
      <c r="Q333" s="116">
        <v>6.6</v>
      </c>
      <c r="R333">
        <v>681746</v>
      </c>
    </row>
    <row r="334" spans="1:18" x14ac:dyDescent="0.25">
      <c r="A334" s="170">
        <v>42495</v>
      </c>
      <c r="B334" s="116">
        <v>7.35</v>
      </c>
      <c r="C334" s="116">
        <v>6.81</v>
      </c>
      <c r="D334" s="116">
        <v>6.6</v>
      </c>
      <c r="E334" s="116">
        <v>6.63</v>
      </c>
      <c r="F334" s="116">
        <v>6.81</v>
      </c>
      <c r="G334">
        <v>679611</v>
      </c>
      <c r="H334" s="116"/>
      <c r="I334" s="116"/>
      <c r="L334" s="170">
        <v>42495</v>
      </c>
      <c r="M334" s="116">
        <v>6.85</v>
      </c>
      <c r="N334" s="116">
        <v>7.45</v>
      </c>
      <c r="O334" s="116">
        <v>6.6</v>
      </c>
      <c r="P334" s="116">
        <v>6.65</v>
      </c>
      <c r="Q334" s="116">
        <v>6.85</v>
      </c>
      <c r="R334">
        <v>4180316</v>
      </c>
    </row>
    <row r="335" spans="1:18" x14ac:dyDescent="0.25">
      <c r="A335" s="170">
        <v>42496</v>
      </c>
      <c r="B335" s="116">
        <v>6.95</v>
      </c>
      <c r="C335" s="116">
        <v>6.79</v>
      </c>
      <c r="D335" s="116">
        <v>6.75</v>
      </c>
      <c r="E335" s="116">
        <v>6.95</v>
      </c>
      <c r="F335" s="116">
        <v>6.79</v>
      </c>
      <c r="G335">
        <v>197470</v>
      </c>
      <c r="H335" s="116"/>
      <c r="I335" s="116"/>
      <c r="L335" s="170">
        <v>42496</v>
      </c>
      <c r="M335" s="116">
        <v>6.8</v>
      </c>
      <c r="N335" s="116">
        <v>6.95</v>
      </c>
      <c r="O335" s="116">
        <v>6.75</v>
      </c>
      <c r="P335" s="116">
        <v>6.85</v>
      </c>
      <c r="Q335" s="116">
        <v>6.8</v>
      </c>
      <c r="R335">
        <v>569232</v>
      </c>
    </row>
    <row r="336" spans="1:18" x14ac:dyDescent="0.25">
      <c r="A336" s="170">
        <v>42499</v>
      </c>
      <c r="B336" s="116">
        <v>6.91</v>
      </c>
      <c r="C336" s="116">
        <v>6.76</v>
      </c>
      <c r="D336" s="116">
        <v>6.66</v>
      </c>
      <c r="E336" s="116">
        <v>6.85</v>
      </c>
      <c r="F336" s="116">
        <v>6.76</v>
      </c>
      <c r="G336">
        <v>146927</v>
      </c>
      <c r="H336" s="116"/>
      <c r="I336" s="116"/>
      <c r="L336" s="170">
        <v>42499</v>
      </c>
      <c r="M336" s="116">
        <v>6.75</v>
      </c>
      <c r="N336" s="116">
        <v>6.9</v>
      </c>
      <c r="O336" s="116">
        <v>6.6</v>
      </c>
      <c r="P336" s="116">
        <v>6.8</v>
      </c>
      <c r="Q336" s="116">
        <v>6.75</v>
      </c>
      <c r="R336">
        <v>631832</v>
      </c>
    </row>
    <row r="337" spans="1:18" x14ac:dyDescent="0.25">
      <c r="A337" s="170">
        <v>42500</v>
      </c>
      <c r="B337" s="116">
        <v>6.75</v>
      </c>
      <c r="C337" s="116">
        <v>6.71</v>
      </c>
      <c r="D337" s="116">
        <v>6.65</v>
      </c>
      <c r="E337" s="116">
        <v>6.74</v>
      </c>
      <c r="F337" s="116">
        <v>6.71</v>
      </c>
      <c r="G337">
        <v>155520</v>
      </c>
      <c r="H337" s="116"/>
      <c r="I337" s="116"/>
      <c r="L337" s="170">
        <v>42500</v>
      </c>
      <c r="M337" s="116">
        <v>6.7</v>
      </c>
      <c r="N337" s="116">
        <v>6.8</v>
      </c>
      <c r="O337" s="116">
        <v>6.65</v>
      </c>
      <c r="P337" s="116">
        <v>6.75</v>
      </c>
      <c r="Q337" s="116">
        <v>6.7</v>
      </c>
      <c r="R337">
        <v>386819</v>
      </c>
    </row>
    <row r="338" spans="1:18" x14ac:dyDescent="0.25">
      <c r="A338" s="170">
        <v>42501</v>
      </c>
      <c r="B338" s="116">
        <v>6.95</v>
      </c>
      <c r="C338" s="116">
        <v>6.71</v>
      </c>
      <c r="D338" s="116">
        <v>6.61</v>
      </c>
      <c r="E338" s="116">
        <v>6.71</v>
      </c>
      <c r="F338" s="116">
        <v>6.71</v>
      </c>
      <c r="G338">
        <v>295387</v>
      </c>
      <c r="H338" s="116"/>
      <c r="I338" s="116"/>
      <c r="L338" s="170">
        <v>42501</v>
      </c>
      <c r="M338" s="116">
        <v>6.7</v>
      </c>
      <c r="N338" s="116">
        <v>6.95</v>
      </c>
      <c r="O338" s="116">
        <v>6.6</v>
      </c>
      <c r="P338" s="116">
        <v>6.6</v>
      </c>
      <c r="Q338" s="116">
        <v>6.7</v>
      </c>
      <c r="R338">
        <v>737223</v>
      </c>
    </row>
    <row r="339" spans="1:18" x14ac:dyDescent="0.25">
      <c r="A339" s="170">
        <v>42502</v>
      </c>
      <c r="B339" s="116">
        <v>6.9</v>
      </c>
      <c r="C339" s="116">
        <v>6.71</v>
      </c>
      <c r="D339" s="116">
        <v>6.65</v>
      </c>
      <c r="E339" s="116">
        <v>6.72</v>
      </c>
      <c r="F339" s="116">
        <v>6.71</v>
      </c>
      <c r="G339">
        <v>143337</v>
      </c>
      <c r="H339" s="116"/>
      <c r="I339" s="116"/>
      <c r="L339" s="170">
        <v>42502</v>
      </c>
      <c r="M339" s="116">
        <v>6.7</v>
      </c>
      <c r="N339" s="116">
        <v>6.9</v>
      </c>
      <c r="O339" s="116">
        <v>6.65</v>
      </c>
      <c r="P339" s="116">
        <v>6.65</v>
      </c>
      <c r="Q339" s="116">
        <v>6.7</v>
      </c>
      <c r="R339">
        <v>490436</v>
      </c>
    </row>
    <row r="340" spans="1:18" x14ac:dyDescent="0.25">
      <c r="A340" s="170">
        <v>42503</v>
      </c>
      <c r="B340" s="116">
        <v>6.79</v>
      </c>
      <c r="C340" s="116">
        <v>6.6</v>
      </c>
      <c r="D340" s="116">
        <v>6.55</v>
      </c>
      <c r="E340" s="116">
        <v>6.66</v>
      </c>
      <c r="F340" s="116">
        <v>6.6</v>
      </c>
      <c r="G340">
        <v>250623</v>
      </c>
      <c r="H340" s="116"/>
      <c r="I340" s="116"/>
      <c r="L340" s="170">
        <v>42503</v>
      </c>
      <c r="M340" s="116">
        <v>6.55</v>
      </c>
      <c r="N340" s="116">
        <v>6.75</v>
      </c>
      <c r="O340" s="116">
        <v>6.55</v>
      </c>
      <c r="P340" s="116">
        <v>6.65</v>
      </c>
      <c r="Q340" s="116">
        <v>6.55</v>
      </c>
      <c r="R340">
        <v>883338</v>
      </c>
    </row>
    <row r="341" spans="1:18" x14ac:dyDescent="0.25">
      <c r="A341" s="170">
        <v>42506</v>
      </c>
      <c r="B341" s="116">
        <v>6.73</v>
      </c>
      <c r="C341" s="116">
        <v>6.64</v>
      </c>
      <c r="D341" s="116">
        <v>6.47</v>
      </c>
      <c r="E341" s="116">
        <v>6.56</v>
      </c>
      <c r="F341" s="116">
        <v>6.64</v>
      </c>
      <c r="G341">
        <v>289371</v>
      </c>
      <c r="H341" s="116"/>
      <c r="I341" s="116"/>
      <c r="L341" s="170">
        <v>42506</v>
      </c>
      <c r="M341" s="116">
        <v>6.65</v>
      </c>
      <c r="N341" s="116">
        <v>6.75</v>
      </c>
      <c r="O341" s="116">
        <v>6.45</v>
      </c>
      <c r="P341" s="116">
        <v>6.6</v>
      </c>
      <c r="Q341" s="116">
        <v>6.65</v>
      </c>
      <c r="R341">
        <v>838628</v>
      </c>
    </row>
    <row r="342" spans="1:18" x14ac:dyDescent="0.25">
      <c r="A342" s="170">
        <v>42507</v>
      </c>
      <c r="B342" s="116">
        <v>6.8</v>
      </c>
      <c r="C342" s="116">
        <v>6.66</v>
      </c>
      <c r="D342" s="116">
        <v>6.52</v>
      </c>
      <c r="E342" s="116">
        <v>6.8</v>
      </c>
      <c r="F342" s="116">
        <v>6.66</v>
      </c>
      <c r="G342">
        <v>173466</v>
      </c>
      <c r="H342" s="116"/>
      <c r="I342" s="116"/>
      <c r="L342" s="170">
        <v>42507</v>
      </c>
      <c r="M342" s="116">
        <v>6.65</v>
      </c>
      <c r="N342" s="116">
        <v>6.85</v>
      </c>
      <c r="O342" s="116">
        <v>6.45</v>
      </c>
      <c r="P342" s="116">
        <v>6.8</v>
      </c>
      <c r="Q342" s="116">
        <v>6.65</v>
      </c>
      <c r="R342">
        <v>1491835</v>
      </c>
    </row>
    <row r="343" spans="1:18" x14ac:dyDescent="0.25">
      <c r="A343" s="170">
        <v>42508</v>
      </c>
      <c r="B343" s="116">
        <v>6.83</v>
      </c>
      <c r="C343" s="116">
        <v>6.65</v>
      </c>
      <c r="D343" s="116">
        <v>6.6</v>
      </c>
      <c r="E343" s="116">
        <v>6.7</v>
      </c>
      <c r="F343" s="116">
        <v>6.65</v>
      </c>
      <c r="G343">
        <v>247773</v>
      </c>
      <c r="H343" s="116"/>
      <c r="I343" s="116"/>
      <c r="L343" s="170">
        <v>42508</v>
      </c>
      <c r="M343" s="116">
        <v>6.65</v>
      </c>
      <c r="N343" s="116">
        <v>6.8</v>
      </c>
      <c r="O343" s="116">
        <v>6.6</v>
      </c>
      <c r="P343" s="116">
        <v>6.7</v>
      </c>
      <c r="Q343" s="116">
        <v>6.65</v>
      </c>
      <c r="R343">
        <v>806489</v>
      </c>
    </row>
    <row r="344" spans="1:18" x14ac:dyDescent="0.25">
      <c r="A344" s="170">
        <v>42509</v>
      </c>
      <c r="B344" s="116">
        <v>6.73</v>
      </c>
      <c r="C344" s="116">
        <v>6.59</v>
      </c>
      <c r="D344" s="116">
        <v>6.55</v>
      </c>
      <c r="E344" s="116">
        <v>6.62</v>
      </c>
      <c r="F344" s="116">
        <v>6.59</v>
      </c>
      <c r="G344">
        <v>155841</v>
      </c>
      <c r="H344" s="116"/>
      <c r="I344" s="116"/>
      <c r="L344" s="170">
        <v>42509</v>
      </c>
      <c r="M344" s="116">
        <v>6.6</v>
      </c>
      <c r="N344" s="116">
        <v>6.75</v>
      </c>
      <c r="O344" s="116">
        <v>6.55</v>
      </c>
      <c r="P344" s="116">
        <v>6.75</v>
      </c>
      <c r="Q344" s="116">
        <v>6.6</v>
      </c>
      <c r="R344">
        <v>682217</v>
      </c>
    </row>
    <row r="345" spans="1:18" x14ac:dyDescent="0.25">
      <c r="A345" s="170">
        <v>42510</v>
      </c>
      <c r="B345" s="116">
        <v>6.75</v>
      </c>
      <c r="C345" s="116">
        <v>6.5</v>
      </c>
      <c r="D345" s="116">
        <v>6.46</v>
      </c>
      <c r="E345" s="116">
        <v>6.75</v>
      </c>
      <c r="F345" s="116">
        <v>6.5</v>
      </c>
      <c r="G345">
        <v>134393</v>
      </c>
      <c r="H345" s="116"/>
      <c r="I345" s="116"/>
      <c r="L345" s="170">
        <v>42510</v>
      </c>
      <c r="M345" s="116">
        <v>6.5</v>
      </c>
      <c r="N345" s="116">
        <v>6.7</v>
      </c>
      <c r="O345" s="116">
        <v>6.5</v>
      </c>
      <c r="P345" s="116">
        <v>6.7</v>
      </c>
      <c r="Q345" s="116">
        <v>6.5</v>
      </c>
      <c r="R345">
        <v>571910</v>
      </c>
    </row>
    <row r="346" spans="1:18" x14ac:dyDescent="0.25">
      <c r="A346" s="170">
        <v>42513</v>
      </c>
      <c r="B346" s="116">
        <v>6.66</v>
      </c>
      <c r="C346" s="116">
        <v>6.46</v>
      </c>
      <c r="D346" s="116">
        <v>6.41</v>
      </c>
      <c r="E346" s="116">
        <v>6.65</v>
      </c>
      <c r="F346" s="116">
        <v>6.46</v>
      </c>
      <c r="G346">
        <v>187976</v>
      </c>
      <c r="H346" s="116"/>
      <c r="I346" s="116"/>
      <c r="L346" s="170">
        <v>42513</v>
      </c>
      <c r="M346" s="116">
        <v>6.45</v>
      </c>
      <c r="N346" s="116">
        <v>6.65</v>
      </c>
      <c r="O346" s="116">
        <v>6.4</v>
      </c>
      <c r="P346" s="116">
        <v>6.55</v>
      </c>
      <c r="Q346" s="116">
        <v>6.45</v>
      </c>
      <c r="R346">
        <v>425159</v>
      </c>
    </row>
    <row r="347" spans="1:18" x14ac:dyDescent="0.25">
      <c r="A347" s="170">
        <v>42514</v>
      </c>
      <c r="B347" s="116">
        <v>6.49</v>
      </c>
      <c r="C347" s="116">
        <v>6.29</v>
      </c>
      <c r="D347" s="116">
        <v>6.26</v>
      </c>
      <c r="E347" s="116">
        <v>6.46</v>
      </c>
      <c r="F347" s="116">
        <v>6.29</v>
      </c>
      <c r="G347">
        <v>306482</v>
      </c>
      <c r="H347" s="116"/>
      <c r="I347" s="116"/>
      <c r="L347" s="170">
        <v>42514</v>
      </c>
      <c r="M347" s="116">
        <v>6.25</v>
      </c>
      <c r="N347" s="116">
        <v>6.5</v>
      </c>
      <c r="O347" s="116">
        <v>6.25</v>
      </c>
      <c r="P347" s="116">
        <v>6.4</v>
      </c>
      <c r="Q347" s="116">
        <v>6.25</v>
      </c>
      <c r="R347">
        <v>1074991</v>
      </c>
    </row>
    <row r="348" spans="1:18" x14ac:dyDescent="0.25">
      <c r="A348" s="170">
        <v>42515</v>
      </c>
      <c r="B348" s="116">
        <v>6.65</v>
      </c>
      <c r="C348" s="116">
        <v>6.46</v>
      </c>
      <c r="D348" s="116">
        <v>6.29</v>
      </c>
      <c r="E348" s="116">
        <v>6.29</v>
      </c>
      <c r="F348" s="116">
        <v>6.46</v>
      </c>
      <c r="G348">
        <v>200188</v>
      </c>
      <c r="H348" s="116"/>
      <c r="I348" s="116"/>
      <c r="L348" s="170">
        <v>42515</v>
      </c>
      <c r="M348" s="116">
        <v>6.5</v>
      </c>
      <c r="N348" s="116">
        <v>6.55</v>
      </c>
      <c r="O348" s="116">
        <v>6.25</v>
      </c>
      <c r="P348" s="116">
        <v>6.35</v>
      </c>
      <c r="Q348" s="116">
        <v>6.5</v>
      </c>
      <c r="R348">
        <v>587278</v>
      </c>
    </row>
    <row r="349" spans="1:18" x14ac:dyDescent="0.25">
      <c r="A349" s="170">
        <v>42516</v>
      </c>
      <c r="B349" s="116">
        <v>6.68</v>
      </c>
      <c r="C349" s="116">
        <v>6.46</v>
      </c>
      <c r="D349" s="116">
        <v>6.42</v>
      </c>
      <c r="E349" s="116">
        <v>6.68</v>
      </c>
      <c r="F349" s="116">
        <v>6.46</v>
      </c>
      <c r="G349">
        <v>286017</v>
      </c>
      <c r="H349" s="116"/>
      <c r="I349" s="116"/>
      <c r="L349" s="170">
        <v>42516</v>
      </c>
      <c r="M349" s="116">
        <v>6.5</v>
      </c>
      <c r="N349" s="116">
        <v>6.6</v>
      </c>
      <c r="O349" s="116">
        <v>6.4</v>
      </c>
      <c r="P349" s="116">
        <v>6.5</v>
      </c>
      <c r="Q349" s="116">
        <v>6.5</v>
      </c>
      <c r="R349">
        <v>567244</v>
      </c>
    </row>
    <row r="350" spans="1:18" x14ac:dyDescent="0.25">
      <c r="A350" s="170">
        <v>42517</v>
      </c>
      <c r="B350" s="116">
        <v>6.59</v>
      </c>
      <c r="C350" s="116">
        <v>6.5</v>
      </c>
      <c r="D350" s="116">
        <v>6.45</v>
      </c>
      <c r="E350" s="116">
        <v>6.53</v>
      </c>
      <c r="F350" s="116">
        <v>6.5</v>
      </c>
      <c r="G350">
        <v>205991</v>
      </c>
      <c r="H350" s="116"/>
      <c r="I350" s="116"/>
      <c r="L350" s="170">
        <v>42517</v>
      </c>
      <c r="M350" s="116">
        <v>6.5</v>
      </c>
      <c r="N350" s="116">
        <v>6.6</v>
      </c>
      <c r="O350" s="116">
        <v>6.4</v>
      </c>
      <c r="P350" s="116">
        <v>6.45</v>
      </c>
      <c r="Q350" s="116">
        <v>6.5</v>
      </c>
      <c r="R350">
        <v>737389</v>
      </c>
    </row>
    <row r="351" spans="1:18" x14ac:dyDescent="0.25">
      <c r="A351" s="170">
        <v>42520</v>
      </c>
      <c r="B351" s="116">
        <v>6.72</v>
      </c>
      <c r="C351" s="116">
        <v>6.52</v>
      </c>
      <c r="D351" s="116">
        <v>6.44</v>
      </c>
      <c r="E351" s="116">
        <v>6.5</v>
      </c>
      <c r="F351" s="116">
        <v>6.52</v>
      </c>
      <c r="G351">
        <v>194537</v>
      </c>
      <c r="H351" s="116"/>
      <c r="I351" s="116"/>
      <c r="L351" s="170">
        <v>42520</v>
      </c>
      <c r="M351" s="116">
        <v>6.5</v>
      </c>
      <c r="N351" s="116">
        <v>6.7</v>
      </c>
      <c r="O351" s="116">
        <v>6.45</v>
      </c>
      <c r="P351" s="116">
        <v>6.45</v>
      </c>
      <c r="Q351" s="116">
        <v>6.5</v>
      </c>
      <c r="R351">
        <v>1092465</v>
      </c>
    </row>
    <row r="352" spans="1:18" x14ac:dyDescent="0.25">
      <c r="A352" s="170">
        <v>42521</v>
      </c>
      <c r="B352" s="116">
        <v>6.6</v>
      </c>
      <c r="C352" s="116">
        <v>6.41</v>
      </c>
      <c r="D352" s="116">
        <v>6.39</v>
      </c>
      <c r="E352" s="116">
        <v>6.47</v>
      </c>
      <c r="F352" s="116">
        <v>6.41</v>
      </c>
      <c r="G352">
        <v>212729</v>
      </c>
      <c r="H352" s="116"/>
      <c r="I352" s="116"/>
      <c r="L352" s="170">
        <v>42521</v>
      </c>
      <c r="M352" s="116">
        <v>6.45</v>
      </c>
      <c r="N352" s="116">
        <v>6.65</v>
      </c>
      <c r="O352" s="116">
        <v>6.4</v>
      </c>
      <c r="P352" s="116">
        <v>6.5</v>
      </c>
      <c r="Q352" s="116">
        <v>6.45</v>
      </c>
      <c r="R352">
        <v>533136</v>
      </c>
    </row>
    <row r="353" spans="1:18" x14ac:dyDescent="0.25">
      <c r="A353" s="170">
        <v>42522</v>
      </c>
      <c r="B353" s="116">
        <v>6.65</v>
      </c>
      <c r="C353" s="116">
        <v>6.43</v>
      </c>
      <c r="D353" s="116">
        <v>6.36</v>
      </c>
      <c r="E353" s="116">
        <v>6.5</v>
      </c>
      <c r="F353" s="116">
        <v>6.43</v>
      </c>
      <c r="G353">
        <v>334347</v>
      </c>
      <c r="H353" s="116"/>
      <c r="I353" s="116"/>
      <c r="L353" s="170">
        <v>42522</v>
      </c>
      <c r="M353" s="116">
        <v>6.4</v>
      </c>
      <c r="N353" s="116">
        <v>6.65</v>
      </c>
      <c r="O353" s="116">
        <v>6.4</v>
      </c>
      <c r="P353" s="116">
        <v>6.55</v>
      </c>
      <c r="Q353" s="116">
        <v>6.4</v>
      </c>
      <c r="R353">
        <v>896151</v>
      </c>
    </row>
    <row r="354" spans="1:18" x14ac:dyDescent="0.25">
      <c r="A354" s="170">
        <v>42523</v>
      </c>
      <c r="B354" s="116">
        <v>6.49</v>
      </c>
      <c r="C354" s="116">
        <v>6.39</v>
      </c>
      <c r="D354" s="116">
        <v>6.36</v>
      </c>
      <c r="E354" s="116">
        <v>6.48</v>
      </c>
      <c r="F354" s="116">
        <v>6.39</v>
      </c>
      <c r="G354">
        <v>187741</v>
      </c>
      <c r="H354" s="116"/>
      <c r="I354" s="116"/>
      <c r="L354" s="170">
        <v>42523</v>
      </c>
      <c r="M354" s="116">
        <v>6.35</v>
      </c>
      <c r="N354" s="116">
        <v>6.5</v>
      </c>
      <c r="O354" s="116">
        <v>6.35</v>
      </c>
      <c r="P354" s="116">
        <v>6.4</v>
      </c>
      <c r="Q354" s="116">
        <v>6.35</v>
      </c>
      <c r="R354">
        <v>394336</v>
      </c>
    </row>
    <row r="355" spans="1:18" x14ac:dyDescent="0.25">
      <c r="A355" s="170">
        <v>42524</v>
      </c>
      <c r="B355" s="116">
        <v>6.47</v>
      </c>
      <c r="C355" s="116">
        <v>6.35</v>
      </c>
      <c r="D355" s="116">
        <v>6.31</v>
      </c>
      <c r="E355" s="116">
        <v>6.31</v>
      </c>
      <c r="F355" s="116">
        <v>6.35</v>
      </c>
      <c r="G355">
        <v>161010</v>
      </c>
      <c r="H355" s="116"/>
      <c r="I355" s="116"/>
      <c r="L355" s="170">
        <v>42524</v>
      </c>
      <c r="M355" s="116">
        <v>6.35</v>
      </c>
      <c r="N355" s="116">
        <v>6.45</v>
      </c>
      <c r="O355" s="116">
        <v>6.3</v>
      </c>
      <c r="P355" s="116">
        <v>6.45</v>
      </c>
      <c r="Q355" s="116">
        <v>6.35</v>
      </c>
      <c r="R355">
        <v>651306</v>
      </c>
    </row>
    <row r="356" spans="1:18" x14ac:dyDescent="0.25">
      <c r="A356" s="170">
        <v>42527</v>
      </c>
      <c r="B356" s="116">
        <v>6.48</v>
      </c>
      <c r="C356" s="116">
        <v>6.22</v>
      </c>
      <c r="D356" s="116">
        <v>6.15</v>
      </c>
      <c r="E356" s="116">
        <v>6.32</v>
      </c>
      <c r="F356" s="116">
        <v>6.22</v>
      </c>
      <c r="G356">
        <v>292792</v>
      </c>
      <c r="H356" s="116"/>
      <c r="I356" s="116"/>
      <c r="L356" s="170">
        <v>42527</v>
      </c>
      <c r="M356" s="116">
        <v>6.2</v>
      </c>
      <c r="N356" s="116">
        <v>6.45</v>
      </c>
      <c r="O356" s="116">
        <v>6.2</v>
      </c>
      <c r="P356" s="116">
        <v>6.35</v>
      </c>
      <c r="Q356" s="116">
        <v>6.2</v>
      </c>
      <c r="R356">
        <v>730681</v>
      </c>
    </row>
    <row r="357" spans="1:18" x14ac:dyDescent="0.25">
      <c r="A357" s="170">
        <v>42528</v>
      </c>
      <c r="B357" s="116">
        <v>6.37</v>
      </c>
      <c r="C357" s="116">
        <v>6.31</v>
      </c>
      <c r="D357" s="116">
        <v>6.18</v>
      </c>
      <c r="E357" s="116">
        <v>6.23</v>
      </c>
      <c r="F357" s="116">
        <v>6.31</v>
      </c>
      <c r="G357">
        <v>189021</v>
      </c>
      <c r="H357" s="116"/>
      <c r="I357" s="116"/>
      <c r="L357" s="170">
        <v>42528</v>
      </c>
      <c r="M357" s="116">
        <v>6.3</v>
      </c>
      <c r="N357" s="116">
        <v>6.35</v>
      </c>
      <c r="O357" s="116">
        <v>6.15</v>
      </c>
      <c r="P357" s="116">
        <v>6.25</v>
      </c>
      <c r="Q357" s="116">
        <v>6.3</v>
      </c>
      <c r="R357">
        <v>628954</v>
      </c>
    </row>
    <row r="358" spans="1:18" x14ac:dyDescent="0.25">
      <c r="A358" s="170">
        <v>42529</v>
      </c>
      <c r="B358" s="116">
        <v>6.42</v>
      </c>
      <c r="C358" s="116">
        <v>6.3</v>
      </c>
      <c r="D358" s="116">
        <v>6.22</v>
      </c>
      <c r="E358" s="116">
        <v>6.3</v>
      </c>
      <c r="F358" s="116">
        <v>6.3</v>
      </c>
      <c r="G358">
        <v>219152</v>
      </c>
      <c r="H358" s="116"/>
      <c r="I358" s="116"/>
      <c r="L358" s="170">
        <v>42529</v>
      </c>
      <c r="M358" s="116">
        <v>6.3</v>
      </c>
      <c r="N358" s="116">
        <v>6.4</v>
      </c>
      <c r="O358" s="116">
        <v>6.2</v>
      </c>
      <c r="P358" s="116">
        <v>6.3</v>
      </c>
      <c r="Q358" s="116">
        <v>6.3</v>
      </c>
      <c r="R358">
        <v>1009365</v>
      </c>
    </row>
    <row r="359" spans="1:18" x14ac:dyDescent="0.25">
      <c r="A359" s="170">
        <v>42530</v>
      </c>
      <c r="B359" s="116">
        <v>6.54</v>
      </c>
      <c r="C359" s="116">
        <v>6.52</v>
      </c>
      <c r="D359" s="116">
        <v>6.3</v>
      </c>
      <c r="E359" s="116">
        <v>6.5</v>
      </c>
      <c r="F359" s="116">
        <v>6.52</v>
      </c>
      <c r="G359">
        <v>305044</v>
      </c>
      <c r="H359" s="116"/>
      <c r="I359" s="116"/>
      <c r="L359" s="170">
        <v>42530</v>
      </c>
      <c r="M359" s="116">
        <v>6.5</v>
      </c>
      <c r="N359" s="116">
        <v>6.55</v>
      </c>
      <c r="O359" s="116">
        <v>6.3</v>
      </c>
      <c r="P359" s="116">
        <v>6.35</v>
      </c>
      <c r="Q359" s="116">
        <v>6.5</v>
      </c>
      <c r="R359">
        <v>1864944</v>
      </c>
    </row>
    <row r="360" spans="1:18" x14ac:dyDescent="0.25">
      <c r="A360" s="170">
        <v>42531</v>
      </c>
      <c r="B360" s="116">
        <v>6.73</v>
      </c>
      <c r="C360" s="116">
        <v>6.64</v>
      </c>
      <c r="D360" s="116">
        <v>6.5</v>
      </c>
      <c r="E360" s="116">
        <v>6.72</v>
      </c>
      <c r="F360" s="116">
        <v>6.64</v>
      </c>
      <c r="G360">
        <v>442987</v>
      </c>
      <c r="H360" s="116"/>
      <c r="I360" s="116"/>
      <c r="L360" s="170">
        <v>42531</v>
      </c>
      <c r="M360" s="116">
        <v>6.65</v>
      </c>
      <c r="N360" s="116">
        <v>6.75</v>
      </c>
      <c r="O360" s="116">
        <v>6.55</v>
      </c>
      <c r="P360" s="116">
        <v>6.6</v>
      </c>
      <c r="Q360" s="116">
        <v>6.65</v>
      </c>
      <c r="R360">
        <v>1618480</v>
      </c>
    </row>
    <row r="361" spans="1:18" x14ac:dyDescent="0.25">
      <c r="A361" s="170">
        <v>42534</v>
      </c>
      <c r="B361" s="116">
        <v>6.76</v>
      </c>
      <c r="C361" s="116">
        <v>6.64</v>
      </c>
      <c r="D361" s="116">
        <v>6.46</v>
      </c>
      <c r="E361" s="116">
        <v>6.69</v>
      </c>
      <c r="F361" s="116">
        <v>6.64</v>
      </c>
      <c r="G361">
        <v>304254</v>
      </c>
      <c r="H361" s="116"/>
      <c r="I361" s="116"/>
      <c r="L361" s="170">
        <v>42534</v>
      </c>
      <c r="M361" s="116">
        <v>6.6</v>
      </c>
      <c r="N361" s="116">
        <v>6.75</v>
      </c>
      <c r="O361" s="116">
        <v>6.45</v>
      </c>
      <c r="P361" s="116">
        <v>6.55</v>
      </c>
      <c r="Q361" s="116">
        <v>6.6</v>
      </c>
      <c r="R361">
        <v>1133958</v>
      </c>
    </row>
    <row r="362" spans="1:18" x14ac:dyDescent="0.25">
      <c r="A362" s="170">
        <v>42535</v>
      </c>
      <c r="B362" s="116">
        <v>6.98</v>
      </c>
      <c r="C362" s="116">
        <v>6.85</v>
      </c>
      <c r="D362" s="116">
        <v>6.62</v>
      </c>
      <c r="E362" s="116">
        <v>6.87</v>
      </c>
      <c r="F362" s="116">
        <v>6.85</v>
      </c>
      <c r="G362">
        <v>438483</v>
      </c>
      <c r="H362" s="116"/>
      <c r="I362" s="116"/>
      <c r="L362" s="170">
        <v>42535</v>
      </c>
      <c r="M362" s="116">
        <v>6.85</v>
      </c>
      <c r="N362" s="116">
        <v>6.95</v>
      </c>
      <c r="O362" s="116">
        <v>6.75</v>
      </c>
      <c r="P362" s="116">
        <v>6.8</v>
      </c>
      <c r="Q362" s="116">
        <v>6.85</v>
      </c>
      <c r="R362">
        <v>2789733</v>
      </c>
    </row>
    <row r="363" spans="1:18" x14ac:dyDescent="0.25">
      <c r="A363" s="170">
        <v>42536</v>
      </c>
      <c r="B363" s="116">
        <v>7.02</v>
      </c>
      <c r="C363" s="116">
        <v>6.81</v>
      </c>
      <c r="D363" s="116">
        <v>6.66</v>
      </c>
      <c r="E363" s="116">
        <v>6.89</v>
      </c>
      <c r="F363" s="116">
        <v>6.81</v>
      </c>
      <c r="G363">
        <v>516053</v>
      </c>
      <c r="H363" s="116"/>
      <c r="I363" s="116"/>
      <c r="L363" s="170">
        <v>42536</v>
      </c>
      <c r="M363" s="116">
        <v>6.8</v>
      </c>
      <c r="N363" s="116">
        <v>7.05</v>
      </c>
      <c r="O363" s="116">
        <v>6.65</v>
      </c>
      <c r="P363" s="116">
        <v>6.9</v>
      </c>
      <c r="Q363" s="116">
        <v>6.8</v>
      </c>
      <c r="R363">
        <v>1832331</v>
      </c>
    </row>
    <row r="364" spans="1:18" x14ac:dyDescent="0.25">
      <c r="A364" s="170">
        <v>42537</v>
      </c>
      <c r="B364" s="116">
        <v>6.95</v>
      </c>
      <c r="C364" s="116">
        <v>6.64</v>
      </c>
      <c r="D364" s="116">
        <v>6.55</v>
      </c>
      <c r="E364" s="116">
        <v>6.95</v>
      </c>
      <c r="F364" s="116">
        <v>6.64</v>
      </c>
      <c r="G364">
        <v>260275</v>
      </c>
      <c r="H364" s="116"/>
      <c r="I364" s="116"/>
      <c r="L364" s="170">
        <v>42537</v>
      </c>
      <c r="M364" s="116">
        <v>6.65</v>
      </c>
      <c r="N364" s="116">
        <v>6.8</v>
      </c>
      <c r="O364" s="116">
        <v>6.55</v>
      </c>
      <c r="P364" s="116">
        <v>6.8</v>
      </c>
      <c r="Q364" s="116">
        <v>6.65</v>
      </c>
      <c r="R364">
        <v>679294</v>
      </c>
    </row>
    <row r="365" spans="1:18" x14ac:dyDescent="0.25">
      <c r="A365" s="170">
        <v>42538</v>
      </c>
      <c r="B365" s="116">
        <v>6.9</v>
      </c>
      <c r="C365" s="116">
        <v>6.71</v>
      </c>
      <c r="D365" s="116">
        <v>6.63</v>
      </c>
      <c r="E365" s="116">
        <v>6.72</v>
      </c>
      <c r="F365" s="116">
        <v>6.71</v>
      </c>
      <c r="G365">
        <v>222854</v>
      </c>
      <c r="H365" s="116"/>
      <c r="I365" s="116"/>
      <c r="L365" s="170">
        <v>42538</v>
      </c>
      <c r="M365" s="116">
        <v>6.7</v>
      </c>
      <c r="N365" s="116">
        <v>6.9</v>
      </c>
      <c r="O365" s="116">
        <v>6.6</v>
      </c>
      <c r="P365" s="116">
        <v>6.7</v>
      </c>
      <c r="Q365" s="116">
        <v>6.7</v>
      </c>
      <c r="R365">
        <v>753180</v>
      </c>
    </row>
    <row r="366" spans="1:18" x14ac:dyDescent="0.25">
      <c r="A366" s="170">
        <v>42541</v>
      </c>
      <c r="B366" s="116">
        <v>6.87</v>
      </c>
      <c r="C366" s="116">
        <v>6.79</v>
      </c>
      <c r="D366" s="116">
        <v>6.65</v>
      </c>
      <c r="E366" s="116">
        <v>6.79</v>
      </c>
      <c r="F366" s="116">
        <v>6.79</v>
      </c>
      <c r="G366">
        <v>377424</v>
      </c>
      <c r="H366" s="116"/>
      <c r="I366" s="116"/>
      <c r="L366" s="170">
        <v>42541</v>
      </c>
      <c r="M366" s="116">
        <v>6.75</v>
      </c>
      <c r="N366" s="116">
        <v>6.9</v>
      </c>
      <c r="O366" s="116">
        <v>6.65</v>
      </c>
      <c r="P366" s="116">
        <v>6.7</v>
      </c>
      <c r="Q366" s="116">
        <v>6.75</v>
      </c>
      <c r="R366">
        <v>814334</v>
      </c>
    </row>
    <row r="367" spans="1:18" x14ac:dyDescent="0.25">
      <c r="A367" s="170">
        <v>42542</v>
      </c>
      <c r="B367" s="116">
        <v>7.24</v>
      </c>
      <c r="C367" s="116">
        <v>7.06</v>
      </c>
      <c r="D367" s="116">
        <v>6.75</v>
      </c>
      <c r="E367" s="116">
        <v>6.8</v>
      </c>
      <c r="F367" s="116">
        <v>7.06</v>
      </c>
      <c r="G367">
        <v>949664</v>
      </c>
      <c r="H367" s="116"/>
      <c r="I367" s="116"/>
      <c r="L367" s="170">
        <v>42542</v>
      </c>
      <c r="M367" s="116">
        <v>7.05</v>
      </c>
      <c r="N367" s="116">
        <v>7.3</v>
      </c>
      <c r="O367" s="116">
        <v>6.75</v>
      </c>
      <c r="P367" s="116">
        <v>6.85</v>
      </c>
      <c r="Q367" s="116">
        <v>7.05</v>
      </c>
      <c r="R367">
        <v>3991971</v>
      </c>
    </row>
    <row r="368" spans="1:18" x14ac:dyDescent="0.25">
      <c r="A368" s="170">
        <v>42543</v>
      </c>
      <c r="B368" s="116">
        <v>7.14</v>
      </c>
      <c r="C368" s="116">
        <v>6.68</v>
      </c>
      <c r="D368" s="116">
        <v>6.65</v>
      </c>
      <c r="E368" s="116">
        <v>7.01</v>
      </c>
      <c r="F368" s="116">
        <v>6.68</v>
      </c>
      <c r="G368">
        <v>624211</v>
      </c>
      <c r="H368" s="116"/>
      <c r="I368" s="116"/>
      <c r="L368" s="170">
        <v>42543</v>
      </c>
      <c r="M368" s="116">
        <v>6.65</v>
      </c>
      <c r="N368" s="116">
        <v>7.1</v>
      </c>
      <c r="O368" s="116">
        <v>6.6</v>
      </c>
      <c r="P368" s="116">
        <v>7.1</v>
      </c>
      <c r="Q368" s="116">
        <v>6.65</v>
      </c>
      <c r="R368">
        <v>1727256</v>
      </c>
    </row>
    <row r="369" spans="1:18" x14ac:dyDescent="0.25">
      <c r="A369" s="170">
        <v>42544</v>
      </c>
      <c r="B369" s="116">
        <v>6.75</v>
      </c>
      <c r="C369" s="116">
        <v>6.71</v>
      </c>
      <c r="D369" s="116">
        <v>6.56</v>
      </c>
      <c r="E369" s="116">
        <v>6.75</v>
      </c>
      <c r="F369" s="116">
        <v>6.71</v>
      </c>
      <c r="G369">
        <v>176473</v>
      </c>
      <c r="H369" s="116"/>
      <c r="I369" s="116"/>
      <c r="L369" s="170">
        <v>42544</v>
      </c>
      <c r="M369" s="116">
        <v>6.65</v>
      </c>
      <c r="N369" s="116">
        <v>6.75</v>
      </c>
      <c r="O369" s="116">
        <v>6.55</v>
      </c>
      <c r="P369" s="116">
        <v>6.75</v>
      </c>
      <c r="Q369" s="116">
        <v>6.65</v>
      </c>
      <c r="R369">
        <v>811971</v>
      </c>
    </row>
    <row r="370" spans="1:18" x14ac:dyDescent="0.25">
      <c r="A370" s="170">
        <v>42545</v>
      </c>
      <c r="B370" s="116">
        <v>6.56</v>
      </c>
      <c r="C370" s="116">
        <v>6.48</v>
      </c>
      <c r="D370" s="116">
        <v>6.19</v>
      </c>
      <c r="E370" s="116">
        <v>6.48</v>
      </c>
      <c r="F370" s="116">
        <v>6.48</v>
      </c>
      <c r="G370">
        <v>426576</v>
      </c>
      <c r="H370" s="116"/>
      <c r="I370" s="116"/>
      <c r="L370" s="170">
        <v>42545</v>
      </c>
      <c r="M370" s="116">
        <v>6.45</v>
      </c>
      <c r="N370" s="116">
        <v>6.6</v>
      </c>
      <c r="O370" s="116">
        <v>6.2</v>
      </c>
      <c r="P370" s="116">
        <v>6.5</v>
      </c>
      <c r="Q370" s="116">
        <v>6.45</v>
      </c>
      <c r="R370">
        <v>1889432</v>
      </c>
    </row>
    <row r="371" spans="1:18" x14ac:dyDescent="0.25">
      <c r="A371" s="170">
        <v>42548</v>
      </c>
      <c r="B371" s="116">
        <v>6.8</v>
      </c>
      <c r="C371" s="116">
        <v>6.59</v>
      </c>
      <c r="D371" s="116">
        <v>6.36</v>
      </c>
      <c r="E371" s="116">
        <v>6.45</v>
      </c>
      <c r="F371" s="116">
        <v>6.59</v>
      </c>
      <c r="G371">
        <v>296208</v>
      </c>
      <c r="H371" s="116"/>
      <c r="I371" s="116"/>
      <c r="L371" s="170">
        <v>42548</v>
      </c>
      <c r="M371" s="116">
        <v>6.55</v>
      </c>
      <c r="N371" s="116">
        <v>6.85</v>
      </c>
      <c r="O371" s="116">
        <v>6.35</v>
      </c>
      <c r="P371" s="116">
        <v>6.5</v>
      </c>
      <c r="Q371" s="116">
        <v>6.55</v>
      </c>
      <c r="R371">
        <v>1078948</v>
      </c>
    </row>
    <row r="372" spans="1:18" x14ac:dyDescent="0.25">
      <c r="A372" s="170">
        <v>42549</v>
      </c>
      <c r="B372" s="116">
        <v>6.9</v>
      </c>
      <c r="C372" s="116">
        <v>6.64</v>
      </c>
      <c r="D372" s="116">
        <v>6.6</v>
      </c>
      <c r="E372" s="116">
        <v>6.84</v>
      </c>
      <c r="F372" s="116">
        <v>6.64</v>
      </c>
      <c r="G372">
        <v>221983</v>
      </c>
      <c r="H372" s="116"/>
      <c r="I372" s="116"/>
      <c r="L372" s="170">
        <v>42549</v>
      </c>
      <c r="M372" s="116">
        <v>6.65</v>
      </c>
      <c r="N372" s="116">
        <v>6.75</v>
      </c>
      <c r="O372" s="116">
        <v>6.6</v>
      </c>
      <c r="P372" s="116">
        <v>6.65</v>
      </c>
      <c r="Q372" s="116">
        <v>6.65</v>
      </c>
      <c r="R372">
        <v>692140</v>
      </c>
    </row>
    <row r="373" spans="1:18" x14ac:dyDescent="0.25">
      <c r="A373" s="170">
        <v>42550</v>
      </c>
      <c r="B373" s="116">
        <v>7.18</v>
      </c>
      <c r="C373" s="116">
        <v>7.07</v>
      </c>
      <c r="D373" s="116">
        <v>6.65</v>
      </c>
      <c r="E373" s="116">
        <v>6.65</v>
      </c>
      <c r="F373" s="116">
        <v>7.07</v>
      </c>
      <c r="G373">
        <v>680195</v>
      </c>
      <c r="H373" s="116"/>
      <c r="I373" s="116"/>
      <c r="L373" s="170">
        <v>42550</v>
      </c>
      <c r="M373" s="116">
        <v>7.05</v>
      </c>
      <c r="N373" s="116">
        <v>7.2</v>
      </c>
      <c r="O373" s="116">
        <v>6.65</v>
      </c>
      <c r="P373" s="116">
        <v>6.75</v>
      </c>
      <c r="Q373" s="116">
        <v>7.05</v>
      </c>
      <c r="R373">
        <v>3591695</v>
      </c>
    </row>
    <row r="374" spans="1:18" x14ac:dyDescent="0.25">
      <c r="A374" s="170">
        <v>42551</v>
      </c>
      <c r="B374" s="116">
        <v>7.2</v>
      </c>
      <c r="C374" s="116">
        <v>6.93</v>
      </c>
      <c r="D374" s="116">
        <v>6.86</v>
      </c>
      <c r="E374" s="116">
        <v>7.1</v>
      </c>
      <c r="F374" s="116">
        <v>6.93</v>
      </c>
      <c r="G374">
        <v>427971</v>
      </c>
      <c r="H374" s="116"/>
      <c r="I374" s="116"/>
      <c r="L374" s="170">
        <v>42551</v>
      </c>
      <c r="M374" s="116">
        <v>6.9</v>
      </c>
      <c r="N374" s="116">
        <v>7.2</v>
      </c>
      <c r="O374" s="116">
        <v>6.85</v>
      </c>
      <c r="P374" s="116">
        <v>7.1</v>
      </c>
      <c r="Q374" s="116">
        <v>6.9</v>
      </c>
      <c r="R374">
        <v>1840975</v>
      </c>
    </row>
    <row r="375" spans="1:18" x14ac:dyDescent="0.25">
      <c r="A375" s="170">
        <v>42552</v>
      </c>
      <c r="B375" s="116">
        <v>7</v>
      </c>
      <c r="C375" s="116">
        <v>6.84</v>
      </c>
      <c r="D375" s="116">
        <v>6.79</v>
      </c>
      <c r="E375" s="116">
        <v>7</v>
      </c>
      <c r="F375" s="116">
        <v>6.84</v>
      </c>
      <c r="G375">
        <v>374391</v>
      </c>
      <c r="H375" s="116"/>
      <c r="I375" s="116"/>
      <c r="L375" s="170">
        <v>42552</v>
      </c>
      <c r="M375" s="116">
        <v>6.85</v>
      </c>
      <c r="N375" s="116">
        <v>7.1</v>
      </c>
      <c r="O375" s="116">
        <v>6.75</v>
      </c>
      <c r="P375" s="116">
        <v>6.9</v>
      </c>
      <c r="Q375" s="116">
        <v>6.85</v>
      </c>
      <c r="R375">
        <v>1208370</v>
      </c>
    </row>
    <row r="376" spans="1:18" x14ac:dyDescent="0.25">
      <c r="A376" s="170">
        <v>42555</v>
      </c>
      <c r="B376" s="116">
        <v>7.15</v>
      </c>
      <c r="C376" s="116">
        <v>6.88</v>
      </c>
      <c r="D376" s="116">
        <v>6.85</v>
      </c>
      <c r="E376" s="116">
        <v>6.85</v>
      </c>
      <c r="F376" s="116">
        <v>6.88</v>
      </c>
      <c r="G376">
        <v>653900</v>
      </c>
      <c r="H376" s="116"/>
      <c r="I376" s="116"/>
      <c r="L376" s="170">
        <v>42555</v>
      </c>
      <c r="M376" s="116">
        <v>6.85</v>
      </c>
      <c r="N376" s="116">
        <v>7.15</v>
      </c>
      <c r="O376" s="116">
        <v>6.85</v>
      </c>
      <c r="P376" s="116">
        <v>6.85</v>
      </c>
      <c r="Q376" s="116">
        <v>6.85</v>
      </c>
      <c r="R376">
        <v>1913814</v>
      </c>
    </row>
    <row r="377" spans="1:18" x14ac:dyDescent="0.25">
      <c r="A377" s="170">
        <v>42556</v>
      </c>
      <c r="B377" s="116">
        <v>7.4</v>
      </c>
      <c r="C377" s="116">
        <v>7.19</v>
      </c>
      <c r="D377" s="116">
        <v>7.05</v>
      </c>
      <c r="E377" s="116">
        <v>7.1</v>
      </c>
      <c r="F377" s="116">
        <v>7.19</v>
      </c>
      <c r="G377">
        <v>1477926</v>
      </c>
      <c r="H377" s="116"/>
      <c r="I377" s="116"/>
      <c r="L377" s="170">
        <v>42556</v>
      </c>
      <c r="M377" s="116">
        <v>7.15</v>
      </c>
      <c r="N377" s="116">
        <v>7.45</v>
      </c>
      <c r="O377" s="116">
        <v>7.05</v>
      </c>
      <c r="P377" s="116">
        <v>7.15</v>
      </c>
      <c r="Q377" s="116">
        <v>7.15</v>
      </c>
      <c r="R377">
        <v>5066561</v>
      </c>
    </row>
    <row r="378" spans="1:18" x14ac:dyDescent="0.25">
      <c r="A378" s="170">
        <v>42558</v>
      </c>
      <c r="B378" s="116">
        <v>7.42</v>
      </c>
      <c r="C378" s="116">
        <v>7.2</v>
      </c>
      <c r="D378" s="116">
        <v>7.1</v>
      </c>
      <c r="E378" s="116">
        <v>7.23</v>
      </c>
      <c r="F378" s="116">
        <v>7.2</v>
      </c>
      <c r="G378">
        <v>588139</v>
      </c>
      <c r="H378" s="116"/>
      <c r="I378" s="116"/>
      <c r="L378" s="170">
        <v>42558</v>
      </c>
      <c r="M378" s="116">
        <v>7.25</v>
      </c>
      <c r="N378" s="116">
        <v>7.4</v>
      </c>
      <c r="O378" s="116">
        <v>7.1</v>
      </c>
      <c r="P378" s="116">
        <v>7.25</v>
      </c>
      <c r="Q378" s="116">
        <v>7.25</v>
      </c>
      <c r="R378">
        <v>1723066</v>
      </c>
    </row>
    <row r="379" spans="1:18" x14ac:dyDescent="0.25">
      <c r="A379" s="170">
        <v>42559</v>
      </c>
      <c r="B379" s="116">
        <v>7.28</v>
      </c>
      <c r="C379" s="116">
        <v>6.93</v>
      </c>
      <c r="D379" s="116">
        <v>6.9</v>
      </c>
      <c r="E379" s="116">
        <v>7.19</v>
      </c>
      <c r="F379" s="116">
        <v>6.93</v>
      </c>
      <c r="G379">
        <v>529682</v>
      </c>
      <c r="H379" s="116"/>
      <c r="I379" s="116"/>
      <c r="L379" s="170">
        <v>42559</v>
      </c>
      <c r="M379" s="116">
        <v>6.95</v>
      </c>
      <c r="N379" s="116">
        <v>7.25</v>
      </c>
      <c r="O379" s="116">
        <v>6.9</v>
      </c>
      <c r="P379" s="116">
        <v>7.2</v>
      </c>
      <c r="Q379" s="116">
        <v>6.95</v>
      </c>
      <c r="R379">
        <v>1317515</v>
      </c>
    </row>
    <row r="380" spans="1:18" x14ac:dyDescent="0.25">
      <c r="A380" s="170">
        <v>42562</v>
      </c>
      <c r="B380" s="116">
        <v>7.08</v>
      </c>
      <c r="C380" s="116">
        <v>6.99</v>
      </c>
      <c r="D380" s="116">
        <v>6.9</v>
      </c>
      <c r="E380" s="116">
        <v>6.9</v>
      </c>
      <c r="F380" s="116">
        <v>6.99</v>
      </c>
      <c r="G380">
        <v>292566</v>
      </c>
      <c r="H380" s="116"/>
      <c r="I380" s="116"/>
      <c r="L380" s="170">
        <v>42562</v>
      </c>
      <c r="M380" s="116">
        <v>7</v>
      </c>
      <c r="N380" s="116">
        <v>7.1</v>
      </c>
      <c r="O380" s="116">
        <v>6.95</v>
      </c>
      <c r="P380" s="116">
        <v>7.05</v>
      </c>
      <c r="Q380" s="116">
        <v>7</v>
      </c>
      <c r="R380">
        <v>1030887</v>
      </c>
    </row>
    <row r="381" spans="1:18" x14ac:dyDescent="0.25">
      <c r="A381" s="170">
        <v>42563</v>
      </c>
      <c r="B381" s="116">
        <v>7.5</v>
      </c>
      <c r="C381" s="116">
        <v>7.22</v>
      </c>
      <c r="D381" s="116">
        <v>7.01</v>
      </c>
      <c r="E381" s="116">
        <v>7.2</v>
      </c>
      <c r="F381" s="116">
        <v>7.22</v>
      </c>
      <c r="G381">
        <v>928438</v>
      </c>
      <c r="H381" s="116"/>
      <c r="I381" s="116"/>
      <c r="L381" s="170">
        <v>42563</v>
      </c>
      <c r="M381" s="116">
        <v>7.2</v>
      </c>
      <c r="N381" s="116">
        <v>7.55</v>
      </c>
      <c r="O381" s="116">
        <v>6.95</v>
      </c>
      <c r="P381" s="116">
        <v>6.95</v>
      </c>
      <c r="Q381" s="116">
        <v>7.2</v>
      </c>
      <c r="R381">
        <v>3621598</v>
      </c>
    </row>
    <row r="382" spans="1:18" x14ac:dyDescent="0.25">
      <c r="A382" s="170">
        <v>42564</v>
      </c>
      <c r="B382" s="116">
        <v>7.29</v>
      </c>
      <c r="C382" s="116">
        <v>7.06</v>
      </c>
      <c r="D382" s="116">
        <v>6.91</v>
      </c>
      <c r="E382" s="116">
        <v>7.24</v>
      </c>
      <c r="F382" s="116">
        <v>7.06</v>
      </c>
      <c r="G382">
        <v>499566</v>
      </c>
      <c r="H382" s="116"/>
      <c r="I382" s="116"/>
      <c r="L382" s="170">
        <v>42564</v>
      </c>
      <c r="M382" s="116">
        <v>7</v>
      </c>
      <c r="N382" s="116">
        <v>7.3</v>
      </c>
      <c r="O382" s="116">
        <v>6.9</v>
      </c>
      <c r="P382" s="116">
        <v>7.15</v>
      </c>
      <c r="Q382" s="116">
        <v>7</v>
      </c>
      <c r="R382">
        <v>1902904</v>
      </c>
    </row>
    <row r="383" spans="1:18" x14ac:dyDescent="0.25">
      <c r="A383" s="170">
        <v>42565</v>
      </c>
      <c r="B383" s="116">
        <v>7.13</v>
      </c>
      <c r="C383" s="116">
        <v>7.03</v>
      </c>
      <c r="D383" s="116">
        <v>6.99</v>
      </c>
      <c r="E383" s="116">
        <v>7</v>
      </c>
      <c r="F383" s="116">
        <v>7.03</v>
      </c>
      <c r="G383">
        <v>200966</v>
      </c>
      <c r="H383" s="116"/>
      <c r="I383" s="116"/>
      <c r="L383" s="170">
        <v>42565</v>
      </c>
      <c r="M383" s="116">
        <v>7.05</v>
      </c>
      <c r="N383" s="116">
        <v>7.15</v>
      </c>
      <c r="O383" s="116">
        <v>6.95</v>
      </c>
      <c r="P383" s="116">
        <v>7</v>
      </c>
      <c r="Q383" s="116">
        <v>7.05</v>
      </c>
      <c r="R383">
        <v>532243</v>
      </c>
    </row>
    <row r="384" spans="1:18" x14ac:dyDescent="0.25">
      <c r="A384" s="170">
        <v>42566</v>
      </c>
      <c r="B384" s="116">
        <v>7.2</v>
      </c>
      <c r="C384" s="116">
        <v>7.02</v>
      </c>
      <c r="D384" s="116">
        <v>6.91</v>
      </c>
      <c r="E384" s="116">
        <v>7.12</v>
      </c>
      <c r="F384" s="116">
        <v>7.02</v>
      </c>
      <c r="G384">
        <v>386506</v>
      </c>
      <c r="H384" s="116"/>
      <c r="I384" s="116"/>
      <c r="L384" s="170">
        <v>42566</v>
      </c>
      <c r="M384" s="116">
        <v>7</v>
      </c>
      <c r="N384" s="116">
        <v>7.2</v>
      </c>
      <c r="O384" s="116">
        <v>6.9</v>
      </c>
      <c r="P384" s="116">
        <v>7.15</v>
      </c>
      <c r="Q384" s="116">
        <v>7</v>
      </c>
      <c r="R384">
        <v>1187860</v>
      </c>
    </row>
    <row r="385" spans="1:18" x14ac:dyDescent="0.25">
      <c r="A385" s="170">
        <v>42569</v>
      </c>
      <c r="B385" s="116">
        <v>7.12</v>
      </c>
      <c r="C385" s="116">
        <v>6.91</v>
      </c>
      <c r="D385" s="116">
        <v>6.88</v>
      </c>
      <c r="E385" s="116">
        <v>7.02</v>
      </c>
      <c r="F385" s="116">
        <v>6.91</v>
      </c>
      <c r="G385">
        <v>294533</v>
      </c>
      <c r="H385" s="116"/>
      <c r="I385" s="116"/>
      <c r="L385" s="170">
        <v>42569</v>
      </c>
      <c r="M385" s="116">
        <v>6.9</v>
      </c>
      <c r="N385" s="116">
        <v>7.1</v>
      </c>
      <c r="O385" s="116">
        <v>6.85</v>
      </c>
      <c r="P385" s="116">
        <v>7.05</v>
      </c>
      <c r="Q385" s="116">
        <v>6.9</v>
      </c>
      <c r="R385">
        <v>897058</v>
      </c>
    </row>
    <row r="386" spans="1:18" x14ac:dyDescent="0.25">
      <c r="A386" s="170">
        <v>42570</v>
      </c>
      <c r="B386" s="116">
        <v>7.09</v>
      </c>
      <c r="C386" s="116">
        <v>6.83</v>
      </c>
      <c r="D386" s="116">
        <v>6.8</v>
      </c>
      <c r="E386" s="116">
        <v>7.09</v>
      </c>
      <c r="F386" s="116">
        <v>6.83</v>
      </c>
      <c r="G386">
        <v>304567</v>
      </c>
      <c r="H386" s="116"/>
      <c r="I386" s="116"/>
      <c r="L386" s="170">
        <v>42570</v>
      </c>
      <c r="M386" s="116">
        <v>6.85</v>
      </c>
      <c r="N386" s="116">
        <v>7</v>
      </c>
      <c r="O386" s="116">
        <v>6.8</v>
      </c>
      <c r="P386" s="116">
        <v>6.95</v>
      </c>
      <c r="Q386" s="116">
        <v>6.85</v>
      </c>
      <c r="R386">
        <v>677326</v>
      </c>
    </row>
    <row r="387" spans="1:18" x14ac:dyDescent="0.25">
      <c r="A387" s="170">
        <v>42571</v>
      </c>
      <c r="B387" s="116">
        <v>7.02</v>
      </c>
      <c r="C387" s="116">
        <v>6.95</v>
      </c>
      <c r="D387" s="116">
        <v>6.75</v>
      </c>
      <c r="E387" s="116">
        <v>6.75</v>
      </c>
      <c r="F387" s="116">
        <v>6.95</v>
      </c>
      <c r="G387">
        <v>378494</v>
      </c>
      <c r="H387" s="116"/>
      <c r="I387" s="116"/>
      <c r="L387" s="170">
        <v>42571</v>
      </c>
      <c r="M387" s="116">
        <v>6.95</v>
      </c>
      <c r="N387" s="116">
        <v>7.05</v>
      </c>
      <c r="O387" s="116">
        <v>6.8</v>
      </c>
      <c r="P387" s="116">
        <v>6.85</v>
      </c>
      <c r="Q387" s="116">
        <v>6.95</v>
      </c>
      <c r="R387">
        <v>1126239</v>
      </c>
    </row>
    <row r="388" spans="1:18" x14ac:dyDescent="0.25">
      <c r="A388" s="170">
        <v>42572</v>
      </c>
      <c r="B388" s="116">
        <v>6.97</v>
      </c>
      <c r="C388" s="116">
        <v>6.82</v>
      </c>
      <c r="D388" s="116">
        <v>6.8</v>
      </c>
      <c r="E388" s="116">
        <v>6.95</v>
      </c>
      <c r="F388" s="116">
        <v>6.82</v>
      </c>
      <c r="G388">
        <v>233896</v>
      </c>
      <c r="H388" s="116"/>
      <c r="I388" s="116"/>
      <c r="L388" s="170">
        <v>42572</v>
      </c>
      <c r="M388" s="116">
        <v>6.8</v>
      </c>
      <c r="N388" s="116">
        <v>7</v>
      </c>
      <c r="O388" s="116">
        <v>6.8</v>
      </c>
      <c r="P388" s="116">
        <v>6.95</v>
      </c>
      <c r="Q388" s="116">
        <v>6.8</v>
      </c>
      <c r="R388">
        <v>872365</v>
      </c>
    </row>
    <row r="389" spans="1:18" x14ac:dyDescent="0.25">
      <c r="A389" s="170">
        <v>42573</v>
      </c>
      <c r="B389" s="116">
        <v>6.9</v>
      </c>
      <c r="C389" s="116">
        <v>6.77</v>
      </c>
      <c r="D389" s="116">
        <v>6.73</v>
      </c>
      <c r="E389" s="116">
        <v>6.9</v>
      </c>
      <c r="F389" s="116">
        <v>6.77</v>
      </c>
      <c r="G389">
        <v>244857</v>
      </c>
      <c r="H389" s="116"/>
      <c r="I389" s="116"/>
      <c r="L389" s="170">
        <v>42573</v>
      </c>
      <c r="M389" s="116">
        <v>6.75</v>
      </c>
      <c r="N389" s="116">
        <v>6.9</v>
      </c>
      <c r="O389" s="116">
        <v>6.7</v>
      </c>
      <c r="P389" s="116">
        <v>6.8</v>
      </c>
      <c r="Q389" s="116">
        <v>6.75</v>
      </c>
      <c r="R389">
        <v>836038</v>
      </c>
    </row>
    <row r="390" spans="1:18" x14ac:dyDescent="0.25">
      <c r="A390" s="170">
        <v>42576</v>
      </c>
      <c r="B390" s="116">
        <v>6.86</v>
      </c>
      <c r="C390" s="116">
        <v>6.77</v>
      </c>
      <c r="D390" s="116">
        <v>6.7</v>
      </c>
      <c r="E390" s="116">
        <v>6.74</v>
      </c>
      <c r="F390" s="116">
        <v>6.77</v>
      </c>
      <c r="G390">
        <v>184357</v>
      </c>
      <c r="H390" s="116"/>
      <c r="I390" s="116"/>
      <c r="L390" s="170">
        <v>42576</v>
      </c>
      <c r="M390" s="116">
        <v>6.8</v>
      </c>
      <c r="N390" s="116">
        <v>6.85</v>
      </c>
      <c r="O390" s="116">
        <v>6.7</v>
      </c>
      <c r="P390" s="116">
        <v>6.8</v>
      </c>
      <c r="Q390" s="116">
        <v>6.8</v>
      </c>
      <c r="R390">
        <v>833435</v>
      </c>
    </row>
    <row r="391" spans="1:18" x14ac:dyDescent="0.25">
      <c r="A391" s="170">
        <v>42577</v>
      </c>
      <c r="B391" s="116">
        <v>7.04</v>
      </c>
      <c r="C391" s="116">
        <v>6.82</v>
      </c>
      <c r="D391" s="116">
        <v>6.66</v>
      </c>
      <c r="E391" s="116">
        <v>6.66</v>
      </c>
      <c r="F391" s="116">
        <v>6.82</v>
      </c>
      <c r="G391">
        <v>491528</v>
      </c>
      <c r="H391" s="116"/>
      <c r="I391" s="116"/>
      <c r="L391" s="170">
        <v>42577</v>
      </c>
      <c r="M391" s="116">
        <v>6.85</v>
      </c>
      <c r="N391" s="116">
        <v>7</v>
      </c>
      <c r="O391" s="116">
        <v>6.75</v>
      </c>
      <c r="P391" s="116">
        <v>6.8</v>
      </c>
      <c r="Q391" s="116">
        <v>6.85</v>
      </c>
      <c r="R391">
        <v>1126707</v>
      </c>
    </row>
    <row r="392" spans="1:18" x14ac:dyDescent="0.25">
      <c r="A392" s="170">
        <v>42578</v>
      </c>
      <c r="B392" s="116">
        <v>7.11</v>
      </c>
      <c r="C392" s="116">
        <v>6.83</v>
      </c>
      <c r="D392" s="116">
        <v>6.75</v>
      </c>
      <c r="E392" s="116">
        <v>6.8</v>
      </c>
      <c r="F392" s="116">
        <v>6.83</v>
      </c>
      <c r="G392">
        <v>372781</v>
      </c>
      <c r="H392" s="116"/>
      <c r="I392" s="116"/>
      <c r="L392" s="170">
        <v>42578</v>
      </c>
      <c r="M392" s="116">
        <v>6.8</v>
      </c>
      <c r="N392" s="116">
        <v>7.15</v>
      </c>
      <c r="O392" s="116">
        <v>6.75</v>
      </c>
      <c r="P392" s="116">
        <v>6.9</v>
      </c>
      <c r="Q392" s="116">
        <v>6.8</v>
      </c>
      <c r="R392">
        <v>1611778</v>
      </c>
    </row>
    <row r="393" spans="1:18" x14ac:dyDescent="0.25">
      <c r="A393" s="170">
        <v>42579</v>
      </c>
      <c r="B393" s="116">
        <v>7.05</v>
      </c>
      <c r="C393" s="116">
        <v>6.88</v>
      </c>
      <c r="D393" s="116">
        <v>6.78</v>
      </c>
      <c r="E393" s="116">
        <v>6.78</v>
      </c>
      <c r="F393" s="116">
        <v>6.88</v>
      </c>
      <c r="G393">
        <v>237076</v>
      </c>
      <c r="H393" s="116"/>
      <c r="I393" s="116"/>
      <c r="L393" s="170">
        <v>42579</v>
      </c>
      <c r="M393" s="116">
        <v>6.85</v>
      </c>
      <c r="N393" s="116">
        <v>7.1</v>
      </c>
      <c r="O393" s="116">
        <v>6.85</v>
      </c>
      <c r="P393" s="116">
        <v>6.85</v>
      </c>
      <c r="Q393" s="116">
        <v>6.85</v>
      </c>
      <c r="R393">
        <v>1259648</v>
      </c>
    </row>
    <row r="394" spans="1:18" x14ac:dyDescent="0.25">
      <c r="A394" s="170">
        <v>42580</v>
      </c>
      <c r="B394" s="116">
        <v>6.95</v>
      </c>
      <c r="C394" s="116">
        <v>6.82</v>
      </c>
      <c r="D394" s="116">
        <v>6.8</v>
      </c>
      <c r="E394" s="116">
        <v>6.87</v>
      </c>
      <c r="F394" s="116">
        <v>6.82</v>
      </c>
      <c r="G394">
        <v>225834</v>
      </c>
      <c r="H394" s="116"/>
      <c r="I394" s="116"/>
      <c r="L394" s="170">
        <v>42580</v>
      </c>
      <c r="M394" s="116">
        <v>6.8</v>
      </c>
      <c r="N394" s="116">
        <v>6.95</v>
      </c>
      <c r="O394" s="116">
        <v>6.8</v>
      </c>
      <c r="P394" s="116">
        <v>6.9</v>
      </c>
      <c r="Q394" s="116">
        <v>6.8</v>
      </c>
      <c r="R394">
        <v>863466</v>
      </c>
    </row>
    <row r="395" spans="1:18" x14ac:dyDescent="0.25">
      <c r="A395" s="170">
        <v>42583</v>
      </c>
      <c r="B395" s="116">
        <v>7.08</v>
      </c>
      <c r="C395" s="116">
        <v>6.64</v>
      </c>
      <c r="D395" s="116">
        <v>6.6</v>
      </c>
      <c r="E395" s="116">
        <v>7</v>
      </c>
      <c r="F395" s="116">
        <v>6.64</v>
      </c>
      <c r="G395">
        <v>530845</v>
      </c>
      <c r="H395" s="116"/>
      <c r="I395" s="116"/>
      <c r="L395" s="170">
        <v>42583</v>
      </c>
      <c r="M395" s="116">
        <v>6.65</v>
      </c>
      <c r="N395" s="116">
        <v>7.1</v>
      </c>
      <c r="O395" s="116">
        <v>6.6</v>
      </c>
      <c r="P395" s="116">
        <v>6.85</v>
      </c>
      <c r="Q395" s="116">
        <v>6.65</v>
      </c>
      <c r="R395">
        <v>2083814</v>
      </c>
    </row>
    <row r="396" spans="1:18" x14ac:dyDescent="0.25">
      <c r="A396" s="170">
        <v>42584</v>
      </c>
      <c r="B396" s="116">
        <v>6.9</v>
      </c>
      <c r="C396" s="116">
        <v>6.68</v>
      </c>
      <c r="D396" s="116">
        <v>6.65</v>
      </c>
      <c r="E396" s="116">
        <v>6.65</v>
      </c>
      <c r="F396" s="116">
        <v>6.68</v>
      </c>
      <c r="G396">
        <v>357744</v>
      </c>
      <c r="H396" s="116"/>
      <c r="I396" s="116"/>
      <c r="L396" s="170">
        <v>42584</v>
      </c>
      <c r="M396" s="116">
        <v>6.65</v>
      </c>
      <c r="N396" s="116">
        <v>6.95</v>
      </c>
      <c r="O396" s="116">
        <v>6.65</v>
      </c>
      <c r="P396" s="116">
        <v>6.7</v>
      </c>
      <c r="Q396" s="116">
        <v>6.65</v>
      </c>
      <c r="R396">
        <v>1715791</v>
      </c>
    </row>
    <row r="397" spans="1:18" x14ac:dyDescent="0.25">
      <c r="A397" s="170">
        <v>42585</v>
      </c>
      <c r="B397" s="116">
        <v>6.77</v>
      </c>
      <c r="C397" s="116">
        <v>6.61</v>
      </c>
      <c r="D397" s="116">
        <v>6.5</v>
      </c>
      <c r="E397" s="116">
        <v>6.77</v>
      </c>
      <c r="F397" s="116">
        <v>6.61</v>
      </c>
      <c r="G397">
        <v>318638</v>
      </c>
      <c r="H397" s="116"/>
      <c r="I397" s="116"/>
      <c r="L397" s="170">
        <v>42585</v>
      </c>
      <c r="M397" s="116">
        <v>6.6</v>
      </c>
      <c r="N397" s="116">
        <v>6.7</v>
      </c>
      <c r="O397" s="116">
        <v>6.5</v>
      </c>
      <c r="P397" s="116">
        <v>6.7</v>
      </c>
      <c r="Q397" s="116">
        <v>6.6</v>
      </c>
      <c r="R397">
        <v>1105784</v>
      </c>
    </row>
    <row r="398" spans="1:18" x14ac:dyDescent="0.25">
      <c r="A398" s="170">
        <v>42586</v>
      </c>
      <c r="B398" s="116">
        <v>6.63</v>
      </c>
      <c r="C398" s="116">
        <v>6.57</v>
      </c>
      <c r="D398" s="116">
        <v>6.51</v>
      </c>
      <c r="E398" s="116">
        <v>6.63</v>
      </c>
      <c r="F398" s="116">
        <v>6.57</v>
      </c>
      <c r="G398">
        <v>156569</v>
      </c>
      <c r="H398" s="116"/>
      <c r="I398" s="116"/>
      <c r="L398" s="170">
        <v>42586</v>
      </c>
      <c r="M398" s="116">
        <v>6.55</v>
      </c>
      <c r="N398" s="116">
        <v>6.7</v>
      </c>
      <c r="O398" s="116">
        <v>6.5</v>
      </c>
      <c r="P398" s="116">
        <v>6.7</v>
      </c>
      <c r="Q398" s="116">
        <v>6.55</v>
      </c>
      <c r="R398">
        <v>913844</v>
      </c>
    </row>
    <row r="399" spans="1:18" x14ac:dyDescent="0.25">
      <c r="A399" s="170">
        <v>42587</v>
      </c>
      <c r="B399" s="116">
        <v>6.78</v>
      </c>
      <c r="C399" s="116">
        <v>6.49</v>
      </c>
      <c r="D399" s="116">
        <v>6.45</v>
      </c>
      <c r="E399" s="116">
        <v>6.78</v>
      </c>
      <c r="F399" s="116">
        <v>6.49</v>
      </c>
      <c r="G399">
        <v>250953</v>
      </c>
      <c r="H399" s="116"/>
      <c r="I399" s="116"/>
      <c r="L399" s="170">
        <v>42587</v>
      </c>
      <c r="M399" s="116">
        <v>6.45</v>
      </c>
      <c r="N399" s="116">
        <v>6.7</v>
      </c>
      <c r="O399" s="116">
        <v>6.4</v>
      </c>
      <c r="P399" s="116">
        <v>6.6</v>
      </c>
      <c r="Q399" s="116">
        <v>6.45</v>
      </c>
      <c r="R399">
        <v>1163556</v>
      </c>
    </row>
    <row r="400" spans="1:18" x14ac:dyDescent="0.25">
      <c r="A400" s="170">
        <v>42590</v>
      </c>
      <c r="B400" s="116">
        <v>6.65</v>
      </c>
      <c r="C400" s="116">
        <v>6.46</v>
      </c>
      <c r="D400" s="116">
        <v>6.43</v>
      </c>
      <c r="E400" s="116">
        <v>6.65</v>
      </c>
      <c r="F400" s="116">
        <v>6.46</v>
      </c>
      <c r="G400">
        <v>260274</v>
      </c>
      <c r="H400" s="116"/>
      <c r="I400" s="116"/>
      <c r="L400" s="170">
        <v>42590</v>
      </c>
      <c r="M400" s="116">
        <v>6.4</v>
      </c>
      <c r="N400" s="116">
        <v>6.6</v>
      </c>
      <c r="O400" s="116">
        <v>6.35</v>
      </c>
      <c r="P400" s="116">
        <v>6.55</v>
      </c>
      <c r="Q400" s="116">
        <v>6.4</v>
      </c>
      <c r="R400">
        <v>855689</v>
      </c>
    </row>
    <row r="401" spans="1:18" x14ac:dyDescent="0.25">
      <c r="A401" s="170">
        <v>42591</v>
      </c>
      <c r="B401" s="116">
        <v>6.49</v>
      </c>
      <c r="C401" s="116">
        <v>6.38</v>
      </c>
      <c r="D401" s="116">
        <v>6.3</v>
      </c>
      <c r="E401" s="116">
        <v>6.41</v>
      </c>
      <c r="F401" s="116">
        <v>6.38</v>
      </c>
      <c r="G401">
        <v>337820</v>
      </c>
      <c r="H401" s="116"/>
      <c r="I401" s="116"/>
      <c r="L401" s="170">
        <v>42591</v>
      </c>
      <c r="M401" s="116">
        <v>6.35</v>
      </c>
      <c r="N401" s="116">
        <v>6.45</v>
      </c>
      <c r="O401" s="116">
        <v>6.3</v>
      </c>
      <c r="P401" s="116">
        <v>6.45</v>
      </c>
      <c r="Q401" s="116">
        <v>6.35</v>
      </c>
      <c r="R401">
        <v>1144779</v>
      </c>
    </row>
    <row r="402" spans="1:18" x14ac:dyDescent="0.25">
      <c r="A402" s="170">
        <v>42592</v>
      </c>
      <c r="B402" s="116">
        <v>6.58</v>
      </c>
      <c r="C402" s="116">
        <v>6.46</v>
      </c>
      <c r="D402" s="116">
        <v>6.35</v>
      </c>
      <c r="E402" s="116">
        <v>6.38</v>
      </c>
      <c r="F402" s="116">
        <v>6.46</v>
      </c>
      <c r="G402">
        <v>398438</v>
      </c>
      <c r="H402" s="116"/>
      <c r="I402" s="116"/>
      <c r="L402" s="170">
        <v>42592</v>
      </c>
      <c r="M402" s="116">
        <v>6.45</v>
      </c>
      <c r="N402" s="116">
        <v>6.6</v>
      </c>
      <c r="O402" s="116">
        <v>6.3</v>
      </c>
      <c r="P402" s="116">
        <v>6.4</v>
      </c>
      <c r="Q402" s="116">
        <v>6.45</v>
      </c>
      <c r="R402">
        <v>1168995</v>
      </c>
    </row>
    <row r="403" spans="1:18" x14ac:dyDescent="0.25">
      <c r="A403" s="170">
        <v>42593</v>
      </c>
      <c r="B403" s="116">
        <v>6.7</v>
      </c>
      <c r="C403" s="116">
        <v>6.4</v>
      </c>
      <c r="D403" s="116">
        <v>6.35</v>
      </c>
      <c r="E403" s="116">
        <v>6.7</v>
      </c>
      <c r="F403" s="116">
        <v>6.4</v>
      </c>
      <c r="G403">
        <v>146857</v>
      </c>
      <c r="H403" s="116"/>
      <c r="I403" s="116"/>
      <c r="L403" s="170">
        <v>42593</v>
      </c>
      <c r="M403" s="116">
        <v>6.4</v>
      </c>
      <c r="N403" s="116">
        <v>6.6</v>
      </c>
      <c r="O403" s="116">
        <v>6.35</v>
      </c>
      <c r="P403" s="116">
        <v>6.45</v>
      </c>
      <c r="Q403" s="116">
        <v>6.4</v>
      </c>
      <c r="R403">
        <v>964189</v>
      </c>
    </row>
    <row r="404" spans="1:18" x14ac:dyDescent="0.25">
      <c r="A404" s="170">
        <v>42594</v>
      </c>
      <c r="B404" s="116">
        <v>6.74</v>
      </c>
      <c r="C404" s="116">
        <v>6.34</v>
      </c>
      <c r="D404" s="116">
        <v>6.25</v>
      </c>
      <c r="E404" s="116">
        <v>6.3</v>
      </c>
      <c r="F404" s="116">
        <v>6.34</v>
      </c>
      <c r="G404">
        <v>206482</v>
      </c>
      <c r="H404" s="116"/>
      <c r="I404" s="116"/>
      <c r="L404" s="170">
        <v>42594</v>
      </c>
      <c r="M404" s="116">
        <v>6.35</v>
      </c>
      <c r="N404" s="116">
        <v>6.5</v>
      </c>
      <c r="O404" s="116">
        <v>6.3</v>
      </c>
      <c r="P404" s="116">
        <v>6.45</v>
      </c>
      <c r="Q404" s="116">
        <v>6.35</v>
      </c>
      <c r="R404">
        <v>1006311</v>
      </c>
    </row>
    <row r="405" spans="1:18" x14ac:dyDescent="0.25">
      <c r="A405" s="170">
        <v>42598</v>
      </c>
      <c r="B405" s="116">
        <v>6.37</v>
      </c>
      <c r="C405" s="116">
        <v>6.3</v>
      </c>
      <c r="D405" s="116">
        <v>6.26</v>
      </c>
      <c r="E405" s="116">
        <v>6.31</v>
      </c>
      <c r="F405" s="116">
        <v>6.3</v>
      </c>
      <c r="G405">
        <v>140017</v>
      </c>
      <c r="H405" s="116"/>
      <c r="I405" s="116"/>
      <c r="L405" s="170">
        <v>42598</v>
      </c>
      <c r="M405" s="116">
        <v>6.3</v>
      </c>
      <c r="N405" s="116">
        <v>6.4</v>
      </c>
      <c r="O405" s="116">
        <v>6.25</v>
      </c>
      <c r="P405" s="116">
        <v>6.35</v>
      </c>
      <c r="Q405" s="116">
        <v>6.3</v>
      </c>
      <c r="R405">
        <v>407258</v>
      </c>
    </row>
    <row r="406" spans="1:18" x14ac:dyDescent="0.25">
      <c r="A406" s="170">
        <v>42599</v>
      </c>
      <c r="B406" s="116">
        <v>6.65</v>
      </c>
      <c r="C406" s="116">
        <v>6.33</v>
      </c>
      <c r="D406" s="116">
        <v>6.22</v>
      </c>
      <c r="E406" s="116">
        <v>6.65</v>
      </c>
      <c r="F406" s="116">
        <v>6.33</v>
      </c>
      <c r="G406">
        <v>157275</v>
      </c>
      <c r="H406" s="116"/>
      <c r="I406" s="116"/>
      <c r="L406" s="170">
        <v>42599</v>
      </c>
      <c r="M406" s="116">
        <v>6.35</v>
      </c>
      <c r="N406" s="116">
        <v>6.5</v>
      </c>
      <c r="O406" s="116">
        <v>6.25</v>
      </c>
      <c r="P406" s="116">
        <v>6.35</v>
      </c>
      <c r="Q406" s="116">
        <v>6.35</v>
      </c>
      <c r="R406">
        <v>464869</v>
      </c>
    </row>
    <row r="407" spans="1:18" x14ac:dyDescent="0.25">
      <c r="A407" s="170">
        <v>42600</v>
      </c>
      <c r="B407" s="116">
        <v>6.42</v>
      </c>
      <c r="C407" s="116">
        <v>6.31</v>
      </c>
      <c r="D407" s="116">
        <v>6.29</v>
      </c>
      <c r="E407" s="116">
        <v>6.35</v>
      </c>
      <c r="F407" s="116">
        <v>6.31</v>
      </c>
      <c r="G407">
        <v>231013</v>
      </c>
      <c r="H407" s="116"/>
      <c r="I407" s="116"/>
      <c r="L407" s="170">
        <v>42600</v>
      </c>
      <c r="M407" s="116">
        <v>6.3</v>
      </c>
      <c r="N407" s="116">
        <v>6.45</v>
      </c>
      <c r="O407" s="116">
        <v>6.3</v>
      </c>
      <c r="P407" s="116">
        <v>6.4</v>
      </c>
      <c r="Q407" s="116">
        <v>6.3</v>
      </c>
      <c r="R407">
        <v>725551</v>
      </c>
    </row>
    <row r="408" spans="1:18" x14ac:dyDescent="0.25">
      <c r="A408" s="170">
        <v>42601</v>
      </c>
      <c r="B408" s="116">
        <v>6.6</v>
      </c>
      <c r="C408" s="116">
        <v>6.48</v>
      </c>
      <c r="D408" s="116">
        <v>6.31</v>
      </c>
      <c r="E408" s="116">
        <v>6.4</v>
      </c>
      <c r="F408" s="116">
        <v>6.48</v>
      </c>
      <c r="G408">
        <v>324359</v>
      </c>
      <c r="H408" s="116"/>
      <c r="I408" s="116"/>
      <c r="L408" s="170">
        <v>42601</v>
      </c>
      <c r="M408" s="116">
        <v>6.45</v>
      </c>
      <c r="N408" s="116">
        <v>6.6</v>
      </c>
      <c r="O408" s="116">
        <v>6.35</v>
      </c>
      <c r="P408" s="116">
        <v>6.4</v>
      </c>
      <c r="Q408" s="116">
        <v>6.45</v>
      </c>
      <c r="R408">
        <v>1106697</v>
      </c>
    </row>
    <row r="409" spans="1:18" x14ac:dyDescent="0.25">
      <c r="A409" s="170">
        <v>42604</v>
      </c>
      <c r="B409" s="116">
        <v>6.5</v>
      </c>
      <c r="C409" s="116">
        <v>6.42</v>
      </c>
      <c r="D409" s="116">
        <v>6.36</v>
      </c>
      <c r="E409" s="116">
        <v>6.45</v>
      </c>
      <c r="F409" s="116">
        <v>6.42</v>
      </c>
      <c r="G409">
        <v>133000</v>
      </c>
      <c r="H409" s="116"/>
      <c r="I409" s="116"/>
      <c r="L409" s="170">
        <v>42604</v>
      </c>
      <c r="M409" s="116">
        <v>6.45</v>
      </c>
      <c r="N409" s="116">
        <v>6.55</v>
      </c>
      <c r="O409" s="116">
        <v>6.35</v>
      </c>
      <c r="P409" s="116">
        <v>6.5</v>
      </c>
      <c r="Q409" s="116">
        <v>6.45</v>
      </c>
      <c r="R409">
        <v>592834</v>
      </c>
    </row>
    <row r="410" spans="1:18" x14ac:dyDescent="0.25">
      <c r="A410" s="170">
        <v>42605</v>
      </c>
      <c r="B410" s="116">
        <v>6.47</v>
      </c>
      <c r="C410" s="116">
        <v>6.36</v>
      </c>
      <c r="D410" s="116">
        <v>6.25</v>
      </c>
      <c r="E410" s="116">
        <v>6.41</v>
      </c>
      <c r="F410" s="116">
        <v>6.36</v>
      </c>
      <c r="G410">
        <v>966244</v>
      </c>
      <c r="H410" s="116"/>
      <c r="I410" s="116"/>
      <c r="L410" s="170">
        <v>42605</v>
      </c>
      <c r="M410" s="116">
        <v>6.35</v>
      </c>
      <c r="N410" s="116">
        <v>6.5</v>
      </c>
      <c r="O410" s="116">
        <v>6.3</v>
      </c>
      <c r="P410" s="116">
        <v>6.5</v>
      </c>
      <c r="Q410" s="116">
        <v>6.35</v>
      </c>
      <c r="R410">
        <v>1059412</v>
      </c>
    </row>
    <row r="411" spans="1:18" x14ac:dyDescent="0.25">
      <c r="A411" s="170">
        <v>42606</v>
      </c>
      <c r="B411" s="116">
        <v>6.47</v>
      </c>
      <c r="C411" s="116">
        <v>6.42</v>
      </c>
      <c r="D411" s="116">
        <v>6.34</v>
      </c>
      <c r="E411" s="116">
        <v>6.36</v>
      </c>
      <c r="F411" s="116">
        <v>6.42</v>
      </c>
      <c r="G411">
        <v>113549</v>
      </c>
      <c r="H411" s="116"/>
      <c r="I411" s="116"/>
      <c r="L411" s="170">
        <v>42606</v>
      </c>
      <c r="M411" s="116">
        <v>6.45</v>
      </c>
      <c r="N411" s="116">
        <v>6.5</v>
      </c>
      <c r="O411" s="116">
        <v>6.35</v>
      </c>
      <c r="P411" s="116">
        <v>6.4</v>
      </c>
      <c r="Q411" s="116">
        <v>6.45</v>
      </c>
      <c r="R411">
        <v>635056</v>
      </c>
    </row>
    <row r="412" spans="1:18" x14ac:dyDescent="0.25">
      <c r="A412" s="170">
        <v>42607</v>
      </c>
      <c r="B412" s="116">
        <v>6.95</v>
      </c>
      <c r="C412" s="116">
        <v>6.57</v>
      </c>
      <c r="D412" s="116">
        <v>6.35</v>
      </c>
      <c r="E412" s="116">
        <v>6.47</v>
      </c>
      <c r="F412" s="116">
        <v>6.57</v>
      </c>
      <c r="G412">
        <v>827357</v>
      </c>
      <c r="H412" s="116"/>
      <c r="I412" s="116"/>
      <c r="L412" s="170">
        <v>42607</v>
      </c>
      <c r="M412" s="116">
        <v>6.55</v>
      </c>
      <c r="N412" s="116">
        <v>6.95</v>
      </c>
      <c r="O412" s="116">
        <v>6.35</v>
      </c>
      <c r="P412" s="116">
        <v>6.5</v>
      </c>
      <c r="Q412" s="116">
        <v>6.55</v>
      </c>
      <c r="R412">
        <v>4317545</v>
      </c>
    </row>
    <row r="413" spans="1:18" x14ac:dyDescent="0.25">
      <c r="A413" s="170">
        <v>42608</v>
      </c>
      <c r="B413" s="116">
        <v>6.75</v>
      </c>
      <c r="C413" s="116">
        <v>6.58</v>
      </c>
      <c r="D413" s="116">
        <v>6.5</v>
      </c>
      <c r="E413" s="116">
        <v>6.66</v>
      </c>
      <c r="F413" s="116">
        <v>6.58</v>
      </c>
      <c r="G413">
        <v>334668</v>
      </c>
      <c r="H413" s="116"/>
      <c r="I413" s="116"/>
      <c r="L413" s="170">
        <v>42608</v>
      </c>
      <c r="M413" s="116">
        <v>6.6</v>
      </c>
      <c r="N413" s="116">
        <v>6.7</v>
      </c>
      <c r="O413" s="116">
        <v>6.5</v>
      </c>
      <c r="P413" s="116">
        <v>6.6</v>
      </c>
      <c r="Q413" s="116">
        <v>6.6</v>
      </c>
      <c r="R413">
        <v>1277287</v>
      </c>
    </row>
    <row r="414" spans="1:18" x14ac:dyDescent="0.25">
      <c r="A414" s="170">
        <v>42611</v>
      </c>
      <c r="B414" s="116">
        <v>6.59</v>
      </c>
      <c r="C414" s="116">
        <v>6.46</v>
      </c>
      <c r="D414" s="116">
        <v>6.42</v>
      </c>
      <c r="E414" s="116">
        <v>6.55</v>
      </c>
      <c r="F414" s="116">
        <v>6.46</v>
      </c>
      <c r="G414">
        <v>129396</v>
      </c>
      <c r="H414" s="116"/>
      <c r="I414" s="116"/>
      <c r="L414" s="170">
        <v>42611</v>
      </c>
      <c r="M414" s="116">
        <v>6.4</v>
      </c>
      <c r="N414" s="116">
        <v>6.65</v>
      </c>
      <c r="O414" s="116">
        <v>6.4</v>
      </c>
      <c r="P414" s="116">
        <v>6.65</v>
      </c>
      <c r="Q414" s="116">
        <v>6.4</v>
      </c>
      <c r="R414">
        <v>396153</v>
      </c>
    </row>
    <row r="415" spans="1:18" x14ac:dyDescent="0.25">
      <c r="A415" s="170">
        <v>42612</v>
      </c>
      <c r="B415" s="116">
        <v>6.52</v>
      </c>
      <c r="C415" s="116">
        <v>6.4</v>
      </c>
      <c r="D415" s="116">
        <v>6.37</v>
      </c>
      <c r="E415" s="116">
        <v>6.42</v>
      </c>
      <c r="F415" s="116">
        <v>6.4</v>
      </c>
      <c r="G415">
        <v>441125</v>
      </c>
      <c r="H415" s="116"/>
      <c r="I415" s="116"/>
      <c r="L415" s="170">
        <v>42612</v>
      </c>
      <c r="M415" s="116">
        <v>6.4</v>
      </c>
      <c r="N415" s="116">
        <v>6.5</v>
      </c>
      <c r="O415" s="116">
        <v>6.35</v>
      </c>
      <c r="P415" s="116">
        <v>6.45</v>
      </c>
      <c r="Q415" s="116">
        <v>6.4</v>
      </c>
      <c r="R415">
        <v>1017819</v>
      </c>
    </row>
    <row r="416" spans="1:18" x14ac:dyDescent="0.25">
      <c r="A416" s="170">
        <v>42613</v>
      </c>
      <c r="B416" s="116">
        <v>6.55</v>
      </c>
      <c r="C416" s="116">
        <v>6.37</v>
      </c>
      <c r="D416" s="116">
        <v>6.35</v>
      </c>
      <c r="E416" s="116">
        <v>6.4</v>
      </c>
      <c r="F416" s="116">
        <v>6.37</v>
      </c>
      <c r="G416">
        <v>253702</v>
      </c>
      <c r="H416" s="116"/>
      <c r="I416" s="116"/>
      <c r="L416" s="170">
        <v>42613</v>
      </c>
      <c r="M416" s="116">
        <v>6.35</v>
      </c>
      <c r="N416" s="116">
        <v>6.5</v>
      </c>
      <c r="O416" s="116">
        <v>6.35</v>
      </c>
      <c r="P416" s="116">
        <v>6.4</v>
      </c>
      <c r="Q416" s="116">
        <v>6.35</v>
      </c>
      <c r="R416">
        <v>851665</v>
      </c>
    </row>
    <row r="417" spans="1:18" x14ac:dyDescent="0.25">
      <c r="A417" s="170">
        <v>42614</v>
      </c>
      <c r="B417" s="116">
        <v>6.49</v>
      </c>
      <c r="C417" s="116">
        <v>6.19</v>
      </c>
      <c r="D417" s="116">
        <v>6.14</v>
      </c>
      <c r="E417" s="116">
        <v>6.49</v>
      </c>
      <c r="F417" s="116">
        <v>6.19</v>
      </c>
      <c r="G417">
        <v>507493</v>
      </c>
      <c r="H417" s="116"/>
      <c r="I417" s="116"/>
      <c r="L417" s="170">
        <v>42614</v>
      </c>
      <c r="M417" s="116">
        <v>6.2</v>
      </c>
      <c r="N417" s="116">
        <v>6.45</v>
      </c>
      <c r="O417" s="116">
        <v>6.15</v>
      </c>
      <c r="P417" s="116">
        <v>6.4</v>
      </c>
      <c r="Q417" s="116">
        <v>6.2</v>
      </c>
      <c r="R417">
        <v>1891215</v>
      </c>
    </row>
    <row r="418" spans="1:18" x14ac:dyDescent="0.25">
      <c r="A418" s="170">
        <v>42615</v>
      </c>
      <c r="B418" s="116">
        <v>6.24</v>
      </c>
      <c r="C418" s="116">
        <v>6.13</v>
      </c>
      <c r="D418" s="116">
        <v>6.05</v>
      </c>
      <c r="E418" s="116">
        <v>6.2</v>
      </c>
      <c r="F418" s="116">
        <v>6.13</v>
      </c>
      <c r="G418">
        <v>441528</v>
      </c>
      <c r="H418" s="116"/>
      <c r="I418" s="116"/>
      <c r="L418" s="170">
        <v>42615</v>
      </c>
      <c r="M418" s="116">
        <v>6.15</v>
      </c>
      <c r="N418" s="116">
        <v>6.25</v>
      </c>
      <c r="O418" s="116">
        <v>6.05</v>
      </c>
      <c r="P418" s="116">
        <v>6.2</v>
      </c>
      <c r="Q418" s="116">
        <v>6.15</v>
      </c>
      <c r="R418">
        <v>1082011</v>
      </c>
    </row>
    <row r="419" spans="1:18" x14ac:dyDescent="0.25">
      <c r="A419" s="170">
        <v>42619</v>
      </c>
      <c r="B419" s="116">
        <v>6.18</v>
      </c>
      <c r="C419" s="116">
        <v>5.97</v>
      </c>
      <c r="D419" s="116">
        <v>5.95</v>
      </c>
      <c r="E419" s="116">
        <v>6.13</v>
      </c>
      <c r="F419" s="116">
        <v>5.97</v>
      </c>
      <c r="G419">
        <v>480303</v>
      </c>
      <c r="H419" s="116"/>
      <c r="I419" s="116"/>
      <c r="L419" s="170">
        <v>42619</v>
      </c>
      <c r="M419" s="116">
        <v>5.95</v>
      </c>
      <c r="N419" s="116">
        <v>6.2</v>
      </c>
      <c r="O419" s="116">
        <v>5.9</v>
      </c>
      <c r="P419" s="116">
        <v>6.1</v>
      </c>
      <c r="Q419" s="116">
        <v>5.95</v>
      </c>
      <c r="R419">
        <v>1576432</v>
      </c>
    </row>
    <row r="420" spans="1:18" x14ac:dyDescent="0.25">
      <c r="A420" s="170">
        <v>42620</v>
      </c>
      <c r="B420" s="116">
        <v>6.03</v>
      </c>
      <c r="C420" s="116">
        <v>5.98</v>
      </c>
      <c r="D420" s="116">
        <v>5.92</v>
      </c>
      <c r="E420" s="116">
        <v>6.03</v>
      </c>
      <c r="F420" s="116">
        <v>5.98</v>
      </c>
      <c r="G420">
        <v>351688</v>
      </c>
      <c r="H420" s="116"/>
      <c r="I420" s="116"/>
      <c r="L420" s="170">
        <v>42620</v>
      </c>
      <c r="M420" s="116">
        <v>5.95</v>
      </c>
      <c r="N420" s="116">
        <v>6.05</v>
      </c>
      <c r="O420" s="116">
        <v>5.9</v>
      </c>
      <c r="P420" s="116">
        <v>6</v>
      </c>
      <c r="Q420" s="116">
        <v>5.95</v>
      </c>
      <c r="R420">
        <v>904202</v>
      </c>
    </row>
    <row r="421" spans="1:18" x14ac:dyDescent="0.25">
      <c r="A421" s="170">
        <v>42621</v>
      </c>
      <c r="B421" s="116">
        <v>6.09</v>
      </c>
      <c r="C421" s="116">
        <v>5.92</v>
      </c>
      <c r="D421" s="116">
        <v>5.87</v>
      </c>
      <c r="E421" s="116">
        <v>6</v>
      </c>
      <c r="F421" s="116">
        <v>5.92</v>
      </c>
      <c r="G421">
        <v>560811</v>
      </c>
      <c r="H421" s="116"/>
      <c r="I421" s="116"/>
      <c r="L421" s="170">
        <v>42621</v>
      </c>
      <c r="M421" s="116">
        <v>5.85</v>
      </c>
      <c r="N421" s="116">
        <v>6.05</v>
      </c>
      <c r="O421" s="116">
        <v>5.8</v>
      </c>
      <c r="P421" s="116">
        <v>6</v>
      </c>
      <c r="Q421" s="116">
        <v>5.85</v>
      </c>
      <c r="R421">
        <v>1973715</v>
      </c>
    </row>
    <row r="422" spans="1:18" x14ac:dyDescent="0.25">
      <c r="A422" s="170">
        <v>42622</v>
      </c>
      <c r="B422" s="116">
        <v>6.15</v>
      </c>
      <c r="C422" s="116">
        <v>6.07</v>
      </c>
      <c r="D422" s="116">
        <v>5.86</v>
      </c>
      <c r="E422" s="116">
        <v>5.94</v>
      </c>
      <c r="F422" s="116">
        <v>6.07</v>
      </c>
      <c r="G422">
        <v>400504</v>
      </c>
      <c r="H422" s="116"/>
      <c r="I422" s="116"/>
      <c r="L422" s="170">
        <v>42622</v>
      </c>
      <c r="M422" s="116">
        <v>6.1</v>
      </c>
      <c r="N422" s="116">
        <v>6.15</v>
      </c>
      <c r="O422" s="116">
        <v>5.85</v>
      </c>
      <c r="P422" s="116">
        <v>5.9</v>
      </c>
      <c r="Q422" s="116">
        <v>6.1</v>
      </c>
      <c r="R422">
        <v>1478028</v>
      </c>
    </row>
    <row r="423" spans="1:18" x14ac:dyDescent="0.25">
      <c r="A423" s="170">
        <v>42625</v>
      </c>
      <c r="B423" s="116">
        <v>6.06</v>
      </c>
      <c r="C423" s="116">
        <v>5.93</v>
      </c>
      <c r="D423" s="116">
        <v>5.91</v>
      </c>
      <c r="E423" s="116">
        <v>6</v>
      </c>
      <c r="F423" s="116">
        <v>5.93</v>
      </c>
      <c r="G423">
        <v>211653</v>
      </c>
      <c r="H423" s="116"/>
      <c r="I423" s="116"/>
      <c r="L423" s="170">
        <v>42625</v>
      </c>
      <c r="M423" s="116">
        <v>5.95</v>
      </c>
      <c r="N423" s="116">
        <v>6.05</v>
      </c>
      <c r="O423" s="116">
        <v>5.9</v>
      </c>
      <c r="P423" s="116">
        <v>6.05</v>
      </c>
      <c r="Q423" s="116">
        <v>5.95</v>
      </c>
      <c r="R423">
        <v>764542</v>
      </c>
    </row>
    <row r="424" spans="1:18" x14ac:dyDescent="0.25">
      <c r="A424" s="170">
        <v>42627</v>
      </c>
      <c r="B424" s="116">
        <v>6.3</v>
      </c>
      <c r="C424" s="116">
        <v>5.95</v>
      </c>
      <c r="D424" s="116">
        <v>5.93</v>
      </c>
      <c r="E424" s="116">
        <v>6.3</v>
      </c>
      <c r="F424" s="116">
        <v>5.95</v>
      </c>
      <c r="G424">
        <v>166513</v>
      </c>
      <c r="H424" s="116"/>
      <c r="I424" s="116"/>
      <c r="L424" s="170">
        <v>42627</v>
      </c>
      <c r="M424" s="116">
        <v>5.95</v>
      </c>
      <c r="N424" s="116">
        <v>6</v>
      </c>
      <c r="O424" s="116">
        <v>5.9</v>
      </c>
      <c r="P424" s="116">
        <v>6</v>
      </c>
      <c r="Q424" s="116">
        <v>5.95</v>
      </c>
      <c r="R424">
        <v>517718</v>
      </c>
    </row>
    <row r="425" spans="1:18" x14ac:dyDescent="0.25">
      <c r="A425" s="170">
        <v>42628</v>
      </c>
      <c r="B425" s="116">
        <v>6.11</v>
      </c>
      <c r="C425" s="116">
        <v>5.98</v>
      </c>
      <c r="D425" s="116">
        <v>5.95</v>
      </c>
      <c r="E425" s="116">
        <v>6</v>
      </c>
      <c r="F425" s="116">
        <v>5.98</v>
      </c>
      <c r="G425">
        <v>221498</v>
      </c>
      <c r="H425" s="116"/>
      <c r="I425" s="116"/>
      <c r="L425" s="170">
        <v>42628</v>
      </c>
      <c r="M425" s="116">
        <v>5.95</v>
      </c>
      <c r="N425" s="116">
        <v>6.1</v>
      </c>
      <c r="O425" s="116">
        <v>5.95</v>
      </c>
      <c r="P425" s="116">
        <v>6</v>
      </c>
      <c r="Q425" s="116">
        <v>5.95</v>
      </c>
      <c r="R425">
        <v>664816</v>
      </c>
    </row>
    <row r="426" spans="1:18" x14ac:dyDescent="0.25">
      <c r="A426" s="170">
        <v>42629</v>
      </c>
      <c r="B426" s="116">
        <v>6.08</v>
      </c>
      <c r="C426" s="116">
        <v>5.89</v>
      </c>
      <c r="D426" s="116">
        <v>5.86</v>
      </c>
      <c r="E426" s="116">
        <v>6.03</v>
      </c>
      <c r="F426" s="116">
        <v>5.89</v>
      </c>
      <c r="G426">
        <v>187341</v>
      </c>
      <c r="H426" s="116"/>
      <c r="I426" s="116"/>
      <c r="L426" s="170">
        <v>42629</v>
      </c>
      <c r="M426" s="116">
        <v>5.9</v>
      </c>
      <c r="N426" s="116">
        <v>6.1</v>
      </c>
      <c r="O426" s="116">
        <v>5.85</v>
      </c>
      <c r="P426" s="116">
        <v>6.05</v>
      </c>
      <c r="Q426" s="116">
        <v>5.9</v>
      </c>
      <c r="R426">
        <v>674570</v>
      </c>
    </row>
    <row r="427" spans="1:18" x14ac:dyDescent="0.25">
      <c r="A427" s="170">
        <v>42632</v>
      </c>
      <c r="B427" s="116">
        <v>6.01</v>
      </c>
      <c r="C427" s="116">
        <v>5.88</v>
      </c>
      <c r="D427" s="116">
        <v>5.87</v>
      </c>
      <c r="E427" s="116">
        <v>5.97</v>
      </c>
      <c r="F427" s="116">
        <v>5.88</v>
      </c>
      <c r="G427">
        <v>240786</v>
      </c>
      <c r="H427" s="116"/>
      <c r="I427" s="116"/>
      <c r="L427" s="170">
        <v>42632</v>
      </c>
      <c r="M427" s="116">
        <v>5.85</v>
      </c>
      <c r="N427" s="116">
        <v>6.05</v>
      </c>
      <c r="O427" s="116">
        <v>5.85</v>
      </c>
      <c r="P427" s="116">
        <v>5.9</v>
      </c>
      <c r="Q427" s="116">
        <v>5.85</v>
      </c>
      <c r="R427">
        <v>736109</v>
      </c>
    </row>
    <row r="428" spans="1:18" x14ac:dyDescent="0.25">
      <c r="A428" s="170">
        <v>42633</v>
      </c>
      <c r="B428" s="116">
        <v>5.94</v>
      </c>
      <c r="C428" s="116">
        <v>5.84</v>
      </c>
      <c r="D428" s="116">
        <v>5.82</v>
      </c>
      <c r="E428" s="116">
        <v>5.86</v>
      </c>
      <c r="F428" s="116">
        <v>5.84</v>
      </c>
      <c r="G428">
        <v>303841</v>
      </c>
      <c r="H428" s="116"/>
      <c r="I428" s="116"/>
      <c r="L428" s="170">
        <v>42633</v>
      </c>
      <c r="M428" s="116">
        <v>5.85</v>
      </c>
      <c r="N428" s="116">
        <v>5.95</v>
      </c>
      <c r="O428" s="116">
        <v>5.8</v>
      </c>
      <c r="P428" s="116">
        <v>5.85</v>
      </c>
      <c r="Q428" s="116">
        <v>5.85</v>
      </c>
      <c r="R428">
        <v>525694</v>
      </c>
    </row>
    <row r="429" spans="1:18" x14ac:dyDescent="0.25">
      <c r="A429" s="170">
        <v>42634</v>
      </c>
      <c r="B429" s="116">
        <v>5.96</v>
      </c>
      <c r="C429" s="116">
        <v>5.85</v>
      </c>
      <c r="D429" s="116">
        <v>5.84</v>
      </c>
      <c r="E429" s="116">
        <v>5.9</v>
      </c>
      <c r="F429" s="116">
        <v>5.85</v>
      </c>
      <c r="G429">
        <v>108389</v>
      </c>
      <c r="H429" s="116"/>
      <c r="I429" s="116"/>
      <c r="L429" s="170">
        <v>42634</v>
      </c>
      <c r="M429" s="116">
        <v>5.9</v>
      </c>
      <c r="N429" s="116">
        <v>5.95</v>
      </c>
      <c r="O429" s="116">
        <v>5.85</v>
      </c>
      <c r="P429" s="116">
        <v>5.85</v>
      </c>
      <c r="Q429" s="116">
        <v>5.9</v>
      </c>
      <c r="R429">
        <v>539977</v>
      </c>
    </row>
    <row r="430" spans="1:18" x14ac:dyDescent="0.25">
      <c r="A430" s="170">
        <v>42635</v>
      </c>
      <c r="B430" s="116">
        <v>5.96</v>
      </c>
      <c r="C430" s="116">
        <v>5.81</v>
      </c>
      <c r="D430" s="116">
        <v>5.77</v>
      </c>
      <c r="E430" s="116">
        <v>5.96</v>
      </c>
      <c r="F430" s="116">
        <v>5.81</v>
      </c>
      <c r="G430">
        <v>167090</v>
      </c>
      <c r="H430" s="116"/>
      <c r="I430" s="116"/>
      <c r="L430" s="170">
        <v>42635</v>
      </c>
      <c r="M430" s="116">
        <v>5.8</v>
      </c>
      <c r="N430" s="116">
        <v>6</v>
      </c>
      <c r="O430" s="116">
        <v>5.75</v>
      </c>
      <c r="P430" s="116">
        <v>5.9</v>
      </c>
      <c r="Q430" s="116">
        <v>5.8</v>
      </c>
      <c r="R430">
        <v>1172737</v>
      </c>
    </row>
    <row r="431" spans="1:18" x14ac:dyDescent="0.25">
      <c r="A431" s="170">
        <v>42636</v>
      </c>
      <c r="B431" s="116">
        <v>5.88</v>
      </c>
      <c r="C431" s="116">
        <v>5.79</v>
      </c>
      <c r="D431" s="116">
        <v>5.76</v>
      </c>
      <c r="E431" s="116">
        <v>5.78</v>
      </c>
      <c r="F431" s="116">
        <v>5.79</v>
      </c>
      <c r="G431">
        <v>220031</v>
      </c>
      <c r="H431" s="116"/>
      <c r="I431" s="116"/>
      <c r="L431" s="170">
        <v>42636</v>
      </c>
      <c r="M431" s="116">
        <v>5.8</v>
      </c>
      <c r="N431" s="116">
        <v>5.9</v>
      </c>
      <c r="O431" s="116">
        <v>5.75</v>
      </c>
      <c r="P431" s="116">
        <v>5.85</v>
      </c>
      <c r="Q431" s="116">
        <v>5.8</v>
      </c>
      <c r="R431">
        <v>756061</v>
      </c>
    </row>
    <row r="432" spans="1:18" x14ac:dyDescent="0.25">
      <c r="A432" s="170">
        <v>42639</v>
      </c>
      <c r="B432" s="116">
        <v>5.88</v>
      </c>
      <c r="C432" s="116">
        <v>5.77</v>
      </c>
      <c r="D432" s="116">
        <v>5.75</v>
      </c>
      <c r="E432" s="116">
        <v>5.76</v>
      </c>
      <c r="F432" s="116">
        <v>5.77</v>
      </c>
      <c r="G432">
        <v>205505</v>
      </c>
      <c r="H432" s="116"/>
      <c r="I432" s="116"/>
      <c r="L432" s="170">
        <v>42639</v>
      </c>
      <c r="M432" s="116">
        <v>5.8</v>
      </c>
      <c r="N432" s="116">
        <v>5.85</v>
      </c>
      <c r="O432" s="116">
        <v>5.75</v>
      </c>
      <c r="P432" s="116">
        <v>5.8</v>
      </c>
      <c r="Q432" s="116">
        <v>5.8</v>
      </c>
      <c r="R432">
        <v>566940</v>
      </c>
    </row>
    <row r="433" spans="1:18" x14ac:dyDescent="0.25">
      <c r="A433" s="170">
        <v>42640</v>
      </c>
      <c r="B433" s="116">
        <v>5.85</v>
      </c>
      <c r="C433" s="116">
        <v>5.75</v>
      </c>
      <c r="D433" s="116">
        <v>5.75</v>
      </c>
      <c r="E433" s="116">
        <v>5.75</v>
      </c>
      <c r="F433" s="116">
        <v>5.75</v>
      </c>
      <c r="G433">
        <v>119054</v>
      </c>
      <c r="H433" s="116"/>
      <c r="I433" s="116"/>
      <c r="L433" s="170">
        <v>42640</v>
      </c>
      <c r="M433" s="116">
        <v>5.75</v>
      </c>
      <c r="N433" s="116">
        <v>5.85</v>
      </c>
      <c r="O433" s="116">
        <v>5.75</v>
      </c>
      <c r="P433" s="116">
        <v>5.8</v>
      </c>
      <c r="Q433" s="116">
        <v>5.75</v>
      </c>
      <c r="R433">
        <v>552911</v>
      </c>
    </row>
    <row r="434" spans="1:18" x14ac:dyDescent="0.25">
      <c r="A434" s="170">
        <v>42641</v>
      </c>
      <c r="B434" s="116">
        <v>5.9</v>
      </c>
      <c r="C434" s="116">
        <v>5.81</v>
      </c>
      <c r="D434" s="116">
        <v>5.75</v>
      </c>
      <c r="E434" s="116">
        <v>5.76</v>
      </c>
      <c r="F434" s="116">
        <v>5.81</v>
      </c>
      <c r="G434">
        <v>170835</v>
      </c>
      <c r="H434" s="116"/>
      <c r="I434" s="116"/>
      <c r="L434" s="170">
        <v>42641</v>
      </c>
      <c r="M434" s="116">
        <v>5.8</v>
      </c>
      <c r="N434" s="116">
        <v>5.9</v>
      </c>
      <c r="O434" s="116">
        <v>5.75</v>
      </c>
      <c r="P434" s="116">
        <v>5.75</v>
      </c>
      <c r="Q434" s="116">
        <v>5.8</v>
      </c>
      <c r="R434">
        <v>664926</v>
      </c>
    </row>
    <row r="435" spans="1:18" x14ac:dyDescent="0.25">
      <c r="A435" s="170">
        <v>42642</v>
      </c>
      <c r="B435" s="116">
        <v>5.9</v>
      </c>
      <c r="C435" s="116">
        <v>5.58</v>
      </c>
      <c r="D435" s="116">
        <v>5.44</v>
      </c>
      <c r="E435" s="116">
        <v>5.86</v>
      </c>
      <c r="F435" s="116">
        <v>5.58</v>
      </c>
      <c r="G435">
        <v>442545</v>
      </c>
      <c r="H435" s="116"/>
      <c r="I435" s="116"/>
      <c r="L435" s="170">
        <v>42642</v>
      </c>
      <c r="M435" s="116">
        <v>5.6</v>
      </c>
      <c r="N435" s="116">
        <v>5.9</v>
      </c>
      <c r="O435" s="116">
        <v>5.55</v>
      </c>
      <c r="P435" s="116">
        <v>5.85</v>
      </c>
      <c r="Q435" s="116">
        <v>5.6</v>
      </c>
      <c r="R435">
        <v>1284268</v>
      </c>
    </row>
    <row r="436" spans="1:18" x14ac:dyDescent="0.25">
      <c r="A436" s="170">
        <v>42643</v>
      </c>
      <c r="B436" s="116">
        <v>5.75</v>
      </c>
      <c r="C436" s="116">
        <v>5.64</v>
      </c>
      <c r="D436" s="116">
        <v>5.42</v>
      </c>
      <c r="E436" s="116">
        <v>5.72</v>
      </c>
      <c r="F436" s="116">
        <v>5.64</v>
      </c>
      <c r="G436">
        <v>239961</v>
      </c>
      <c r="H436" s="116"/>
      <c r="I436" s="116"/>
      <c r="L436" s="170">
        <v>42643</v>
      </c>
      <c r="M436" s="116">
        <v>5.65</v>
      </c>
      <c r="N436" s="116">
        <v>5.75</v>
      </c>
      <c r="O436" s="116">
        <v>5.4</v>
      </c>
      <c r="P436" s="116">
        <v>5.6</v>
      </c>
      <c r="Q436" s="116">
        <v>5.65</v>
      </c>
      <c r="R436">
        <v>1074638</v>
      </c>
    </row>
    <row r="437" spans="1:18" x14ac:dyDescent="0.25">
      <c r="A437" s="170">
        <v>42646</v>
      </c>
      <c r="B437" s="116">
        <v>5.99</v>
      </c>
      <c r="C437" s="116">
        <v>5.82</v>
      </c>
      <c r="D437" s="116">
        <v>5.64</v>
      </c>
      <c r="E437" s="116">
        <v>5.65</v>
      </c>
      <c r="F437" s="116">
        <v>5.82</v>
      </c>
      <c r="G437">
        <v>368005</v>
      </c>
      <c r="H437" s="116"/>
      <c r="I437" s="116"/>
      <c r="L437" s="170">
        <v>42646</v>
      </c>
      <c r="M437" s="116">
        <v>5.8</v>
      </c>
      <c r="N437" s="116">
        <v>6</v>
      </c>
      <c r="O437" s="116">
        <v>5.65</v>
      </c>
      <c r="P437" s="116">
        <v>5.65</v>
      </c>
      <c r="Q437" s="116">
        <v>5.8</v>
      </c>
      <c r="R437">
        <v>1161144</v>
      </c>
    </row>
    <row r="438" spans="1:18" x14ac:dyDescent="0.25">
      <c r="A438" s="170">
        <v>42647</v>
      </c>
      <c r="B438" s="116">
        <v>5.85</v>
      </c>
      <c r="C438" s="116">
        <v>5.79</v>
      </c>
      <c r="D438" s="116">
        <v>5.75</v>
      </c>
      <c r="E438" s="116">
        <v>5.79</v>
      </c>
      <c r="F438" s="116">
        <v>5.79</v>
      </c>
      <c r="G438">
        <v>108853</v>
      </c>
      <c r="H438" s="116"/>
      <c r="I438" s="116"/>
      <c r="L438" s="170">
        <v>42647</v>
      </c>
      <c r="M438" s="116">
        <v>5.8</v>
      </c>
      <c r="N438" s="116">
        <v>5.85</v>
      </c>
      <c r="O438" s="116">
        <v>5.75</v>
      </c>
      <c r="P438" s="116">
        <v>5.85</v>
      </c>
      <c r="Q438" s="116">
        <v>5.8</v>
      </c>
      <c r="R438">
        <v>391149</v>
      </c>
    </row>
    <row r="439" spans="1:18" x14ac:dyDescent="0.25">
      <c r="A439" s="170">
        <v>42648</v>
      </c>
      <c r="B439" s="116">
        <v>5.95</v>
      </c>
      <c r="C439" s="116">
        <v>5.83</v>
      </c>
      <c r="D439" s="116">
        <v>5.75</v>
      </c>
      <c r="E439" s="116">
        <v>5.86</v>
      </c>
      <c r="F439" s="116">
        <v>5.83</v>
      </c>
      <c r="G439">
        <v>226563</v>
      </c>
      <c r="H439" s="116"/>
      <c r="I439" s="116"/>
      <c r="L439" s="170">
        <v>42648</v>
      </c>
      <c r="M439" s="116">
        <v>5.85</v>
      </c>
      <c r="N439" s="116">
        <v>5.95</v>
      </c>
      <c r="O439" s="116">
        <v>5.75</v>
      </c>
      <c r="P439" s="116">
        <v>5.8</v>
      </c>
      <c r="Q439" s="116">
        <v>5.85</v>
      </c>
      <c r="R439">
        <v>821622</v>
      </c>
    </row>
    <row r="440" spans="1:18" x14ac:dyDescent="0.25">
      <c r="A440" s="170">
        <v>42649</v>
      </c>
      <c r="B440" s="116">
        <v>5.93</v>
      </c>
      <c r="C440" s="116">
        <v>5.82</v>
      </c>
      <c r="D440" s="116">
        <v>5.8</v>
      </c>
      <c r="E440" s="116">
        <v>5.9</v>
      </c>
      <c r="F440" s="116">
        <v>5.82</v>
      </c>
      <c r="G440">
        <v>168635</v>
      </c>
      <c r="H440" s="116"/>
      <c r="I440" s="116"/>
      <c r="L440" s="170">
        <v>42649</v>
      </c>
      <c r="M440" s="116">
        <v>5.8</v>
      </c>
      <c r="N440" s="116">
        <v>5.95</v>
      </c>
      <c r="O440" s="116">
        <v>5.8</v>
      </c>
      <c r="P440" s="116">
        <v>5.85</v>
      </c>
      <c r="Q440" s="116">
        <v>5.8</v>
      </c>
      <c r="R440">
        <v>721100</v>
      </c>
    </row>
    <row r="441" spans="1:18" x14ac:dyDescent="0.25">
      <c r="A441" s="170">
        <v>42650</v>
      </c>
      <c r="B441" s="116">
        <v>6.22</v>
      </c>
      <c r="C441" s="116">
        <v>6.05</v>
      </c>
      <c r="D441" s="116">
        <v>5.83</v>
      </c>
      <c r="E441" s="116">
        <v>5.83</v>
      </c>
      <c r="F441" s="116">
        <v>6.05</v>
      </c>
      <c r="G441">
        <v>297774</v>
      </c>
      <c r="H441" s="116"/>
      <c r="I441" s="116"/>
      <c r="L441" s="170">
        <v>42650</v>
      </c>
      <c r="M441" s="116">
        <v>6.05</v>
      </c>
      <c r="N441" s="116">
        <v>6.25</v>
      </c>
      <c r="O441" s="116">
        <v>5.8</v>
      </c>
      <c r="P441" s="116">
        <v>5.85</v>
      </c>
      <c r="Q441" s="116">
        <v>6.05</v>
      </c>
      <c r="R441">
        <v>1482755</v>
      </c>
    </row>
    <row r="442" spans="1:18" x14ac:dyDescent="0.25">
      <c r="A442" s="170">
        <v>42653</v>
      </c>
      <c r="B442" s="116">
        <v>6.47</v>
      </c>
      <c r="C442" s="116">
        <v>6.43</v>
      </c>
      <c r="D442" s="116">
        <v>6.15</v>
      </c>
      <c r="E442" s="116">
        <v>6.27</v>
      </c>
      <c r="F442" s="116">
        <v>6.43</v>
      </c>
      <c r="G442">
        <v>924231</v>
      </c>
      <c r="H442" s="116"/>
      <c r="I442" s="116"/>
      <c r="L442" s="170">
        <v>42653</v>
      </c>
      <c r="M442" s="116">
        <v>6.45</v>
      </c>
      <c r="N442" s="116">
        <v>6.5</v>
      </c>
      <c r="O442" s="116">
        <v>6.2</v>
      </c>
      <c r="P442" s="116">
        <v>6.25</v>
      </c>
      <c r="Q442" s="116">
        <v>6.45</v>
      </c>
      <c r="R442">
        <v>3077770</v>
      </c>
    </row>
    <row r="443" spans="1:18" x14ac:dyDescent="0.25">
      <c r="A443" s="170">
        <v>42656</v>
      </c>
      <c r="B443" s="116">
        <v>6.54</v>
      </c>
      <c r="C443" s="116">
        <v>6.38</v>
      </c>
      <c r="D443" s="116">
        <v>6.25</v>
      </c>
      <c r="E443" s="116">
        <v>6.4</v>
      </c>
      <c r="F443" s="116">
        <v>6.38</v>
      </c>
      <c r="G443">
        <v>483726</v>
      </c>
      <c r="H443" s="116"/>
      <c r="I443" s="116"/>
      <c r="L443" s="170">
        <v>42656</v>
      </c>
      <c r="M443" s="116">
        <v>6.35</v>
      </c>
      <c r="N443" s="116">
        <v>6.6</v>
      </c>
      <c r="O443" s="116">
        <v>6.25</v>
      </c>
      <c r="P443" s="116">
        <v>6.4</v>
      </c>
      <c r="Q443" s="116">
        <v>6.35</v>
      </c>
      <c r="R443">
        <v>1708391</v>
      </c>
    </row>
    <row r="444" spans="1:18" x14ac:dyDescent="0.25">
      <c r="A444" s="170">
        <v>42657</v>
      </c>
      <c r="B444" s="116">
        <v>6.49</v>
      </c>
      <c r="C444" s="116">
        <v>6.28</v>
      </c>
      <c r="D444" s="116">
        <v>6.25</v>
      </c>
      <c r="E444" s="116">
        <v>6.31</v>
      </c>
      <c r="F444" s="116">
        <v>6.28</v>
      </c>
      <c r="G444">
        <v>149007</v>
      </c>
      <c r="H444" s="116"/>
      <c r="I444" s="116"/>
      <c r="L444" s="170">
        <v>42657</v>
      </c>
      <c r="M444" s="116">
        <v>6.3</v>
      </c>
      <c r="N444" s="116">
        <v>6.5</v>
      </c>
      <c r="O444" s="116">
        <v>6.25</v>
      </c>
      <c r="P444" s="116">
        <v>6.35</v>
      </c>
      <c r="Q444" s="116">
        <v>6.3</v>
      </c>
      <c r="R444">
        <v>759434</v>
      </c>
    </row>
    <row r="445" spans="1:18" x14ac:dyDescent="0.25">
      <c r="A445" s="170">
        <v>42660</v>
      </c>
      <c r="B445" s="116">
        <v>6.33</v>
      </c>
      <c r="C445" s="116">
        <v>6.17</v>
      </c>
      <c r="D445" s="116">
        <v>6.05</v>
      </c>
      <c r="E445" s="116">
        <v>6.29</v>
      </c>
      <c r="F445" s="116">
        <v>6.17</v>
      </c>
      <c r="G445">
        <v>271833</v>
      </c>
      <c r="H445" s="116"/>
      <c r="I445" s="116"/>
      <c r="L445" s="170">
        <v>42660</v>
      </c>
      <c r="M445" s="116">
        <v>6.15</v>
      </c>
      <c r="N445" s="116">
        <v>6.35</v>
      </c>
      <c r="O445" s="116">
        <v>6.05</v>
      </c>
      <c r="P445" s="116">
        <v>6.3</v>
      </c>
      <c r="Q445" s="116">
        <v>6.15</v>
      </c>
      <c r="R445">
        <v>1358461</v>
      </c>
    </row>
    <row r="446" spans="1:18" x14ac:dyDescent="0.25">
      <c r="A446" s="170">
        <v>42661</v>
      </c>
      <c r="B446" s="116">
        <v>6.39</v>
      </c>
      <c r="C446" s="116">
        <v>6.31</v>
      </c>
      <c r="D446" s="116">
        <v>6.18</v>
      </c>
      <c r="E446" s="116">
        <v>6.39</v>
      </c>
      <c r="F446" s="116">
        <v>6.31</v>
      </c>
      <c r="G446">
        <v>275135</v>
      </c>
      <c r="H446" s="116"/>
      <c r="I446" s="116"/>
      <c r="L446" s="170">
        <v>42661</v>
      </c>
      <c r="M446" s="116">
        <v>6.25</v>
      </c>
      <c r="N446" s="116">
        <v>6.35</v>
      </c>
      <c r="O446" s="116">
        <v>6.15</v>
      </c>
      <c r="P446" s="116">
        <v>6.15</v>
      </c>
      <c r="Q446" s="116">
        <v>6.25</v>
      </c>
      <c r="R446">
        <v>1161733</v>
      </c>
    </row>
    <row r="447" spans="1:18" x14ac:dyDescent="0.25">
      <c r="A447" s="170">
        <v>42662</v>
      </c>
      <c r="B447" s="116">
        <v>6.35</v>
      </c>
      <c r="C447" s="116">
        <v>6.22</v>
      </c>
      <c r="D447" s="116">
        <v>6.17</v>
      </c>
      <c r="E447" s="116">
        <v>6.29</v>
      </c>
      <c r="F447" s="116">
        <v>6.22</v>
      </c>
      <c r="G447">
        <v>122543</v>
      </c>
      <c r="H447" s="116"/>
      <c r="I447" s="116"/>
      <c r="L447" s="170">
        <v>42662</v>
      </c>
      <c r="M447" s="116">
        <v>6.25</v>
      </c>
      <c r="N447" s="116">
        <v>6.4</v>
      </c>
      <c r="O447" s="116">
        <v>6.2</v>
      </c>
      <c r="P447" s="116">
        <v>6.3</v>
      </c>
      <c r="Q447" s="116">
        <v>6.25</v>
      </c>
      <c r="R447">
        <v>877789</v>
      </c>
    </row>
    <row r="448" spans="1:18" x14ac:dyDescent="0.25">
      <c r="A448" s="170">
        <v>42663</v>
      </c>
      <c r="B448" s="116">
        <v>6.3</v>
      </c>
      <c r="C448" s="116">
        <v>6.14</v>
      </c>
      <c r="D448" s="116">
        <v>6.11</v>
      </c>
      <c r="E448" s="116">
        <v>6.26</v>
      </c>
      <c r="F448" s="116">
        <v>6.14</v>
      </c>
      <c r="G448">
        <v>202394</v>
      </c>
      <c r="H448" s="116"/>
      <c r="I448" s="116"/>
      <c r="L448" s="170">
        <v>42663</v>
      </c>
      <c r="M448" s="116">
        <v>6.15</v>
      </c>
      <c r="N448" s="116">
        <v>6.3</v>
      </c>
      <c r="O448" s="116">
        <v>6.1</v>
      </c>
      <c r="P448" s="116">
        <v>6.25</v>
      </c>
      <c r="Q448" s="116">
        <v>6.15</v>
      </c>
      <c r="R448">
        <v>764810</v>
      </c>
    </row>
    <row r="449" spans="1:18" x14ac:dyDescent="0.25">
      <c r="A449" s="170">
        <v>42664</v>
      </c>
      <c r="B449" s="116">
        <v>6.33</v>
      </c>
      <c r="C449" s="116">
        <v>6.25</v>
      </c>
      <c r="D449" s="116">
        <v>6.15</v>
      </c>
      <c r="E449" s="116">
        <v>6.21</v>
      </c>
      <c r="F449" s="116">
        <v>6.25</v>
      </c>
      <c r="G449">
        <v>141483</v>
      </c>
      <c r="H449" s="116"/>
      <c r="I449" s="116"/>
      <c r="L449" s="170">
        <v>42664</v>
      </c>
      <c r="M449" s="116">
        <v>6.25</v>
      </c>
      <c r="N449" s="116">
        <v>6.35</v>
      </c>
      <c r="O449" s="116">
        <v>6.15</v>
      </c>
      <c r="P449" s="116">
        <v>6.2</v>
      </c>
      <c r="Q449" s="116">
        <v>6.25</v>
      </c>
      <c r="R449">
        <v>950985</v>
      </c>
    </row>
    <row r="450" spans="1:18" x14ac:dyDescent="0.25">
      <c r="A450" s="170">
        <v>42667</v>
      </c>
      <c r="B450" s="116">
        <v>7.5</v>
      </c>
      <c r="C450" s="116">
        <v>7.5</v>
      </c>
      <c r="D450" s="116">
        <v>6.31</v>
      </c>
      <c r="E450" s="116">
        <v>6.31</v>
      </c>
      <c r="F450" s="116">
        <v>7.5</v>
      </c>
      <c r="G450">
        <v>4459566</v>
      </c>
      <c r="H450" s="116"/>
      <c r="I450" s="116"/>
      <c r="L450" s="170">
        <v>42667</v>
      </c>
      <c r="M450" s="116">
        <v>7.5</v>
      </c>
      <c r="N450" s="116">
        <v>7.5</v>
      </c>
      <c r="O450" s="116">
        <v>6.35</v>
      </c>
      <c r="P450" s="116">
        <v>6.35</v>
      </c>
      <c r="Q450" s="116">
        <v>7.5</v>
      </c>
      <c r="R450">
        <v>16338648</v>
      </c>
    </row>
    <row r="451" spans="1:18" x14ac:dyDescent="0.25">
      <c r="A451" s="170">
        <v>42668</v>
      </c>
      <c r="B451" s="116">
        <v>8.16</v>
      </c>
      <c r="C451" s="116">
        <v>7.71</v>
      </c>
      <c r="D451" s="116">
        <v>7.22</v>
      </c>
      <c r="E451" s="116">
        <v>7.35</v>
      </c>
      <c r="F451" s="116">
        <v>7.71</v>
      </c>
      <c r="G451">
        <v>6208424</v>
      </c>
      <c r="H451" s="116"/>
      <c r="I451" s="116"/>
      <c r="L451" s="170">
        <v>42668</v>
      </c>
      <c r="M451" s="116">
        <v>7.65</v>
      </c>
      <c r="N451" s="116">
        <v>8.1999999999999993</v>
      </c>
      <c r="O451" s="116">
        <v>7.1</v>
      </c>
      <c r="P451" s="116">
        <v>7.1</v>
      </c>
      <c r="Q451" s="116">
        <v>7.65</v>
      </c>
      <c r="R451">
        <v>25468043</v>
      </c>
    </row>
    <row r="452" spans="1:18" x14ac:dyDescent="0.25">
      <c r="A452" s="170">
        <v>42669</v>
      </c>
      <c r="B452" s="116">
        <v>8.0500000000000007</v>
      </c>
      <c r="C452" s="116">
        <v>7.61</v>
      </c>
      <c r="D452" s="116">
        <v>7.51</v>
      </c>
      <c r="E452" s="116">
        <v>7.7</v>
      </c>
      <c r="F452" s="116">
        <v>7.61</v>
      </c>
      <c r="G452">
        <v>1300773</v>
      </c>
      <c r="H452" s="116"/>
      <c r="I452" s="116"/>
      <c r="L452" s="170">
        <v>42669</v>
      </c>
      <c r="M452" s="116">
        <v>7.6</v>
      </c>
      <c r="N452" s="116">
        <v>8.0500000000000007</v>
      </c>
      <c r="O452" s="116">
        <v>7.5</v>
      </c>
      <c r="P452" s="116">
        <v>7.65</v>
      </c>
      <c r="Q452" s="116">
        <v>7.6</v>
      </c>
      <c r="R452">
        <v>7441165</v>
      </c>
    </row>
    <row r="453" spans="1:18" x14ac:dyDescent="0.25">
      <c r="A453" s="170">
        <v>42670</v>
      </c>
      <c r="B453" s="116">
        <v>7.58</v>
      </c>
      <c r="C453" s="116">
        <v>6.87</v>
      </c>
      <c r="D453" s="116">
        <v>6.8</v>
      </c>
      <c r="E453" s="116">
        <v>7.58</v>
      </c>
      <c r="F453" s="116">
        <v>6.87</v>
      </c>
      <c r="G453">
        <v>1670463</v>
      </c>
      <c r="H453" s="116"/>
      <c r="I453" s="116"/>
      <c r="L453" s="170">
        <v>42670</v>
      </c>
      <c r="M453" s="116">
        <v>6.85</v>
      </c>
      <c r="N453" s="116">
        <v>7.55</v>
      </c>
      <c r="O453" s="116">
        <v>6.75</v>
      </c>
      <c r="P453" s="116">
        <v>7.55</v>
      </c>
      <c r="Q453" s="116">
        <v>6.85</v>
      </c>
      <c r="R453">
        <v>6545063</v>
      </c>
    </row>
    <row r="454" spans="1:18" x14ac:dyDescent="0.25">
      <c r="A454" s="170">
        <v>42671</v>
      </c>
      <c r="B454" s="116">
        <v>7.29</v>
      </c>
      <c r="C454" s="116">
        <v>7.14</v>
      </c>
      <c r="D454" s="116">
        <v>6.87</v>
      </c>
      <c r="E454" s="116">
        <v>6.87</v>
      </c>
      <c r="F454" s="116">
        <v>7.14</v>
      </c>
      <c r="G454">
        <v>775888</v>
      </c>
      <c r="H454" s="116"/>
      <c r="I454" s="116"/>
      <c r="L454" s="170">
        <v>42671</v>
      </c>
      <c r="M454" s="116">
        <v>7.15</v>
      </c>
      <c r="N454" s="116">
        <v>7.3</v>
      </c>
      <c r="O454" s="116">
        <v>6.85</v>
      </c>
      <c r="P454" s="116">
        <v>6.9</v>
      </c>
      <c r="Q454" s="116">
        <v>7.15</v>
      </c>
      <c r="R454">
        <v>3504764</v>
      </c>
    </row>
    <row r="455" spans="1:18" x14ac:dyDescent="0.25">
      <c r="A455" s="170">
        <v>42673</v>
      </c>
      <c r="B455" s="116">
        <v>7.29</v>
      </c>
      <c r="C455" s="116">
        <v>7.17</v>
      </c>
      <c r="D455" s="116">
        <v>7</v>
      </c>
      <c r="E455" s="116">
        <v>7</v>
      </c>
      <c r="F455" s="116">
        <v>7.17</v>
      </c>
      <c r="G455">
        <v>306310</v>
      </c>
      <c r="H455" s="116"/>
      <c r="I455" s="116"/>
      <c r="L455" s="170">
        <v>42673</v>
      </c>
      <c r="M455" s="116">
        <v>7.2</v>
      </c>
      <c r="N455" s="116">
        <v>7.25</v>
      </c>
      <c r="O455" s="116">
        <v>7.05</v>
      </c>
      <c r="P455" s="116">
        <v>7.05</v>
      </c>
      <c r="Q455" s="116">
        <v>7.2</v>
      </c>
      <c r="R455">
        <v>1647729</v>
      </c>
    </row>
    <row r="456" spans="1:18" x14ac:dyDescent="0.25">
      <c r="A456" s="170">
        <v>42675</v>
      </c>
      <c r="B456" s="116">
        <v>7.34</v>
      </c>
      <c r="C456" s="116">
        <v>7.12</v>
      </c>
      <c r="D456" s="116">
        <v>7.03</v>
      </c>
      <c r="E456" s="116">
        <v>7.17</v>
      </c>
      <c r="F456" s="116">
        <v>7.12</v>
      </c>
      <c r="G456">
        <v>422524</v>
      </c>
      <c r="H456" s="116"/>
      <c r="I456" s="116"/>
      <c r="L456" s="170">
        <v>42675</v>
      </c>
      <c r="M456" s="116">
        <v>7.05</v>
      </c>
      <c r="N456" s="116">
        <v>7.4</v>
      </c>
      <c r="O456" s="116">
        <v>7</v>
      </c>
      <c r="P456" s="116">
        <v>7.2</v>
      </c>
      <c r="Q456" s="116">
        <v>7.05</v>
      </c>
      <c r="R456">
        <v>2137800</v>
      </c>
    </row>
    <row r="457" spans="1:18" x14ac:dyDescent="0.25">
      <c r="A457" s="170">
        <v>42676</v>
      </c>
      <c r="B457" s="116">
        <v>6.99</v>
      </c>
      <c r="C457" s="116">
        <v>6.83</v>
      </c>
      <c r="D457" s="116">
        <v>6.75</v>
      </c>
      <c r="E457" s="116">
        <v>6.99</v>
      </c>
      <c r="F457" s="116">
        <v>6.83</v>
      </c>
      <c r="G457">
        <v>499660</v>
      </c>
      <c r="H457" s="116"/>
      <c r="I457" s="116"/>
      <c r="L457" s="170">
        <v>42676</v>
      </c>
      <c r="M457" s="116">
        <v>6.85</v>
      </c>
      <c r="N457" s="116">
        <v>7</v>
      </c>
      <c r="O457" s="116">
        <v>6.8</v>
      </c>
      <c r="P457" s="116">
        <v>6.95</v>
      </c>
      <c r="Q457" s="116">
        <v>6.85</v>
      </c>
      <c r="R457">
        <v>1562591</v>
      </c>
    </row>
    <row r="458" spans="1:18" x14ac:dyDescent="0.25">
      <c r="A458" s="170">
        <v>42677</v>
      </c>
      <c r="B458" s="116">
        <v>7.35</v>
      </c>
      <c r="C458" s="116">
        <v>6.82</v>
      </c>
      <c r="D458" s="116">
        <v>6.6</v>
      </c>
      <c r="E458" s="116">
        <v>6.7</v>
      </c>
      <c r="F458" s="116">
        <v>6.82</v>
      </c>
      <c r="G458">
        <v>879114</v>
      </c>
      <c r="H458" s="116"/>
      <c r="I458" s="116"/>
      <c r="L458" s="170">
        <v>42677</v>
      </c>
      <c r="M458" s="116">
        <v>6.8</v>
      </c>
      <c r="N458" s="116">
        <v>7.4</v>
      </c>
      <c r="O458" s="116">
        <v>6.55</v>
      </c>
      <c r="P458" s="116">
        <v>6.55</v>
      </c>
      <c r="Q458" s="116">
        <v>6.8</v>
      </c>
      <c r="R458">
        <v>4873859</v>
      </c>
    </row>
    <row r="459" spans="1:18" x14ac:dyDescent="0.25">
      <c r="A459" s="170">
        <v>42678</v>
      </c>
      <c r="B459" s="116">
        <v>7.02</v>
      </c>
      <c r="C459" s="116">
        <v>6.61</v>
      </c>
      <c r="D459" s="116">
        <v>6.54</v>
      </c>
      <c r="E459" s="116">
        <v>6.8</v>
      </c>
      <c r="F459" s="116">
        <v>6.61</v>
      </c>
      <c r="G459">
        <v>539246</v>
      </c>
      <c r="H459" s="116"/>
      <c r="I459" s="116"/>
      <c r="L459" s="170">
        <v>42678</v>
      </c>
      <c r="M459" s="116">
        <v>6.6</v>
      </c>
      <c r="N459" s="116">
        <v>7.1</v>
      </c>
      <c r="O459" s="116">
        <v>6.55</v>
      </c>
      <c r="P459" s="116">
        <v>7.1</v>
      </c>
      <c r="Q459" s="116">
        <v>6.6</v>
      </c>
      <c r="R459">
        <v>2062663</v>
      </c>
    </row>
    <row r="460" spans="1:18" x14ac:dyDescent="0.25">
      <c r="A460" s="170">
        <v>42681</v>
      </c>
      <c r="B460" s="116">
        <v>6.85</v>
      </c>
      <c r="C460" s="116">
        <v>6.62</v>
      </c>
      <c r="D460" s="116">
        <v>6.59</v>
      </c>
      <c r="E460" s="116">
        <v>6.79</v>
      </c>
      <c r="F460" s="116">
        <v>6.62</v>
      </c>
      <c r="G460">
        <v>266094</v>
      </c>
      <c r="H460" s="116"/>
      <c r="I460" s="116"/>
      <c r="L460" s="170">
        <v>42681</v>
      </c>
      <c r="M460" s="116">
        <v>6.65</v>
      </c>
      <c r="N460" s="116">
        <v>6.85</v>
      </c>
      <c r="O460" s="116">
        <v>6.6</v>
      </c>
      <c r="P460" s="116">
        <v>6.8</v>
      </c>
      <c r="Q460" s="116">
        <v>6.65</v>
      </c>
      <c r="R460">
        <v>1013493</v>
      </c>
    </row>
    <row r="461" spans="1:18" x14ac:dyDescent="0.25">
      <c r="A461" s="170">
        <v>42682</v>
      </c>
      <c r="B461" s="116">
        <v>6.75</v>
      </c>
      <c r="C461" s="116">
        <v>6.69</v>
      </c>
      <c r="D461" s="116">
        <v>6.62</v>
      </c>
      <c r="E461" s="116">
        <v>6.65</v>
      </c>
      <c r="F461" s="116">
        <v>6.69</v>
      </c>
      <c r="G461">
        <v>314775</v>
      </c>
      <c r="H461" s="116"/>
      <c r="I461" s="116"/>
      <c r="L461" s="170">
        <v>42682</v>
      </c>
      <c r="M461" s="116">
        <v>6.7</v>
      </c>
      <c r="N461" s="116">
        <v>6.75</v>
      </c>
      <c r="O461" s="116">
        <v>6.6</v>
      </c>
      <c r="P461" s="116">
        <v>6.75</v>
      </c>
      <c r="Q461" s="116">
        <v>6.7</v>
      </c>
      <c r="R461">
        <v>973458</v>
      </c>
    </row>
    <row r="462" spans="1:18" x14ac:dyDescent="0.25">
      <c r="A462" s="170">
        <v>42683</v>
      </c>
      <c r="B462" s="116">
        <v>6.6</v>
      </c>
      <c r="C462" s="116">
        <v>6.36</v>
      </c>
      <c r="D462" s="116">
        <v>5.89</v>
      </c>
      <c r="E462" s="116">
        <v>6</v>
      </c>
      <c r="F462" s="116">
        <v>6.36</v>
      </c>
      <c r="G462">
        <v>1105842</v>
      </c>
      <c r="H462" s="116"/>
      <c r="I462" s="116"/>
      <c r="L462" s="170">
        <v>42683</v>
      </c>
      <c r="M462" s="116">
        <v>6.35</v>
      </c>
      <c r="N462" s="116">
        <v>6.65</v>
      </c>
      <c r="O462" s="116">
        <v>5.55</v>
      </c>
      <c r="P462" s="116">
        <v>5.55</v>
      </c>
      <c r="Q462" s="116">
        <v>6.35</v>
      </c>
      <c r="R462">
        <v>4281895</v>
      </c>
    </row>
    <row r="463" spans="1:18" x14ac:dyDescent="0.25">
      <c r="A463" s="170">
        <v>42684</v>
      </c>
      <c r="B463" s="116">
        <v>6.95</v>
      </c>
      <c r="C463" s="116">
        <v>6.71</v>
      </c>
      <c r="D463" s="116">
        <v>6.49</v>
      </c>
      <c r="E463" s="116">
        <v>6.5</v>
      </c>
      <c r="F463" s="116">
        <v>6.71</v>
      </c>
      <c r="G463">
        <v>412080</v>
      </c>
      <c r="H463" s="116"/>
      <c r="I463" s="116"/>
      <c r="L463" s="170">
        <v>42684</v>
      </c>
      <c r="M463" s="116">
        <v>6.75</v>
      </c>
      <c r="N463" s="116">
        <v>6.95</v>
      </c>
      <c r="O463" s="116">
        <v>6.4</v>
      </c>
      <c r="P463" s="116">
        <v>6.4</v>
      </c>
      <c r="Q463" s="116">
        <v>6.75</v>
      </c>
      <c r="R463">
        <v>1222097</v>
      </c>
    </row>
    <row r="464" spans="1:18" x14ac:dyDescent="0.25">
      <c r="A464" s="170">
        <v>42685</v>
      </c>
      <c r="B464" s="116">
        <v>6.85</v>
      </c>
      <c r="C464" s="116">
        <v>6.41</v>
      </c>
      <c r="D464" s="116">
        <v>6.3</v>
      </c>
      <c r="E464" s="116">
        <v>6.3</v>
      </c>
      <c r="F464" s="116">
        <v>6.41</v>
      </c>
      <c r="G464">
        <v>238822</v>
      </c>
      <c r="H464" s="116"/>
      <c r="I464" s="116"/>
      <c r="L464" s="170">
        <v>42685</v>
      </c>
      <c r="M464" s="116">
        <v>6.4</v>
      </c>
      <c r="N464" s="116">
        <v>6.9</v>
      </c>
      <c r="O464" s="116">
        <v>6.3</v>
      </c>
      <c r="P464" s="116">
        <v>6.8</v>
      </c>
      <c r="Q464" s="116">
        <v>6.4</v>
      </c>
      <c r="R464">
        <v>2031392</v>
      </c>
    </row>
    <row r="465" spans="1:18" x14ac:dyDescent="0.25">
      <c r="A465" s="170">
        <v>42689</v>
      </c>
      <c r="B465" s="116">
        <v>6.41</v>
      </c>
      <c r="C465" s="116">
        <v>6.01</v>
      </c>
      <c r="D465" s="116">
        <v>5.95</v>
      </c>
      <c r="E465" s="116">
        <v>6.41</v>
      </c>
      <c r="F465" s="116">
        <v>6.01</v>
      </c>
      <c r="G465">
        <v>688471</v>
      </c>
      <c r="H465" s="116"/>
      <c r="I465" s="116"/>
      <c r="L465" s="170">
        <v>42689</v>
      </c>
      <c r="M465" s="116">
        <v>6</v>
      </c>
      <c r="N465" s="116">
        <v>6.5</v>
      </c>
      <c r="O465" s="116">
        <v>5.95</v>
      </c>
      <c r="P465" s="116">
        <v>6.4</v>
      </c>
      <c r="Q465" s="116">
        <v>6</v>
      </c>
      <c r="R465">
        <v>1761511</v>
      </c>
    </row>
    <row r="466" spans="1:18" x14ac:dyDescent="0.25">
      <c r="A466" s="170">
        <v>42690</v>
      </c>
      <c r="B466" s="116">
        <v>6.79</v>
      </c>
      <c r="C466" s="116">
        <v>6.34</v>
      </c>
      <c r="D466" s="116">
        <v>5.9</v>
      </c>
      <c r="E466" s="116">
        <v>6.19</v>
      </c>
      <c r="F466" s="116">
        <v>6.34</v>
      </c>
      <c r="G466">
        <v>659377</v>
      </c>
      <c r="H466" s="116"/>
      <c r="I466" s="116"/>
      <c r="L466" s="170">
        <v>42690</v>
      </c>
      <c r="M466" s="116">
        <v>6.35</v>
      </c>
      <c r="N466" s="116">
        <v>6.8</v>
      </c>
      <c r="O466" s="116">
        <v>5.9</v>
      </c>
      <c r="P466" s="116">
        <v>6.1</v>
      </c>
      <c r="Q466" s="116">
        <v>6.35</v>
      </c>
      <c r="R466">
        <v>2668524</v>
      </c>
    </row>
    <row r="467" spans="1:18" x14ac:dyDescent="0.25">
      <c r="A467" s="170">
        <v>42691</v>
      </c>
      <c r="B467" s="116">
        <v>6.49</v>
      </c>
      <c r="C467" s="116">
        <v>6.24</v>
      </c>
      <c r="D467" s="116">
        <v>6.14</v>
      </c>
      <c r="E467" s="116">
        <v>6.35</v>
      </c>
      <c r="F467" s="116">
        <v>6.24</v>
      </c>
      <c r="G467">
        <v>127971</v>
      </c>
      <c r="H467" s="116"/>
      <c r="I467" s="116"/>
      <c r="L467" s="170">
        <v>42691</v>
      </c>
      <c r="M467" s="116">
        <v>6.25</v>
      </c>
      <c r="N467" s="116">
        <v>6.5</v>
      </c>
      <c r="O467" s="116">
        <v>6.1</v>
      </c>
      <c r="P467" s="116">
        <v>6.45</v>
      </c>
      <c r="Q467" s="116">
        <v>6.25</v>
      </c>
      <c r="R467">
        <v>758268</v>
      </c>
    </row>
    <row r="468" spans="1:18" x14ac:dyDescent="0.25">
      <c r="A468" s="170">
        <v>42692</v>
      </c>
      <c r="B468" s="116">
        <v>6.55</v>
      </c>
      <c r="C468" s="116">
        <v>6.19</v>
      </c>
      <c r="D468" s="116">
        <v>6.15</v>
      </c>
      <c r="E468" s="116">
        <v>6.32</v>
      </c>
      <c r="F468" s="116">
        <v>6.19</v>
      </c>
      <c r="G468">
        <v>386983</v>
      </c>
      <c r="H468" s="116"/>
      <c r="I468" s="116"/>
      <c r="L468" s="170">
        <v>42692</v>
      </c>
      <c r="M468" s="116">
        <v>6.2</v>
      </c>
      <c r="N468" s="116">
        <v>6.55</v>
      </c>
      <c r="O468" s="116">
        <v>6.15</v>
      </c>
      <c r="P468" s="116">
        <v>6.35</v>
      </c>
      <c r="Q468" s="116">
        <v>6.2</v>
      </c>
      <c r="R468">
        <v>1672624</v>
      </c>
    </row>
    <row r="469" spans="1:18" x14ac:dyDescent="0.25">
      <c r="A469" s="170">
        <v>42695</v>
      </c>
      <c r="B469" s="116">
        <v>6.2</v>
      </c>
      <c r="C469" s="116">
        <v>5.99</v>
      </c>
      <c r="D469" s="116">
        <v>5.85</v>
      </c>
      <c r="E469" s="116">
        <v>6.2</v>
      </c>
      <c r="F469" s="116">
        <v>5.99</v>
      </c>
      <c r="G469">
        <v>389792</v>
      </c>
      <c r="H469" s="116"/>
      <c r="I469" s="116"/>
      <c r="L469" s="170">
        <v>42695</v>
      </c>
      <c r="M469" s="116">
        <v>5.95</v>
      </c>
      <c r="N469" s="116">
        <v>6.25</v>
      </c>
      <c r="O469" s="116">
        <v>5.95</v>
      </c>
      <c r="P469" s="116">
        <v>6.25</v>
      </c>
      <c r="Q469" s="116">
        <v>5.95</v>
      </c>
      <c r="R469">
        <v>1328836</v>
      </c>
    </row>
    <row r="470" spans="1:18" x14ac:dyDescent="0.25">
      <c r="A470" s="170">
        <v>42696</v>
      </c>
      <c r="B470" s="116">
        <v>6.15</v>
      </c>
      <c r="C470" s="116">
        <v>5.98</v>
      </c>
      <c r="D470" s="116">
        <v>5.94</v>
      </c>
      <c r="E470" s="116">
        <v>6.08</v>
      </c>
      <c r="F470" s="116">
        <v>5.98</v>
      </c>
      <c r="G470">
        <v>193368</v>
      </c>
      <c r="H470" s="116"/>
      <c r="I470" s="116"/>
      <c r="L470" s="170">
        <v>42696</v>
      </c>
      <c r="M470" s="116">
        <v>6</v>
      </c>
      <c r="N470" s="116">
        <v>6.2</v>
      </c>
      <c r="O470" s="116">
        <v>5.95</v>
      </c>
      <c r="P470" s="116">
        <v>6.05</v>
      </c>
      <c r="Q470" s="116">
        <v>6</v>
      </c>
      <c r="R470">
        <v>776874</v>
      </c>
    </row>
    <row r="471" spans="1:18" x14ac:dyDescent="0.25">
      <c r="A471" s="170">
        <v>42697</v>
      </c>
      <c r="B471" s="116">
        <v>6.1</v>
      </c>
      <c r="C471" s="116">
        <v>6</v>
      </c>
      <c r="D471" s="116">
        <v>5.95</v>
      </c>
      <c r="E471" s="116">
        <v>6.05</v>
      </c>
      <c r="F471" s="116">
        <v>6</v>
      </c>
      <c r="G471">
        <v>217347</v>
      </c>
      <c r="H471" s="116"/>
      <c r="I471" s="116"/>
      <c r="L471" s="170">
        <v>42697</v>
      </c>
      <c r="M471" s="116">
        <v>6</v>
      </c>
      <c r="N471" s="116">
        <v>6.1</v>
      </c>
      <c r="O471" s="116">
        <v>5.9</v>
      </c>
      <c r="P471" s="116">
        <v>6.1</v>
      </c>
      <c r="Q471" s="116">
        <v>6</v>
      </c>
      <c r="R471">
        <v>751145</v>
      </c>
    </row>
    <row r="472" spans="1:18" x14ac:dyDescent="0.25">
      <c r="A472" s="170">
        <v>42698</v>
      </c>
      <c r="B472" s="116">
        <v>6.15</v>
      </c>
      <c r="C472" s="116">
        <v>6.06</v>
      </c>
      <c r="D472" s="116">
        <v>5.95</v>
      </c>
      <c r="E472" s="116">
        <v>6</v>
      </c>
      <c r="F472" s="116">
        <v>6.06</v>
      </c>
      <c r="G472">
        <v>367946</v>
      </c>
      <c r="H472" s="116"/>
      <c r="I472" s="116"/>
      <c r="L472" s="170">
        <v>42698</v>
      </c>
      <c r="M472" s="116">
        <v>6.05</v>
      </c>
      <c r="N472" s="116">
        <v>6.15</v>
      </c>
      <c r="O472" s="116">
        <v>5.95</v>
      </c>
      <c r="P472" s="116">
        <v>6</v>
      </c>
      <c r="Q472" s="116">
        <v>6.05</v>
      </c>
      <c r="R472">
        <v>489557</v>
      </c>
    </row>
    <row r="473" spans="1:18" x14ac:dyDescent="0.25">
      <c r="A473" s="170">
        <v>42699</v>
      </c>
      <c r="B473" s="116">
        <v>6.4</v>
      </c>
      <c r="C473" s="116">
        <v>6.25</v>
      </c>
      <c r="D473" s="116">
        <v>6.1</v>
      </c>
      <c r="E473" s="116">
        <v>6.4</v>
      </c>
      <c r="F473" s="116">
        <v>6.25</v>
      </c>
      <c r="G473">
        <v>419474</v>
      </c>
      <c r="H473" s="116"/>
      <c r="I473" s="116"/>
      <c r="L473" s="170">
        <v>42699</v>
      </c>
      <c r="M473" s="116">
        <v>6.25</v>
      </c>
      <c r="N473" s="116">
        <v>6.35</v>
      </c>
      <c r="O473" s="116">
        <v>6.05</v>
      </c>
      <c r="P473" s="116">
        <v>6.2</v>
      </c>
      <c r="Q473" s="116">
        <v>6.25</v>
      </c>
      <c r="R473">
        <v>1140920</v>
      </c>
    </row>
    <row r="474" spans="1:18" x14ac:dyDescent="0.25">
      <c r="A474" s="170">
        <v>42702</v>
      </c>
      <c r="B474" s="116">
        <v>6.57</v>
      </c>
      <c r="C474" s="116">
        <v>6.43</v>
      </c>
      <c r="D474" s="116">
        <v>6.11</v>
      </c>
      <c r="E474" s="116">
        <v>6.5</v>
      </c>
      <c r="F474" s="116">
        <v>6.43</v>
      </c>
      <c r="G474">
        <v>338226</v>
      </c>
      <c r="H474" s="116"/>
      <c r="I474" s="116"/>
      <c r="L474" s="170">
        <v>42702</v>
      </c>
      <c r="M474" s="116">
        <v>6.4</v>
      </c>
      <c r="N474" s="116">
        <v>6.6</v>
      </c>
      <c r="O474" s="116">
        <v>6.1</v>
      </c>
      <c r="P474" s="116">
        <v>6.25</v>
      </c>
      <c r="Q474" s="116">
        <v>6.4</v>
      </c>
      <c r="R474">
        <v>1129001</v>
      </c>
    </row>
    <row r="475" spans="1:18" x14ac:dyDescent="0.25">
      <c r="A475" s="170">
        <v>42703</v>
      </c>
      <c r="B475" s="116">
        <v>6.82</v>
      </c>
      <c r="C475" s="116">
        <v>6.52</v>
      </c>
      <c r="D475" s="116">
        <v>6.44</v>
      </c>
      <c r="E475" s="116">
        <v>6.45</v>
      </c>
      <c r="F475" s="116">
        <v>6.52</v>
      </c>
      <c r="G475">
        <v>576131</v>
      </c>
      <c r="H475" s="116"/>
      <c r="I475" s="116"/>
      <c r="L475" s="170">
        <v>42703</v>
      </c>
      <c r="M475" s="116">
        <v>6.5</v>
      </c>
      <c r="N475" s="116">
        <v>6.85</v>
      </c>
      <c r="O475" s="116">
        <v>6.45</v>
      </c>
      <c r="P475" s="116">
        <v>6.45</v>
      </c>
      <c r="Q475" s="116">
        <v>6.5</v>
      </c>
      <c r="R475">
        <v>2594114</v>
      </c>
    </row>
    <row r="476" spans="1:18" x14ac:dyDescent="0.25">
      <c r="A476" s="170">
        <v>42704</v>
      </c>
      <c r="B476" s="116">
        <v>6.75</v>
      </c>
      <c r="C476" s="116">
        <v>6.31</v>
      </c>
      <c r="D476" s="116">
        <v>6.16</v>
      </c>
      <c r="E476" s="116">
        <v>6.75</v>
      </c>
      <c r="F476" s="116">
        <v>6.31</v>
      </c>
      <c r="G476">
        <v>299463</v>
      </c>
      <c r="H476" s="116"/>
      <c r="I476" s="116"/>
      <c r="L476" s="170">
        <v>42704</v>
      </c>
      <c r="M476" s="116">
        <v>6.3</v>
      </c>
      <c r="N476" s="116">
        <v>6.6</v>
      </c>
      <c r="O476" s="116">
        <v>6.15</v>
      </c>
      <c r="P476" s="116">
        <v>6.6</v>
      </c>
      <c r="Q476" s="116">
        <v>6.3</v>
      </c>
      <c r="R476">
        <v>1669415</v>
      </c>
    </row>
    <row r="477" spans="1:18" x14ac:dyDescent="0.25">
      <c r="A477" s="170">
        <v>42705</v>
      </c>
      <c r="B477" s="116">
        <v>6.42</v>
      </c>
      <c r="C477" s="116">
        <v>6.18</v>
      </c>
      <c r="D477" s="116">
        <v>6.12</v>
      </c>
      <c r="E477" s="116">
        <v>6.4</v>
      </c>
      <c r="F477" s="116">
        <v>6.18</v>
      </c>
      <c r="G477">
        <v>407109</v>
      </c>
      <c r="H477" s="116"/>
      <c r="I477" s="116"/>
      <c r="L477" s="170">
        <v>42705</v>
      </c>
      <c r="M477" s="116">
        <v>6.15</v>
      </c>
      <c r="N477" s="116">
        <v>6.45</v>
      </c>
      <c r="O477" s="116">
        <v>6.05</v>
      </c>
      <c r="P477" s="116">
        <v>6.4</v>
      </c>
      <c r="Q477" s="116">
        <v>6.15</v>
      </c>
      <c r="R477">
        <v>2052201</v>
      </c>
    </row>
    <row r="478" spans="1:18" x14ac:dyDescent="0.25">
      <c r="A478" s="170">
        <v>42706</v>
      </c>
      <c r="B478" s="116">
        <v>6.44</v>
      </c>
      <c r="C478" s="116">
        <v>6.27</v>
      </c>
      <c r="D478" s="116">
        <v>6.07</v>
      </c>
      <c r="E478" s="116">
        <v>6.19</v>
      </c>
      <c r="F478" s="116">
        <v>6.27</v>
      </c>
      <c r="G478">
        <v>202574</v>
      </c>
      <c r="H478" s="116"/>
      <c r="I478" s="116"/>
      <c r="L478" s="170">
        <v>42706</v>
      </c>
      <c r="M478" s="116">
        <v>6.2</v>
      </c>
      <c r="N478" s="116">
        <v>6.3</v>
      </c>
      <c r="O478" s="116">
        <v>6.1</v>
      </c>
      <c r="P478" s="116">
        <v>6.15</v>
      </c>
      <c r="Q478" s="116">
        <v>6.2</v>
      </c>
      <c r="R478">
        <v>701229</v>
      </c>
    </row>
    <row r="479" spans="1:18" x14ac:dyDescent="0.25">
      <c r="A479" s="170">
        <v>42709</v>
      </c>
      <c r="B479" s="116">
        <v>6.31</v>
      </c>
      <c r="C479" s="116">
        <v>6.23</v>
      </c>
      <c r="D479" s="116">
        <v>6.2</v>
      </c>
      <c r="E479" s="116">
        <v>6.25</v>
      </c>
      <c r="F479" s="116">
        <v>6.23</v>
      </c>
      <c r="G479">
        <v>107289</v>
      </c>
      <c r="H479" s="116"/>
      <c r="I479" s="116"/>
      <c r="L479" s="170">
        <v>42709</v>
      </c>
      <c r="M479" s="116">
        <v>6.25</v>
      </c>
      <c r="N479" s="116">
        <v>6.3</v>
      </c>
      <c r="O479" s="116">
        <v>6.2</v>
      </c>
      <c r="P479" s="116">
        <v>6.2</v>
      </c>
      <c r="Q479" s="116">
        <v>6.25</v>
      </c>
      <c r="R479">
        <v>335967</v>
      </c>
    </row>
    <row r="480" spans="1:18" x14ac:dyDescent="0.25">
      <c r="A480" s="170">
        <v>42710</v>
      </c>
      <c r="B480" s="116">
        <v>6.4</v>
      </c>
      <c r="C480" s="116">
        <v>6.29</v>
      </c>
      <c r="D480" s="116">
        <v>6.21</v>
      </c>
      <c r="E480" s="116">
        <v>6.3</v>
      </c>
      <c r="F480" s="116">
        <v>6.29</v>
      </c>
      <c r="G480">
        <v>132225</v>
      </c>
      <c r="H480" s="116"/>
      <c r="I480" s="116"/>
      <c r="L480" s="170">
        <v>42710</v>
      </c>
      <c r="M480" s="116">
        <v>6.25</v>
      </c>
      <c r="N480" s="116">
        <v>6.45</v>
      </c>
      <c r="O480" s="116">
        <v>6.2</v>
      </c>
      <c r="P480" s="116">
        <v>6.4</v>
      </c>
      <c r="Q480" s="116">
        <v>6.25</v>
      </c>
      <c r="R480">
        <v>1366399</v>
      </c>
    </row>
    <row r="481" spans="1:18" x14ac:dyDescent="0.25">
      <c r="A481" s="170">
        <v>42711</v>
      </c>
      <c r="B481" s="116">
        <v>6.38</v>
      </c>
      <c r="C481" s="116">
        <v>6.18</v>
      </c>
      <c r="D481" s="116">
        <v>6.16</v>
      </c>
      <c r="E481" s="116">
        <v>6.38</v>
      </c>
      <c r="F481" s="116">
        <v>6.18</v>
      </c>
      <c r="G481">
        <v>112763</v>
      </c>
      <c r="H481" s="116"/>
      <c r="I481" s="116"/>
      <c r="L481" s="170">
        <v>42711</v>
      </c>
      <c r="M481" s="116">
        <v>6.15</v>
      </c>
      <c r="N481" s="116">
        <v>6.35</v>
      </c>
      <c r="O481" s="116">
        <v>6.1</v>
      </c>
      <c r="P481" s="116">
        <v>6.35</v>
      </c>
      <c r="Q481" s="116">
        <v>6.15</v>
      </c>
      <c r="R481">
        <v>624473</v>
      </c>
    </row>
    <row r="482" spans="1:18" x14ac:dyDescent="0.25">
      <c r="A482" s="170">
        <v>42712</v>
      </c>
      <c r="B482" s="116">
        <v>6.4</v>
      </c>
      <c r="C482" s="116">
        <v>6.29</v>
      </c>
      <c r="D482" s="116">
        <v>6.27</v>
      </c>
      <c r="E482" s="116">
        <v>6.29</v>
      </c>
      <c r="F482" s="116">
        <v>6.29</v>
      </c>
      <c r="G482">
        <v>258561</v>
      </c>
      <c r="H482" s="116"/>
      <c r="I482" s="116"/>
      <c r="L482" s="170">
        <v>42712</v>
      </c>
      <c r="M482" s="116">
        <v>6.3</v>
      </c>
      <c r="N482" s="116">
        <v>6.45</v>
      </c>
      <c r="O482" s="116">
        <v>6.25</v>
      </c>
      <c r="P482" s="116">
        <v>6.3</v>
      </c>
      <c r="Q482" s="116">
        <v>6.3</v>
      </c>
      <c r="R482">
        <v>1376722</v>
      </c>
    </row>
    <row r="483" spans="1:18" x14ac:dyDescent="0.25">
      <c r="A483" s="170">
        <v>42713</v>
      </c>
      <c r="B483" s="116">
        <v>6.67</v>
      </c>
      <c r="C483" s="116">
        <v>6.59</v>
      </c>
      <c r="D483" s="116">
        <v>6.25</v>
      </c>
      <c r="E483" s="116">
        <v>6.45</v>
      </c>
      <c r="F483" s="116">
        <v>6.59</v>
      </c>
      <c r="G483">
        <v>478584</v>
      </c>
      <c r="H483" s="116"/>
      <c r="I483" s="116"/>
      <c r="L483" s="170">
        <v>42713</v>
      </c>
      <c r="M483" s="116">
        <v>6.6</v>
      </c>
      <c r="N483" s="116">
        <v>6.65</v>
      </c>
      <c r="O483" s="116">
        <v>6.25</v>
      </c>
      <c r="P483" s="116">
        <v>6.35</v>
      </c>
      <c r="Q483" s="116">
        <v>6.6</v>
      </c>
      <c r="R483">
        <v>1968917</v>
      </c>
    </row>
    <row r="484" spans="1:18" x14ac:dyDescent="0.25">
      <c r="A484" s="170">
        <v>42716</v>
      </c>
      <c r="B484" s="116">
        <v>6.7</v>
      </c>
      <c r="C484" s="116">
        <v>6.52</v>
      </c>
      <c r="D484" s="116">
        <v>6.5</v>
      </c>
      <c r="E484" s="116">
        <v>6.64</v>
      </c>
      <c r="F484" s="116">
        <v>6.52</v>
      </c>
      <c r="G484">
        <v>250633</v>
      </c>
      <c r="H484" s="116"/>
      <c r="I484" s="116"/>
      <c r="L484" s="170">
        <v>42716</v>
      </c>
      <c r="M484" s="116">
        <v>6.5</v>
      </c>
      <c r="N484" s="116">
        <v>6.7</v>
      </c>
      <c r="O484" s="116">
        <v>6.5</v>
      </c>
      <c r="P484" s="116">
        <v>6.65</v>
      </c>
      <c r="Q484" s="116">
        <v>6.5</v>
      </c>
      <c r="R484">
        <v>920059</v>
      </c>
    </row>
    <row r="485" spans="1:18" x14ac:dyDescent="0.25">
      <c r="A485" s="170">
        <v>42717</v>
      </c>
      <c r="B485" s="116">
        <v>6.64</v>
      </c>
      <c r="C485" s="116">
        <v>6.33</v>
      </c>
      <c r="D485" s="116">
        <v>6.23</v>
      </c>
      <c r="E485" s="116">
        <v>6.41</v>
      </c>
      <c r="F485" s="116">
        <v>6.33</v>
      </c>
      <c r="G485">
        <v>143073</v>
      </c>
      <c r="H485" s="116"/>
      <c r="I485" s="116"/>
      <c r="L485" s="170">
        <v>42717</v>
      </c>
      <c r="M485" s="116">
        <v>6.3</v>
      </c>
      <c r="N485" s="116">
        <v>6.6</v>
      </c>
      <c r="O485" s="116">
        <v>6.2</v>
      </c>
      <c r="P485" s="116">
        <v>6.55</v>
      </c>
      <c r="Q485" s="116">
        <v>6.3</v>
      </c>
      <c r="R485">
        <v>1351661</v>
      </c>
    </row>
    <row r="486" spans="1:18" x14ac:dyDescent="0.25">
      <c r="A486" s="170">
        <v>42718</v>
      </c>
      <c r="B486" s="116">
        <v>6.44</v>
      </c>
      <c r="C486" s="116">
        <v>6.22</v>
      </c>
      <c r="D486" s="116">
        <v>6.21</v>
      </c>
      <c r="E486" s="116">
        <v>6.28</v>
      </c>
      <c r="F486" s="116">
        <v>6.22</v>
      </c>
      <c r="G486">
        <v>320694</v>
      </c>
      <c r="H486" s="116"/>
      <c r="I486" s="116"/>
      <c r="L486" s="170">
        <v>42718</v>
      </c>
      <c r="M486" s="116">
        <v>6.25</v>
      </c>
      <c r="N486" s="116">
        <v>6.45</v>
      </c>
      <c r="O486" s="116">
        <v>6.2</v>
      </c>
      <c r="P486" s="116">
        <v>6.3</v>
      </c>
      <c r="Q486" s="116">
        <v>6.25</v>
      </c>
      <c r="R486">
        <v>1718662</v>
      </c>
    </row>
    <row r="487" spans="1:18" x14ac:dyDescent="0.25">
      <c r="A487" s="170">
        <v>42719</v>
      </c>
      <c r="B487" s="116">
        <v>6.7</v>
      </c>
      <c r="C487" s="116">
        <v>6.25</v>
      </c>
      <c r="D487" s="116">
        <v>6.19</v>
      </c>
      <c r="E487" s="116">
        <v>6.3</v>
      </c>
      <c r="F487" s="116">
        <v>6.25</v>
      </c>
      <c r="G487">
        <v>670542</v>
      </c>
      <c r="H487" s="116"/>
      <c r="I487" s="116"/>
      <c r="L487" s="170">
        <v>42719</v>
      </c>
      <c r="M487" s="116">
        <v>6.2</v>
      </c>
      <c r="N487" s="116">
        <v>6.75</v>
      </c>
      <c r="O487" s="116">
        <v>6.15</v>
      </c>
      <c r="P487" s="116">
        <v>6.2</v>
      </c>
      <c r="Q487" s="116">
        <v>6.2</v>
      </c>
      <c r="R487">
        <v>4384062</v>
      </c>
    </row>
    <row r="488" spans="1:18" x14ac:dyDescent="0.25">
      <c r="A488" s="170">
        <v>42720</v>
      </c>
      <c r="B488" s="116">
        <v>6.43</v>
      </c>
      <c r="C488" s="116">
        <v>6.23</v>
      </c>
      <c r="D488" s="116">
        <v>6.17</v>
      </c>
      <c r="E488" s="116">
        <v>6.43</v>
      </c>
      <c r="F488" s="116">
        <v>6.23</v>
      </c>
      <c r="G488">
        <v>300541</v>
      </c>
      <c r="H488" s="116"/>
      <c r="I488" s="116"/>
      <c r="L488" s="170">
        <v>42720</v>
      </c>
      <c r="M488" s="116">
        <v>6.25</v>
      </c>
      <c r="N488" s="116">
        <v>6.4</v>
      </c>
      <c r="O488" s="116">
        <v>6.15</v>
      </c>
      <c r="P488" s="116">
        <v>6.25</v>
      </c>
      <c r="Q488" s="116">
        <v>6.25</v>
      </c>
      <c r="R488">
        <v>1157017</v>
      </c>
    </row>
    <row r="489" spans="1:18" x14ac:dyDescent="0.25">
      <c r="A489" s="170">
        <v>42723</v>
      </c>
      <c r="B489" s="116">
        <v>6.35</v>
      </c>
      <c r="C489" s="116">
        <v>6.29</v>
      </c>
      <c r="D489" s="116">
        <v>6.23</v>
      </c>
      <c r="E489" s="116">
        <v>6.28</v>
      </c>
      <c r="F489" s="116">
        <v>6.29</v>
      </c>
      <c r="G489">
        <v>189091</v>
      </c>
      <c r="H489" s="116"/>
      <c r="I489" s="116"/>
      <c r="L489" s="170">
        <v>42723</v>
      </c>
      <c r="M489" s="116">
        <v>6.3</v>
      </c>
      <c r="N489" s="116">
        <v>6.35</v>
      </c>
      <c r="O489" s="116">
        <v>6.15</v>
      </c>
      <c r="P489" s="116">
        <v>6.25</v>
      </c>
      <c r="Q489" s="116">
        <v>6.3</v>
      </c>
      <c r="R489">
        <v>428574</v>
      </c>
    </row>
    <row r="490" spans="1:18" x14ac:dyDescent="0.25">
      <c r="A490" s="170">
        <v>42724</v>
      </c>
      <c r="B490" s="116">
        <v>6.45</v>
      </c>
      <c r="C490" s="116">
        <v>6.17</v>
      </c>
      <c r="D490" s="116">
        <v>6.15</v>
      </c>
      <c r="E490" s="116">
        <v>6.45</v>
      </c>
      <c r="F490" s="116">
        <v>6.17</v>
      </c>
      <c r="G490">
        <v>201650</v>
      </c>
      <c r="H490" s="116"/>
      <c r="I490" s="116"/>
      <c r="L490" s="170">
        <v>42724</v>
      </c>
      <c r="M490" s="116">
        <v>6.2</v>
      </c>
      <c r="N490" s="116">
        <v>6.3</v>
      </c>
      <c r="O490" s="116">
        <v>6.15</v>
      </c>
      <c r="P490" s="116">
        <v>6.3</v>
      </c>
      <c r="Q490" s="116">
        <v>6.2</v>
      </c>
      <c r="R490">
        <v>557730</v>
      </c>
    </row>
    <row r="491" spans="1:18" x14ac:dyDescent="0.25">
      <c r="A491" s="170">
        <v>42725</v>
      </c>
      <c r="B491" s="116">
        <v>6.25</v>
      </c>
      <c r="C491" s="116">
        <v>6.13</v>
      </c>
      <c r="D491" s="116">
        <v>6.07</v>
      </c>
      <c r="E491" s="116">
        <v>6.2</v>
      </c>
      <c r="F491" s="116">
        <v>6.13</v>
      </c>
      <c r="G491">
        <v>381387</v>
      </c>
      <c r="H491" s="116"/>
      <c r="I491" s="116"/>
      <c r="L491" s="170">
        <v>42725</v>
      </c>
      <c r="M491" s="116">
        <v>6.15</v>
      </c>
      <c r="N491" s="116">
        <v>6.25</v>
      </c>
      <c r="O491" s="116">
        <v>6.05</v>
      </c>
      <c r="P491" s="116">
        <v>6.2</v>
      </c>
      <c r="Q491" s="116">
        <v>6.15</v>
      </c>
      <c r="R491">
        <v>988779</v>
      </c>
    </row>
    <row r="492" spans="1:18" x14ac:dyDescent="0.25">
      <c r="A492" s="170">
        <v>42726</v>
      </c>
      <c r="B492" s="116">
        <v>6.2</v>
      </c>
      <c r="C492" s="116">
        <v>6.04</v>
      </c>
      <c r="D492" s="116">
        <v>6.02</v>
      </c>
      <c r="E492" s="116">
        <v>6.2</v>
      </c>
      <c r="F492" s="116">
        <v>6.04</v>
      </c>
      <c r="G492">
        <v>286258</v>
      </c>
      <c r="H492" s="116"/>
      <c r="I492" s="116"/>
      <c r="L492" s="170">
        <v>42726</v>
      </c>
      <c r="M492" s="116">
        <v>6</v>
      </c>
      <c r="N492" s="116">
        <v>6.2</v>
      </c>
      <c r="O492" s="116">
        <v>6</v>
      </c>
      <c r="P492" s="116">
        <v>6.2</v>
      </c>
      <c r="Q492" s="116">
        <v>6</v>
      </c>
      <c r="R492">
        <v>1526942</v>
      </c>
    </row>
    <row r="493" spans="1:18" x14ac:dyDescent="0.25">
      <c r="A493" s="170">
        <v>42727</v>
      </c>
      <c r="B493" s="116">
        <v>6.12</v>
      </c>
      <c r="C493" s="116">
        <v>6.06</v>
      </c>
      <c r="D493" s="116">
        <v>6.02</v>
      </c>
      <c r="E493" s="116">
        <v>6.06</v>
      </c>
      <c r="F493" s="116">
        <v>6.06</v>
      </c>
      <c r="G493">
        <v>263866</v>
      </c>
      <c r="H493" s="116"/>
      <c r="I493" s="116"/>
      <c r="L493" s="170">
        <v>42727</v>
      </c>
      <c r="M493" s="116">
        <v>6.05</v>
      </c>
      <c r="N493" s="116">
        <v>6.15</v>
      </c>
      <c r="O493" s="116">
        <v>6</v>
      </c>
      <c r="P493" s="116">
        <v>6.05</v>
      </c>
      <c r="Q493" s="116">
        <v>6.05</v>
      </c>
      <c r="R493">
        <v>805766</v>
      </c>
    </row>
    <row r="494" spans="1:18" x14ac:dyDescent="0.25">
      <c r="A494" s="170">
        <v>42730</v>
      </c>
      <c r="B494" s="116">
        <v>6</v>
      </c>
      <c r="C494" s="116">
        <v>5.87</v>
      </c>
      <c r="D494" s="116">
        <v>5.8</v>
      </c>
      <c r="E494" s="116">
        <v>6</v>
      </c>
      <c r="F494" s="116">
        <v>5.87</v>
      </c>
      <c r="G494">
        <v>232089</v>
      </c>
      <c r="H494" s="116"/>
      <c r="I494" s="116"/>
      <c r="L494" s="170">
        <v>42730</v>
      </c>
      <c r="M494" s="116">
        <v>5.85</v>
      </c>
      <c r="N494" s="116">
        <v>6.05</v>
      </c>
      <c r="O494" s="116">
        <v>5.85</v>
      </c>
      <c r="P494" s="116">
        <v>6.05</v>
      </c>
      <c r="Q494" s="116">
        <v>5.85</v>
      </c>
      <c r="R494">
        <v>1068929</v>
      </c>
    </row>
    <row r="495" spans="1:18" x14ac:dyDescent="0.25">
      <c r="A495" s="170">
        <v>42731</v>
      </c>
      <c r="B495" s="116">
        <v>5.99</v>
      </c>
      <c r="C495" s="116">
        <v>5.92</v>
      </c>
      <c r="D495" s="116">
        <v>5.75</v>
      </c>
      <c r="E495" s="116">
        <v>5.89</v>
      </c>
      <c r="F495" s="116">
        <v>5.92</v>
      </c>
      <c r="G495">
        <v>191364</v>
      </c>
      <c r="H495" s="116"/>
      <c r="I495" s="116"/>
      <c r="L495" s="170">
        <v>42731</v>
      </c>
      <c r="M495" s="116">
        <v>5.9</v>
      </c>
      <c r="N495" s="116">
        <v>6</v>
      </c>
      <c r="O495" s="116">
        <v>5.75</v>
      </c>
      <c r="P495" s="116">
        <v>5.85</v>
      </c>
      <c r="Q495" s="116">
        <v>5.9</v>
      </c>
      <c r="R495">
        <v>1214554</v>
      </c>
    </row>
    <row r="496" spans="1:18" x14ac:dyDescent="0.25">
      <c r="A496" s="170">
        <v>42732</v>
      </c>
      <c r="B496" s="116">
        <v>6.02</v>
      </c>
      <c r="C496" s="116">
        <v>5.92</v>
      </c>
      <c r="D496" s="116">
        <v>5.86</v>
      </c>
      <c r="E496" s="116">
        <v>5.9</v>
      </c>
      <c r="F496" s="116">
        <v>5.92</v>
      </c>
      <c r="G496">
        <v>272349</v>
      </c>
      <c r="H496" s="116"/>
      <c r="I496" s="116"/>
      <c r="L496" s="170">
        <v>42732</v>
      </c>
      <c r="M496" s="116">
        <v>5.95</v>
      </c>
      <c r="N496" s="116">
        <v>6</v>
      </c>
      <c r="O496" s="116">
        <v>5.85</v>
      </c>
      <c r="P496" s="116">
        <v>5.9</v>
      </c>
      <c r="Q496" s="116">
        <v>5.95</v>
      </c>
      <c r="R496">
        <v>728636</v>
      </c>
    </row>
    <row r="497" spans="1:18" x14ac:dyDescent="0.25">
      <c r="A497" s="170">
        <v>42733</v>
      </c>
      <c r="B497" s="116">
        <v>6.08</v>
      </c>
      <c r="C497" s="116">
        <v>6.01</v>
      </c>
      <c r="D497" s="116">
        <v>5.85</v>
      </c>
      <c r="E497" s="116">
        <v>5.98</v>
      </c>
      <c r="F497" s="116">
        <v>6.01</v>
      </c>
      <c r="G497">
        <v>296493</v>
      </c>
      <c r="H497" s="116"/>
      <c r="I497" s="116"/>
      <c r="L497" s="170">
        <v>42733</v>
      </c>
      <c r="M497" s="116">
        <v>6</v>
      </c>
      <c r="N497" s="116">
        <v>6.1</v>
      </c>
      <c r="O497" s="116">
        <v>5.85</v>
      </c>
      <c r="P497" s="116">
        <v>5.9</v>
      </c>
      <c r="Q497" s="116">
        <v>6</v>
      </c>
      <c r="R497">
        <v>682909</v>
      </c>
    </row>
    <row r="498" spans="1:18" x14ac:dyDescent="0.25">
      <c r="A498" s="170">
        <v>42734</v>
      </c>
      <c r="B498" s="116">
        <v>6.14</v>
      </c>
      <c r="C498" s="116">
        <v>6.02</v>
      </c>
      <c r="D498" s="116">
        <v>5.97</v>
      </c>
      <c r="E498" s="116">
        <v>6</v>
      </c>
      <c r="F498" s="116">
        <v>6.02</v>
      </c>
      <c r="G498">
        <v>203896</v>
      </c>
      <c r="H498" s="116"/>
      <c r="I498" s="116"/>
      <c r="L498" s="170">
        <v>42734</v>
      </c>
      <c r="M498" s="116">
        <v>6</v>
      </c>
      <c r="N498" s="116">
        <v>6.15</v>
      </c>
      <c r="O498" s="116">
        <v>5.95</v>
      </c>
      <c r="P498" s="116">
        <v>6.05</v>
      </c>
      <c r="Q498" s="116">
        <v>6</v>
      </c>
      <c r="R498">
        <v>413775</v>
      </c>
    </row>
    <row r="499" spans="1:18" x14ac:dyDescent="0.25">
      <c r="A499" s="170">
        <v>42737</v>
      </c>
      <c r="B499" s="116">
        <v>6.14</v>
      </c>
      <c r="C499" s="116">
        <v>6.09</v>
      </c>
      <c r="D499" s="116">
        <v>5.85</v>
      </c>
      <c r="E499" s="116">
        <v>5.9</v>
      </c>
      <c r="F499" s="116">
        <v>6.09</v>
      </c>
      <c r="G499">
        <v>73303</v>
      </c>
      <c r="H499" s="116"/>
      <c r="I499" s="116"/>
      <c r="L499" s="170">
        <v>42737</v>
      </c>
      <c r="M499" s="116">
        <v>6.1</v>
      </c>
      <c r="N499" s="116">
        <v>6.15</v>
      </c>
      <c r="O499" s="116">
        <v>6</v>
      </c>
      <c r="P499" s="116">
        <v>6.15</v>
      </c>
      <c r="Q499" s="116">
        <v>6.1</v>
      </c>
      <c r="R499">
        <v>647164</v>
      </c>
    </row>
    <row r="500" spans="1:18" x14ac:dyDescent="0.25">
      <c r="A500" s="170">
        <v>42738</v>
      </c>
      <c r="B500" s="116">
        <v>6.16</v>
      </c>
      <c r="C500" s="116">
        <v>6.02</v>
      </c>
      <c r="D500" s="116">
        <v>5.96</v>
      </c>
      <c r="E500" s="116">
        <v>6.16</v>
      </c>
      <c r="F500" s="116">
        <v>6.02</v>
      </c>
      <c r="G500">
        <v>146664</v>
      </c>
      <c r="H500" s="116"/>
      <c r="I500" s="116"/>
      <c r="L500" s="170">
        <v>42738</v>
      </c>
      <c r="M500" s="116">
        <v>6</v>
      </c>
      <c r="N500" s="116">
        <v>6.15</v>
      </c>
      <c r="O500" s="116">
        <v>5.95</v>
      </c>
      <c r="P500" s="116">
        <v>6.1</v>
      </c>
      <c r="Q500" s="116">
        <v>6</v>
      </c>
      <c r="R500">
        <v>1178997</v>
      </c>
    </row>
    <row r="501" spans="1:18" x14ac:dyDescent="0.25">
      <c r="A501" s="170">
        <v>42739</v>
      </c>
      <c r="B501" s="116">
        <v>6.14</v>
      </c>
      <c r="C501" s="116">
        <v>6.03</v>
      </c>
      <c r="D501" s="116">
        <v>6</v>
      </c>
      <c r="E501" s="116">
        <v>6.14</v>
      </c>
      <c r="F501" s="116">
        <v>6.03</v>
      </c>
      <c r="G501">
        <v>173491</v>
      </c>
      <c r="H501" s="116"/>
      <c r="I501" s="116"/>
      <c r="L501" s="170">
        <v>42739</v>
      </c>
      <c r="M501" s="116">
        <v>6.05</v>
      </c>
      <c r="N501" s="116">
        <v>6.1</v>
      </c>
      <c r="O501" s="116">
        <v>6</v>
      </c>
      <c r="P501" s="116">
        <v>6.05</v>
      </c>
      <c r="Q501" s="116">
        <v>6.05</v>
      </c>
      <c r="R501">
        <v>422220</v>
      </c>
    </row>
    <row r="502" spans="1:18" x14ac:dyDescent="0.25">
      <c r="A502" s="170">
        <v>42740</v>
      </c>
      <c r="B502" s="116">
        <v>6.18</v>
      </c>
      <c r="C502" s="116">
        <v>6.08</v>
      </c>
      <c r="D502" s="116">
        <v>6.03</v>
      </c>
      <c r="E502" s="116">
        <v>6.03</v>
      </c>
      <c r="F502" s="116">
        <v>6.08</v>
      </c>
      <c r="G502">
        <v>217009</v>
      </c>
      <c r="H502" s="116"/>
      <c r="I502" s="116"/>
      <c r="L502" s="170">
        <v>42740</v>
      </c>
      <c r="M502" s="116">
        <v>6.1</v>
      </c>
      <c r="N502" s="116">
        <v>6.2</v>
      </c>
      <c r="O502" s="116">
        <v>6</v>
      </c>
      <c r="P502" s="116">
        <v>6.1</v>
      </c>
      <c r="Q502" s="116">
        <v>6.1</v>
      </c>
      <c r="R502">
        <v>978503</v>
      </c>
    </row>
    <row r="503" spans="1:18" x14ac:dyDescent="0.25">
      <c r="A503" s="170">
        <v>42741</v>
      </c>
      <c r="B503" s="116">
        <v>6.12</v>
      </c>
      <c r="C503" s="116">
        <v>6.01</v>
      </c>
      <c r="D503" s="116">
        <v>5.98</v>
      </c>
      <c r="E503" s="116">
        <v>6.08</v>
      </c>
      <c r="F503" s="116">
        <v>6.01</v>
      </c>
      <c r="G503">
        <v>266331</v>
      </c>
      <c r="H503" s="116"/>
      <c r="I503" s="116"/>
      <c r="L503" s="170">
        <v>42741</v>
      </c>
      <c r="M503" s="116">
        <v>6</v>
      </c>
      <c r="N503" s="116">
        <v>6.15</v>
      </c>
      <c r="O503" s="116">
        <v>5.95</v>
      </c>
      <c r="P503" s="116">
        <v>6.1</v>
      </c>
      <c r="Q503" s="116">
        <v>6</v>
      </c>
      <c r="R503">
        <v>1023541</v>
      </c>
    </row>
    <row r="504" spans="1:18" x14ac:dyDescent="0.25">
      <c r="A504" s="170">
        <v>42744</v>
      </c>
      <c r="B504" s="116">
        <v>6.09</v>
      </c>
      <c r="C504" s="116">
        <v>6.04</v>
      </c>
      <c r="D504" s="116">
        <v>5.97</v>
      </c>
      <c r="E504" s="116">
        <v>5.97</v>
      </c>
      <c r="F504" s="116">
        <v>6.04</v>
      </c>
      <c r="G504">
        <v>169219</v>
      </c>
      <c r="H504" s="116"/>
      <c r="I504" s="116"/>
      <c r="L504" s="170">
        <v>42744</v>
      </c>
      <c r="M504" s="116">
        <v>6</v>
      </c>
      <c r="N504" s="116">
        <v>6.1</v>
      </c>
      <c r="O504" s="116">
        <v>6</v>
      </c>
      <c r="P504" s="116">
        <v>6</v>
      </c>
      <c r="Q504" s="116">
        <v>6</v>
      </c>
      <c r="R504">
        <v>519662</v>
      </c>
    </row>
    <row r="505" spans="1:18" x14ac:dyDescent="0.25">
      <c r="A505" s="170">
        <v>42745</v>
      </c>
      <c r="B505" s="116">
        <v>6.11</v>
      </c>
      <c r="C505" s="116">
        <v>6.02</v>
      </c>
      <c r="D505" s="116">
        <v>6</v>
      </c>
      <c r="E505" s="116">
        <v>6.11</v>
      </c>
      <c r="F505" s="116">
        <v>6.02</v>
      </c>
      <c r="G505">
        <v>146744</v>
      </c>
      <c r="H505" s="116"/>
      <c r="I505" s="116"/>
      <c r="L505" s="170">
        <v>42745</v>
      </c>
      <c r="M505" s="116">
        <v>6</v>
      </c>
      <c r="N505" s="116">
        <v>6.1</v>
      </c>
      <c r="O505" s="116">
        <v>6</v>
      </c>
      <c r="P505" s="116">
        <v>6.05</v>
      </c>
      <c r="Q505" s="116">
        <v>6</v>
      </c>
      <c r="R505">
        <v>518727</v>
      </c>
    </row>
    <row r="506" spans="1:18" x14ac:dyDescent="0.25">
      <c r="A506" s="170">
        <v>42746</v>
      </c>
      <c r="B506" s="116">
        <v>6.1</v>
      </c>
      <c r="C506" s="116">
        <v>6.06</v>
      </c>
      <c r="D506" s="116">
        <v>6.02</v>
      </c>
      <c r="E506" s="116">
        <v>6.04</v>
      </c>
      <c r="F506" s="116">
        <v>6.06</v>
      </c>
      <c r="G506">
        <v>131325</v>
      </c>
      <c r="H506" s="116"/>
      <c r="I506" s="116"/>
      <c r="L506" s="170">
        <v>42746</v>
      </c>
      <c r="M506" s="116">
        <v>6.05</v>
      </c>
      <c r="N506" s="116">
        <v>6.1</v>
      </c>
      <c r="O506" s="116">
        <v>6</v>
      </c>
      <c r="P506" s="116">
        <v>6.05</v>
      </c>
      <c r="Q506" s="116">
        <v>6.05</v>
      </c>
      <c r="R506">
        <v>423285</v>
      </c>
    </row>
    <row r="507" spans="1:18" x14ac:dyDescent="0.25">
      <c r="A507" s="170">
        <v>42747</v>
      </c>
      <c r="B507" s="116">
        <v>6.1</v>
      </c>
      <c r="C507" s="116">
        <v>6.05</v>
      </c>
      <c r="D507" s="116">
        <v>6.02</v>
      </c>
      <c r="E507" s="116">
        <v>6.04</v>
      </c>
      <c r="F507" s="116">
        <v>6.05</v>
      </c>
      <c r="G507">
        <v>232035</v>
      </c>
      <c r="H507" s="116"/>
      <c r="I507" s="116"/>
      <c r="L507" s="170">
        <v>42747</v>
      </c>
      <c r="M507" s="116">
        <v>6.05</v>
      </c>
      <c r="N507" s="116">
        <v>6.1</v>
      </c>
      <c r="O507" s="116">
        <v>6</v>
      </c>
      <c r="P507" s="116">
        <v>6.1</v>
      </c>
      <c r="Q507" s="116">
        <v>6.05</v>
      </c>
      <c r="R507">
        <v>408224</v>
      </c>
    </row>
    <row r="508" spans="1:18" x14ac:dyDescent="0.25">
      <c r="A508" s="170">
        <v>42748</v>
      </c>
      <c r="B508" s="116">
        <v>6.21</v>
      </c>
      <c r="C508" s="116">
        <v>6.05</v>
      </c>
      <c r="D508" s="116">
        <v>6.03</v>
      </c>
      <c r="E508" s="116">
        <v>6.1</v>
      </c>
      <c r="F508" s="116">
        <v>6.05</v>
      </c>
      <c r="G508">
        <v>330283</v>
      </c>
      <c r="H508" s="116"/>
      <c r="I508" s="116"/>
      <c r="L508" s="170">
        <v>42748</v>
      </c>
      <c r="M508" s="116">
        <v>6.05</v>
      </c>
      <c r="N508" s="116">
        <v>6.25</v>
      </c>
      <c r="O508" s="116">
        <v>6.05</v>
      </c>
      <c r="P508" s="116">
        <v>6.1</v>
      </c>
      <c r="Q508" s="116">
        <v>6.05</v>
      </c>
      <c r="R508">
        <v>1219834</v>
      </c>
    </row>
    <row r="509" spans="1:18" x14ac:dyDescent="0.25">
      <c r="A509" s="170">
        <v>42751</v>
      </c>
      <c r="B509" s="116">
        <v>6.13</v>
      </c>
      <c r="C509" s="116">
        <v>6.05</v>
      </c>
      <c r="D509" s="116">
        <v>5.97</v>
      </c>
      <c r="E509" s="116">
        <v>6</v>
      </c>
      <c r="F509" s="116">
        <v>6.05</v>
      </c>
      <c r="G509">
        <v>126002</v>
      </c>
      <c r="H509" s="116"/>
      <c r="I509" s="116"/>
      <c r="L509" s="170">
        <v>42751</v>
      </c>
      <c r="M509" s="116">
        <v>6.05</v>
      </c>
      <c r="N509" s="116">
        <v>6.1</v>
      </c>
      <c r="O509" s="116">
        <v>6</v>
      </c>
      <c r="P509" s="116">
        <v>6.05</v>
      </c>
      <c r="Q509" s="116">
        <v>6.05</v>
      </c>
      <c r="R509">
        <v>622157</v>
      </c>
    </row>
    <row r="510" spans="1:18" x14ac:dyDescent="0.25">
      <c r="A510" s="170">
        <v>42752</v>
      </c>
      <c r="B510" s="116">
        <v>6.1</v>
      </c>
      <c r="C510" s="116">
        <v>6.05</v>
      </c>
      <c r="D510" s="116">
        <v>6.02</v>
      </c>
      <c r="E510" s="116">
        <v>6.02</v>
      </c>
      <c r="F510" s="116">
        <v>6.05</v>
      </c>
      <c r="G510">
        <v>130613</v>
      </c>
      <c r="H510" s="116"/>
      <c r="I510" s="116"/>
      <c r="L510" s="170">
        <v>42752</v>
      </c>
      <c r="M510" s="116">
        <v>6.05</v>
      </c>
      <c r="N510" s="116">
        <v>6.1</v>
      </c>
      <c r="O510" s="116">
        <v>6</v>
      </c>
      <c r="P510" s="116">
        <v>6.05</v>
      </c>
      <c r="Q510" s="116">
        <v>6.05</v>
      </c>
      <c r="R510">
        <v>474999</v>
      </c>
    </row>
    <row r="511" spans="1:18" x14ac:dyDescent="0.25">
      <c r="A511" s="170">
        <v>42753</v>
      </c>
      <c r="B511" s="116">
        <v>6.1</v>
      </c>
      <c r="C511" s="116">
        <v>6.02</v>
      </c>
      <c r="D511" s="116">
        <v>6.01</v>
      </c>
      <c r="E511" s="116">
        <v>6.05</v>
      </c>
      <c r="F511" s="116">
        <v>6.02</v>
      </c>
      <c r="G511">
        <v>142535</v>
      </c>
      <c r="H511" s="116"/>
      <c r="I511" s="116"/>
      <c r="L511" s="170">
        <v>42753</v>
      </c>
      <c r="M511" s="116">
        <v>6.05</v>
      </c>
      <c r="N511" s="116">
        <v>6.1</v>
      </c>
      <c r="O511" s="116">
        <v>6</v>
      </c>
      <c r="P511" s="116">
        <v>6.05</v>
      </c>
      <c r="Q511" s="116">
        <v>6.05</v>
      </c>
      <c r="R511">
        <v>618142</v>
      </c>
    </row>
    <row r="512" spans="1:18" x14ac:dyDescent="0.25">
      <c r="A512" s="170">
        <v>42754</v>
      </c>
      <c r="B512" s="116">
        <v>6.08</v>
      </c>
      <c r="C512" s="116">
        <v>6.03</v>
      </c>
      <c r="D512" s="116">
        <v>5.98</v>
      </c>
      <c r="E512" s="116">
        <v>6.02</v>
      </c>
      <c r="F512" s="116">
        <v>6.03</v>
      </c>
      <c r="G512">
        <v>137995</v>
      </c>
      <c r="H512" s="116"/>
      <c r="I512" s="116"/>
      <c r="L512" s="170">
        <v>42754</v>
      </c>
      <c r="M512" s="116">
        <v>6</v>
      </c>
      <c r="N512" s="116">
        <v>6.1</v>
      </c>
      <c r="O512" s="116">
        <v>5.95</v>
      </c>
      <c r="P512" s="116">
        <v>6.05</v>
      </c>
      <c r="Q512" s="116">
        <v>6</v>
      </c>
      <c r="R512">
        <v>592703</v>
      </c>
    </row>
    <row r="513" spans="1:18" x14ac:dyDescent="0.25">
      <c r="A513" s="170">
        <v>42755</v>
      </c>
      <c r="B513" s="116">
        <v>6.07</v>
      </c>
      <c r="C513" s="116">
        <v>6.01</v>
      </c>
      <c r="D513" s="116">
        <v>5.98</v>
      </c>
      <c r="E513" s="116">
        <v>6.03</v>
      </c>
      <c r="F513" s="116">
        <v>6.01</v>
      </c>
      <c r="G513">
        <v>99004</v>
      </c>
      <c r="H513" s="116"/>
      <c r="I513" s="116"/>
      <c r="L513" s="170">
        <v>42755</v>
      </c>
      <c r="M513" s="116">
        <v>6</v>
      </c>
      <c r="N513" s="116">
        <v>6.1</v>
      </c>
      <c r="O513" s="116">
        <v>5.95</v>
      </c>
      <c r="P513" s="116">
        <v>6</v>
      </c>
      <c r="Q513" s="116">
        <v>6</v>
      </c>
      <c r="R513">
        <v>665567</v>
      </c>
    </row>
    <row r="514" spans="1:18" x14ac:dyDescent="0.25">
      <c r="A514" s="170">
        <v>42758</v>
      </c>
      <c r="B514" s="116">
        <v>6.06</v>
      </c>
      <c r="C514" s="116">
        <v>5.98</v>
      </c>
      <c r="D514" s="116">
        <v>5.96</v>
      </c>
      <c r="E514" s="116">
        <v>6</v>
      </c>
      <c r="F514" s="116">
        <v>5.98</v>
      </c>
      <c r="G514">
        <v>158830</v>
      </c>
      <c r="H514" s="116"/>
      <c r="I514" s="116"/>
      <c r="L514" s="170">
        <v>42758</v>
      </c>
      <c r="M514" s="116">
        <v>5.95</v>
      </c>
      <c r="N514" s="116">
        <v>6.05</v>
      </c>
      <c r="O514" s="116">
        <v>5.95</v>
      </c>
      <c r="P514" s="116">
        <v>6</v>
      </c>
      <c r="Q514" s="116">
        <v>5.95</v>
      </c>
      <c r="R514">
        <v>376323</v>
      </c>
    </row>
    <row r="515" spans="1:18" x14ac:dyDescent="0.25">
      <c r="A515" s="170">
        <v>42759</v>
      </c>
      <c r="B515" s="116">
        <v>6</v>
      </c>
      <c r="C515" s="116">
        <v>5.95</v>
      </c>
      <c r="D515" s="116">
        <v>5.9</v>
      </c>
      <c r="E515" s="116">
        <v>5.93</v>
      </c>
      <c r="F515" s="116">
        <v>5.95</v>
      </c>
      <c r="G515">
        <v>141592</v>
      </c>
      <c r="H515" s="116"/>
      <c r="I515" s="116"/>
      <c r="L515" s="170">
        <v>42759</v>
      </c>
      <c r="M515" s="116">
        <v>5.95</v>
      </c>
      <c r="N515" s="116">
        <v>6.05</v>
      </c>
      <c r="O515" s="116">
        <v>5.85</v>
      </c>
      <c r="P515" s="116">
        <v>6</v>
      </c>
      <c r="Q515" s="116">
        <v>5.95</v>
      </c>
      <c r="R515">
        <v>1051182</v>
      </c>
    </row>
    <row r="516" spans="1:18" x14ac:dyDescent="0.25">
      <c r="A516" s="170">
        <v>42760</v>
      </c>
      <c r="B516" s="116">
        <v>5.99</v>
      </c>
      <c r="C516" s="116">
        <v>5.87</v>
      </c>
      <c r="D516" s="116">
        <v>5.82</v>
      </c>
      <c r="E516" s="116">
        <v>5.94</v>
      </c>
      <c r="F516" s="116">
        <v>5.87</v>
      </c>
      <c r="G516">
        <v>244997</v>
      </c>
      <c r="H516" s="116"/>
      <c r="I516" s="116"/>
      <c r="L516" s="170">
        <v>42760</v>
      </c>
      <c r="M516" s="116">
        <v>5.85</v>
      </c>
      <c r="N516" s="116">
        <v>6</v>
      </c>
      <c r="O516" s="116">
        <v>5.8</v>
      </c>
      <c r="P516" s="116">
        <v>6</v>
      </c>
      <c r="Q516" s="116">
        <v>5.85</v>
      </c>
      <c r="R516">
        <v>1329345</v>
      </c>
    </row>
    <row r="517" spans="1:18" x14ac:dyDescent="0.25">
      <c r="A517" s="170">
        <v>42762</v>
      </c>
      <c r="B517" s="116">
        <v>5.93</v>
      </c>
      <c r="C517" s="116">
        <v>5.89</v>
      </c>
      <c r="D517" s="116">
        <v>5.81</v>
      </c>
      <c r="E517" s="116">
        <v>5.84</v>
      </c>
      <c r="F517" s="116">
        <v>5.89</v>
      </c>
      <c r="G517">
        <v>165995</v>
      </c>
      <c r="H517" s="116"/>
      <c r="I517" s="116"/>
      <c r="L517" s="170">
        <v>42762</v>
      </c>
      <c r="M517" s="116">
        <v>5.9</v>
      </c>
      <c r="N517" s="116">
        <v>5.95</v>
      </c>
      <c r="O517" s="116">
        <v>5.8</v>
      </c>
      <c r="P517" s="116">
        <v>5.8</v>
      </c>
      <c r="Q517" s="116">
        <v>5.9</v>
      </c>
      <c r="R517">
        <v>799114</v>
      </c>
    </row>
    <row r="518" spans="1:18" x14ac:dyDescent="0.25">
      <c r="A518" s="170">
        <v>42765</v>
      </c>
      <c r="B518" s="116">
        <v>6.54</v>
      </c>
      <c r="C518" s="116">
        <v>6.24</v>
      </c>
      <c r="D518" s="116">
        <v>5.9</v>
      </c>
      <c r="E518" s="116">
        <v>5.9</v>
      </c>
      <c r="F518" s="116">
        <v>6.24</v>
      </c>
      <c r="G518">
        <v>1100135</v>
      </c>
      <c r="H518" s="116"/>
      <c r="I518" s="116"/>
      <c r="L518" s="170">
        <v>42765</v>
      </c>
      <c r="M518" s="116">
        <v>6.2</v>
      </c>
      <c r="N518" s="116">
        <v>6.55</v>
      </c>
      <c r="O518" s="116">
        <v>5.95</v>
      </c>
      <c r="P518" s="116">
        <v>5.95</v>
      </c>
      <c r="Q518" s="116">
        <v>6.2</v>
      </c>
      <c r="R518">
        <v>6966508</v>
      </c>
    </row>
    <row r="519" spans="1:18" x14ac:dyDescent="0.25">
      <c r="A519" s="170">
        <v>42766</v>
      </c>
      <c r="B519" s="116">
        <v>6.34</v>
      </c>
      <c r="C519" s="116">
        <v>6.06</v>
      </c>
      <c r="D519" s="116">
        <v>6.03</v>
      </c>
      <c r="E519" s="116">
        <v>6.3</v>
      </c>
      <c r="F519" s="116">
        <v>6.06</v>
      </c>
      <c r="G519">
        <v>523052</v>
      </c>
      <c r="H519" s="116"/>
      <c r="I519" s="116"/>
      <c r="L519" s="170">
        <v>42766</v>
      </c>
      <c r="M519" s="116">
        <v>6.05</v>
      </c>
      <c r="N519" s="116">
        <v>6.35</v>
      </c>
      <c r="O519" s="116">
        <v>6.05</v>
      </c>
      <c r="P519" s="116">
        <v>6.2</v>
      </c>
      <c r="Q519" s="116">
        <v>6.05</v>
      </c>
      <c r="R519">
        <v>1977239</v>
      </c>
    </row>
    <row r="520" spans="1:18" x14ac:dyDescent="0.25">
      <c r="A520" s="170">
        <v>42767</v>
      </c>
      <c r="B520" s="116">
        <v>6.17</v>
      </c>
      <c r="C520" s="116">
        <v>6.12</v>
      </c>
      <c r="D520" s="116">
        <v>6.01</v>
      </c>
      <c r="E520" s="116">
        <v>6.06</v>
      </c>
      <c r="F520" s="116">
        <v>6.12</v>
      </c>
      <c r="G520">
        <v>297390</v>
      </c>
      <c r="H520" s="116"/>
      <c r="I520" s="116"/>
      <c r="L520" s="170">
        <v>42767</v>
      </c>
      <c r="M520" s="116">
        <v>6.1</v>
      </c>
      <c r="N520" s="116">
        <v>6.15</v>
      </c>
      <c r="O520" s="116">
        <v>6</v>
      </c>
      <c r="P520" s="116">
        <v>6.1</v>
      </c>
      <c r="Q520" s="116">
        <v>6.1</v>
      </c>
      <c r="R520">
        <v>785326</v>
      </c>
    </row>
    <row r="521" spans="1:18" x14ac:dyDescent="0.25">
      <c r="A521" s="170">
        <v>42768</v>
      </c>
      <c r="B521" s="116">
        <v>6.29</v>
      </c>
      <c r="C521" s="116">
        <v>6.07</v>
      </c>
      <c r="D521" s="116">
        <v>6.03</v>
      </c>
      <c r="E521" s="116">
        <v>6.29</v>
      </c>
      <c r="F521" s="116">
        <v>6.07</v>
      </c>
      <c r="G521">
        <v>322257</v>
      </c>
      <c r="H521" s="116"/>
      <c r="I521" s="116"/>
      <c r="L521" s="170">
        <v>42768</v>
      </c>
      <c r="M521" s="116">
        <v>6.05</v>
      </c>
      <c r="N521" s="116">
        <v>6.2</v>
      </c>
      <c r="O521" s="116">
        <v>6.05</v>
      </c>
      <c r="P521" s="116">
        <v>6.05</v>
      </c>
      <c r="Q521" s="116">
        <v>6.05</v>
      </c>
      <c r="R521">
        <v>1205112</v>
      </c>
    </row>
    <row r="522" spans="1:18" x14ac:dyDescent="0.25">
      <c r="A522" s="170">
        <v>42769</v>
      </c>
      <c r="B522" s="116">
        <v>6.59</v>
      </c>
      <c r="C522" s="116">
        <v>6.37</v>
      </c>
      <c r="D522" s="116">
        <v>6.03</v>
      </c>
      <c r="E522" s="116">
        <v>6.04</v>
      </c>
      <c r="F522" s="116">
        <v>6.37</v>
      </c>
      <c r="G522">
        <v>1395039</v>
      </c>
      <c r="H522" s="116"/>
      <c r="I522" s="116"/>
      <c r="L522" s="170">
        <v>42769</v>
      </c>
      <c r="M522" s="116">
        <v>6.4</v>
      </c>
      <c r="N522" s="116">
        <v>6.6</v>
      </c>
      <c r="O522" s="116">
        <v>6.05</v>
      </c>
      <c r="P522" s="116">
        <v>6.05</v>
      </c>
      <c r="Q522" s="116">
        <v>6.4</v>
      </c>
      <c r="R522">
        <v>7132562</v>
      </c>
    </row>
    <row r="523" spans="1:18" x14ac:dyDescent="0.25">
      <c r="A523" s="170">
        <v>42772</v>
      </c>
      <c r="B523" s="116">
        <v>6.55</v>
      </c>
      <c r="C523" s="116">
        <v>6.28</v>
      </c>
      <c r="D523" s="116">
        <v>6.24</v>
      </c>
      <c r="E523" s="116">
        <v>6.45</v>
      </c>
      <c r="F523" s="116">
        <v>6.28</v>
      </c>
      <c r="G523">
        <v>592570</v>
      </c>
      <c r="H523" s="116"/>
      <c r="I523" s="116"/>
      <c r="L523" s="170">
        <v>42772</v>
      </c>
      <c r="M523" s="116">
        <v>6.25</v>
      </c>
      <c r="N523" s="116">
        <v>6.55</v>
      </c>
      <c r="O523" s="116">
        <v>6.2</v>
      </c>
      <c r="P523" s="116">
        <v>6.45</v>
      </c>
      <c r="Q523" s="116">
        <v>6.25</v>
      </c>
      <c r="R523">
        <v>3249038</v>
      </c>
    </row>
    <row r="524" spans="1:18" x14ac:dyDescent="0.25">
      <c r="A524" s="170">
        <v>42773</v>
      </c>
      <c r="B524" s="116">
        <v>6.6</v>
      </c>
      <c r="C524" s="116">
        <v>6.38</v>
      </c>
      <c r="D524" s="116">
        <v>6.28</v>
      </c>
      <c r="E524" s="116">
        <v>6.28</v>
      </c>
      <c r="F524" s="116">
        <v>6.38</v>
      </c>
      <c r="G524">
        <v>507724</v>
      </c>
      <c r="H524" s="116"/>
      <c r="I524" s="116"/>
      <c r="L524" s="170">
        <v>42773</v>
      </c>
      <c r="M524" s="116">
        <v>6.4</v>
      </c>
      <c r="N524" s="116">
        <v>6.65</v>
      </c>
      <c r="O524" s="116">
        <v>6.3</v>
      </c>
      <c r="P524" s="116">
        <v>6.3</v>
      </c>
      <c r="Q524" s="116">
        <v>6.4</v>
      </c>
      <c r="R524">
        <v>2515760</v>
      </c>
    </row>
    <row r="525" spans="1:18" x14ac:dyDescent="0.25">
      <c r="A525" s="170">
        <v>42774</v>
      </c>
      <c r="B525" s="116">
        <v>6.47</v>
      </c>
      <c r="C525" s="116">
        <v>6.35</v>
      </c>
      <c r="D525" s="116">
        <v>6.26</v>
      </c>
      <c r="E525" s="116">
        <v>6.35</v>
      </c>
      <c r="F525" s="116">
        <v>6.35</v>
      </c>
      <c r="G525">
        <v>406326</v>
      </c>
      <c r="H525" s="116"/>
      <c r="I525" s="116"/>
      <c r="L525" s="170">
        <v>42774</v>
      </c>
      <c r="M525" s="116">
        <v>6.3</v>
      </c>
      <c r="N525" s="116">
        <v>6.45</v>
      </c>
      <c r="O525" s="116">
        <v>6.25</v>
      </c>
      <c r="P525" s="116">
        <v>6.4</v>
      </c>
      <c r="Q525" s="116">
        <v>6.3</v>
      </c>
      <c r="R525">
        <v>1610794</v>
      </c>
    </row>
    <row r="526" spans="1:18" x14ac:dyDescent="0.25">
      <c r="A526" s="170">
        <v>42775</v>
      </c>
      <c r="B526" s="116">
        <v>7.33</v>
      </c>
      <c r="C526" s="116">
        <v>6.62</v>
      </c>
      <c r="D526" s="116">
        <v>6.25</v>
      </c>
      <c r="E526" s="116">
        <v>6.3</v>
      </c>
      <c r="F526" s="116">
        <v>6.62</v>
      </c>
      <c r="G526">
        <v>2624241</v>
      </c>
      <c r="H526" s="116"/>
      <c r="I526" s="116"/>
      <c r="L526" s="170">
        <v>42775</v>
      </c>
      <c r="M526" s="116">
        <v>6.6</v>
      </c>
      <c r="N526" s="116">
        <v>7.35</v>
      </c>
      <c r="O526" s="116">
        <v>6.25</v>
      </c>
      <c r="P526" s="116">
        <v>6.35</v>
      </c>
      <c r="Q526" s="116">
        <v>6.6</v>
      </c>
      <c r="R526">
        <v>18631228</v>
      </c>
    </row>
    <row r="527" spans="1:18" x14ac:dyDescent="0.25">
      <c r="A527" s="170">
        <v>42776</v>
      </c>
      <c r="B527" s="116">
        <v>6.67</v>
      </c>
      <c r="C527" s="116">
        <v>6.44</v>
      </c>
      <c r="D527" s="116">
        <v>6.4</v>
      </c>
      <c r="E527" s="116">
        <v>6.67</v>
      </c>
      <c r="F527" s="116">
        <v>6.44</v>
      </c>
      <c r="G527">
        <v>542288</v>
      </c>
      <c r="H527" s="116"/>
      <c r="I527" s="116"/>
      <c r="L527" s="170">
        <v>42776</v>
      </c>
      <c r="M527" s="116">
        <v>6.45</v>
      </c>
      <c r="N527" s="116">
        <v>6.65</v>
      </c>
      <c r="O527" s="116">
        <v>6.4</v>
      </c>
      <c r="P527" s="116">
        <v>6.65</v>
      </c>
      <c r="Q527" s="116">
        <v>6.45</v>
      </c>
      <c r="R527">
        <v>2246528</v>
      </c>
    </row>
    <row r="528" spans="1:18" x14ac:dyDescent="0.25">
      <c r="A528" s="170">
        <v>42779</v>
      </c>
      <c r="B528" s="116">
        <v>6.63</v>
      </c>
      <c r="C528" s="116">
        <v>6.31</v>
      </c>
      <c r="D528" s="116">
        <v>6.28</v>
      </c>
      <c r="E528" s="116">
        <v>6.5</v>
      </c>
      <c r="F528" s="116">
        <v>6.31</v>
      </c>
      <c r="G528">
        <v>404719</v>
      </c>
      <c r="H528" s="116"/>
      <c r="I528" s="116"/>
      <c r="L528" s="170">
        <v>42779</v>
      </c>
      <c r="M528" s="116">
        <v>6.25</v>
      </c>
      <c r="N528" s="116">
        <v>6.7</v>
      </c>
      <c r="O528" s="116">
        <v>6.2</v>
      </c>
      <c r="P528" s="116">
        <v>6.5</v>
      </c>
      <c r="Q528" s="116">
        <v>6.25</v>
      </c>
      <c r="R528">
        <v>1918303</v>
      </c>
    </row>
    <row r="529" spans="1:18" x14ac:dyDescent="0.25">
      <c r="A529" s="170">
        <v>42780</v>
      </c>
      <c r="B529" s="116">
        <v>6.4</v>
      </c>
      <c r="C529" s="116">
        <v>6.16</v>
      </c>
      <c r="D529" s="116">
        <v>6.07</v>
      </c>
      <c r="E529" s="116">
        <v>6.4</v>
      </c>
      <c r="F529" s="116">
        <v>6.16</v>
      </c>
      <c r="G529">
        <v>531011</v>
      </c>
      <c r="H529" s="116"/>
      <c r="I529" s="116"/>
      <c r="L529" s="170">
        <v>42780</v>
      </c>
      <c r="M529" s="116">
        <v>6.1</v>
      </c>
      <c r="N529" s="116">
        <v>6.3</v>
      </c>
      <c r="O529" s="116">
        <v>6</v>
      </c>
      <c r="P529" s="116">
        <v>6.3</v>
      </c>
      <c r="Q529" s="116">
        <v>6.1</v>
      </c>
      <c r="R529">
        <v>2431207</v>
      </c>
    </row>
    <row r="530" spans="1:18" x14ac:dyDescent="0.25">
      <c r="A530" s="170">
        <v>42781</v>
      </c>
      <c r="B530" s="116">
        <v>6.23</v>
      </c>
      <c r="C530" s="116">
        <v>6.04</v>
      </c>
      <c r="D530" s="116">
        <v>6.02</v>
      </c>
      <c r="E530" s="116">
        <v>6.17</v>
      </c>
      <c r="F530" s="116">
        <v>6.04</v>
      </c>
      <c r="G530">
        <v>395866</v>
      </c>
      <c r="H530" s="116"/>
      <c r="I530" s="116"/>
      <c r="L530" s="170">
        <v>42781</v>
      </c>
      <c r="M530" s="116">
        <v>6</v>
      </c>
      <c r="N530" s="116">
        <v>6.25</v>
      </c>
      <c r="O530" s="116">
        <v>6</v>
      </c>
      <c r="P530" s="116">
        <v>6.15</v>
      </c>
      <c r="Q530" s="116">
        <v>6</v>
      </c>
      <c r="R530">
        <v>1475123</v>
      </c>
    </row>
    <row r="531" spans="1:18" x14ac:dyDescent="0.25">
      <c r="A531" s="170">
        <v>42782</v>
      </c>
      <c r="B531" s="116">
        <v>6.12</v>
      </c>
      <c r="C531" s="116">
        <v>6.03</v>
      </c>
      <c r="D531" s="116">
        <v>5.97</v>
      </c>
      <c r="E531" s="116">
        <v>6.04</v>
      </c>
      <c r="F531" s="116">
        <v>6.03</v>
      </c>
      <c r="G531">
        <v>267638</v>
      </c>
      <c r="H531" s="116"/>
      <c r="I531" s="116"/>
      <c r="L531" s="170">
        <v>42782</v>
      </c>
      <c r="M531" s="116">
        <v>6</v>
      </c>
      <c r="N531" s="116">
        <v>6.1</v>
      </c>
      <c r="O531" s="116">
        <v>5.95</v>
      </c>
      <c r="P531" s="116">
        <v>6.05</v>
      </c>
      <c r="Q531" s="116">
        <v>6</v>
      </c>
      <c r="R531">
        <v>1031420</v>
      </c>
    </row>
    <row r="532" spans="1:18" x14ac:dyDescent="0.25">
      <c r="A532" s="170">
        <v>42783</v>
      </c>
      <c r="B532" s="116">
        <v>6.13</v>
      </c>
      <c r="C532" s="116">
        <v>6.04</v>
      </c>
      <c r="D532" s="116">
        <v>5.95</v>
      </c>
      <c r="E532" s="116">
        <v>5.95</v>
      </c>
      <c r="F532" s="116">
        <v>6.04</v>
      </c>
      <c r="G532">
        <v>233554</v>
      </c>
      <c r="H532" s="116"/>
      <c r="I532" s="116"/>
      <c r="L532" s="170">
        <v>42783</v>
      </c>
      <c r="M532" s="116">
        <v>6.05</v>
      </c>
      <c r="N532" s="116">
        <v>6.15</v>
      </c>
      <c r="O532" s="116">
        <v>6</v>
      </c>
      <c r="P532" s="116">
        <v>6.05</v>
      </c>
      <c r="Q532" s="116">
        <v>6.05</v>
      </c>
      <c r="R532">
        <v>869194</v>
      </c>
    </row>
    <row r="533" spans="1:18" x14ac:dyDescent="0.25">
      <c r="A533" s="170">
        <v>42786</v>
      </c>
      <c r="B533" s="116">
        <v>6.67</v>
      </c>
      <c r="C533" s="116">
        <v>6.44</v>
      </c>
      <c r="D533" s="116">
        <v>6.25</v>
      </c>
      <c r="E533" s="116">
        <v>6.35</v>
      </c>
      <c r="F533" s="116">
        <v>6.44</v>
      </c>
      <c r="G533">
        <v>1236976</v>
      </c>
      <c r="H533" s="116"/>
      <c r="I533" s="116"/>
      <c r="L533" s="170">
        <v>42786</v>
      </c>
      <c r="M533" s="116">
        <v>6.45</v>
      </c>
      <c r="N533" s="116">
        <v>6.65</v>
      </c>
      <c r="O533" s="116">
        <v>6.15</v>
      </c>
      <c r="P533" s="116">
        <v>6.25</v>
      </c>
      <c r="Q533" s="116">
        <v>6.45</v>
      </c>
      <c r="R533">
        <v>5438373</v>
      </c>
    </row>
    <row r="534" spans="1:18" x14ac:dyDescent="0.25">
      <c r="A534" s="170">
        <v>42787</v>
      </c>
      <c r="B534" s="116">
        <v>6.85</v>
      </c>
      <c r="C534" s="116">
        <v>6.6</v>
      </c>
      <c r="D534" s="116">
        <v>6.5</v>
      </c>
      <c r="E534" s="116">
        <v>6.67</v>
      </c>
      <c r="F534" s="116">
        <v>6.6</v>
      </c>
      <c r="G534">
        <v>1441288</v>
      </c>
      <c r="H534" s="116"/>
      <c r="I534" s="116"/>
      <c r="L534" s="170">
        <v>42787</v>
      </c>
      <c r="M534" s="116">
        <v>6.6</v>
      </c>
      <c r="N534" s="116">
        <v>6.9</v>
      </c>
      <c r="O534" s="116">
        <v>6.45</v>
      </c>
      <c r="P534" s="116">
        <v>6.6</v>
      </c>
      <c r="Q534" s="116">
        <v>6.6</v>
      </c>
      <c r="R534">
        <v>6069033</v>
      </c>
    </row>
    <row r="535" spans="1:18" x14ac:dyDescent="0.25">
      <c r="A535" s="170">
        <v>42788</v>
      </c>
      <c r="B535" s="116">
        <v>6.69</v>
      </c>
      <c r="C535" s="116">
        <v>6.42</v>
      </c>
      <c r="D535" s="116">
        <v>6.2</v>
      </c>
      <c r="E535" s="116">
        <v>6.6</v>
      </c>
      <c r="F535" s="116">
        <v>6.42</v>
      </c>
      <c r="G535">
        <v>866592</v>
      </c>
      <c r="H535" s="116"/>
      <c r="I535" s="116"/>
      <c r="L535" s="170">
        <v>42788</v>
      </c>
      <c r="M535" s="116">
        <v>6.45</v>
      </c>
      <c r="N535" s="116">
        <v>6.7</v>
      </c>
      <c r="O535" s="116">
        <v>6.3</v>
      </c>
      <c r="P535" s="116">
        <v>6.65</v>
      </c>
      <c r="Q535" s="116">
        <v>6.45</v>
      </c>
      <c r="R535">
        <v>2341130</v>
      </c>
    </row>
    <row r="536" spans="1:18" x14ac:dyDescent="0.25">
      <c r="A536" s="170">
        <v>42789</v>
      </c>
      <c r="B536" s="116">
        <v>6.84</v>
      </c>
      <c r="C536" s="116">
        <v>6.59</v>
      </c>
      <c r="D536" s="116">
        <v>6.48</v>
      </c>
      <c r="E536" s="116">
        <v>6.5</v>
      </c>
      <c r="F536" s="116">
        <v>6.59</v>
      </c>
      <c r="G536">
        <v>1184828</v>
      </c>
      <c r="H536" s="116"/>
      <c r="I536" s="116"/>
      <c r="L536" s="170">
        <v>42789</v>
      </c>
      <c r="M536" s="116">
        <v>6.6</v>
      </c>
      <c r="N536" s="116">
        <v>6.85</v>
      </c>
      <c r="O536" s="116">
        <v>6.45</v>
      </c>
      <c r="P536" s="116">
        <v>6.5</v>
      </c>
      <c r="Q536" s="116">
        <v>6.6</v>
      </c>
      <c r="R536">
        <v>3315320</v>
      </c>
    </row>
    <row r="537" spans="1:18" x14ac:dyDescent="0.25">
      <c r="A537" s="170">
        <v>42793</v>
      </c>
      <c r="B537" s="116">
        <v>6.88</v>
      </c>
      <c r="C537" s="116">
        <v>6.69</v>
      </c>
      <c r="D537" s="116">
        <v>6.59</v>
      </c>
      <c r="E537" s="116">
        <v>6.59</v>
      </c>
      <c r="F537" s="116">
        <v>6.69</v>
      </c>
      <c r="G537">
        <v>861830</v>
      </c>
      <c r="H537" s="116"/>
      <c r="I537" s="116"/>
      <c r="L537" s="170">
        <v>42793</v>
      </c>
      <c r="M537" s="116">
        <v>6.7</v>
      </c>
      <c r="N537" s="116">
        <v>6.9</v>
      </c>
      <c r="O537" s="116">
        <v>6.55</v>
      </c>
      <c r="P537" s="116">
        <v>6.55</v>
      </c>
      <c r="Q537" s="116">
        <v>6.7</v>
      </c>
      <c r="R537">
        <v>3538035</v>
      </c>
    </row>
    <row r="538" spans="1:18" x14ac:dyDescent="0.25">
      <c r="A538" s="170">
        <v>42794</v>
      </c>
      <c r="B538" s="116">
        <v>8.02</v>
      </c>
      <c r="C538" s="116">
        <v>8.02</v>
      </c>
      <c r="D538" s="116">
        <v>6.9</v>
      </c>
      <c r="E538" s="116">
        <v>7.01</v>
      </c>
      <c r="F538" s="116">
        <v>8.02</v>
      </c>
      <c r="G538">
        <v>9500979</v>
      </c>
      <c r="H538" s="116"/>
      <c r="I538" s="116"/>
      <c r="L538" s="170">
        <v>42794</v>
      </c>
      <c r="M538" s="116">
        <v>8</v>
      </c>
      <c r="N538" s="116">
        <v>8</v>
      </c>
      <c r="O538" s="116">
        <v>6.95</v>
      </c>
      <c r="P538" s="116">
        <v>7</v>
      </c>
      <c r="Q538" s="116">
        <v>8</v>
      </c>
      <c r="R538">
        <v>51270460</v>
      </c>
    </row>
    <row r="539" spans="1:18" x14ac:dyDescent="0.25">
      <c r="A539" s="170">
        <v>42795</v>
      </c>
      <c r="B539" s="116">
        <v>9.6199999999999992</v>
      </c>
      <c r="C539" s="116">
        <v>9.6199999999999992</v>
      </c>
      <c r="D539" s="116">
        <v>8.3000000000000007</v>
      </c>
      <c r="E539" s="116">
        <v>8.4</v>
      </c>
      <c r="F539" s="116">
        <v>9.6199999999999992</v>
      </c>
      <c r="G539">
        <v>10833609</v>
      </c>
      <c r="H539" s="116"/>
      <c r="I539" s="116"/>
      <c r="L539" s="170">
        <v>42795</v>
      </c>
      <c r="M539" s="116">
        <v>9.6</v>
      </c>
      <c r="N539" s="116">
        <v>9.6</v>
      </c>
      <c r="O539" s="116">
        <v>8.3000000000000007</v>
      </c>
      <c r="P539" s="116">
        <v>8.35</v>
      </c>
      <c r="Q539" s="116">
        <v>9.6</v>
      </c>
      <c r="R539">
        <v>51847592</v>
      </c>
    </row>
    <row r="540" spans="1:18" x14ac:dyDescent="0.25">
      <c r="A540" s="170">
        <v>42796</v>
      </c>
      <c r="B540" s="116">
        <v>10.48</v>
      </c>
      <c r="C540" s="116">
        <v>9.4700000000000006</v>
      </c>
      <c r="D540" s="116">
        <v>9.2799999999999994</v>
      </c>
      <c r="E540" s="116">
        <v>10</v>
      </c>
      <c r="F540" s="116">
        <v>9.4700000000000006</v>
      </c>
      <c r="G540">
        <v>10361363</v>
      </c>
      <c r="H540" s="116"/>
      <c r="I540" s="116"/>
      <c r="L540" s="170">
        <v>42796</v>
      </c>
      <c r="M540" s="116">
        <v>9.5</v>
      </c>
      <c r="N540" s="116">
        <v>10.45</v>
      </c>
      <c r="O540" s="116">
        <v>9.3000000000000007</v>
      </c>
      <c r="P540" s="116">
        <v>10</v>
      </c>
      <c r="Q540" s="116">
        <v>9.5</v>
      </c>
      <c r="R540">
        <v>51331080</v>
      </c>
    </row>
    <row r="541" spans="1:18" x14ac:dyDescent="0.25">
      <c r="A541" s="170">
        <v>42797</v>
      </c>
      <c r="B541" s="116">
        <v>9.5</v>
      </c>
      <c r="C541" s="116">
        <v>9.32</v>
      </c>
      <c r="D541" s="116">
        <v>8.77</v>
      </c>
      <c r="E541" s="116">
        <v>9.4600000000000009</v>
      </c>
      <c r="F541" s="116">
        <v>9.32</v>
      </c>
      <c r="G541">
        <v>3915949</v>
      </c>
      <c r="H541" s="116"/>
      <c r="I541" s="116"/>
      <c r="L541" s="170">
        <v>42797</v>
      </c>
      <c r="M541" s="116">
        <v>9.3000000000000007</v>
      </c>
      <c r="N541" s="116">
        <v>9.5</v>
      </c>
      <c r="O541" s="116">
        <v>8.75</v>
      </c>
      <c r="P541" s="116">
        <v>9.4499999999999993</v>
      </c>
      <c r="Q541" s="116">
        <v>9.3000000000000007</v>
      </c>
      <c r="R541">
        <v>18583090</v>
      </c>
    </row>
    <row r="542" spans="1:18" x14ac:dyDescent="0.25">
      <c r="A542" s="170">
        <v>42800</v>
      </c>
      <c r="B542" s="116">
        <v>9.9</v>
      </c>
      <c r="C542" s="116">
        <v>9.19</v>
      </c>
      <c r="D542" s="116">
        <v>9.1199999999999992</v>
      </c>
      <c r="E542" s="116">
        <v>9.32</v>
      </c>
      <c r="F542" s="116">
        <v>9.19</v>
      </c>
      <c r="G542">
        <v>1551318</v>
      </c>
      <c r="H542" s="116"/>
      <c r="I542" s="116"/>
      <c r="L542" s="170">
        <v>42800</v>
      </c>
      <c r="M542" s="116">
        <v>9.1999999999999993</v>
      </c>
      <c r="N542" s="116">
        <v>9.85</v>
      </c>
      <c r="O542" s="116">
        <v>9.0500000000000007</v>
      </c>
      <c r="P542" s="116">
        <v>9.4</v>
      </c>
      <c r="Q542" s="116">
        <v>9.1999999999999993</v>
      </c>
      <c r="R542">
        <v>9997867</v>
      </c>
    </row>
    <row r="543" spans="1:18" x14ac:dyDescent="0.25">
      <c r="A543" s="170">
        <v>42801</v>
      </c>
      <c r="B543" s="116">
        <v>9.27</v>
      </c>
      <c r="C543" s="116">
        <v>8.81</v>
      </c>
      <c r="D543" s="116">
        <v>8.69</v>
      </c>
      <c r="E543" s="116">
        <v>9.06</v>
      </c>
      <c r="F543" s="116">
        <v>8.81</v>
      </c>
      <c r="G543">
        <v>1590323</v>
      </c>
      <c r="H543" s="116"/>
      <c r="I543" s="116"/>
      <c r="L543" s="170">
        <v>42801</v>
      </c>
      <c r="M543" s="116">
        <v>8.8000000000000007</v>
      </c>
      <c r="N543" s="116">
        <v>9.3000000000000007</v>
      </c>
      <c r="O543" s="116">
        <v>8.6999999999999993</v>
      </c>
      <c r="P543" s="116">
        <v>9.3000000000000007</v>
      </c>
      <c r="Q543" s="116">
        <v>8.8000000000000007</v>
      </c>
      <c r="R543">
        <v>6226426</v>
      </c>
    </row>
    <row r="544" spans="1:18" x14ac:dyDescent="0.25">
      <c r="A544" s="170">
        <v>42802</v>
      </c>
      <c r="B544" s="116">
        <v>8.9600000000000009</v>
      </c>
      <c r="C544" s="116">
        <v>8.64</v>
      </c>
      <c r="D544" s="116">
        <v>8.43</v>
      </c>
      <c r="E544" s="116">
        <v>8.8000000000000007</v>
      </c>
      <c r="F544" s="116">
        <v>8.64</v>
      </c>
      <c r="G544">
        <v>1484410</v>
      </c>
      <c r="H544" s="116"/>
      <c r="I544" s="116"/>
      <c r="L544" s="170">
        <v>42802</v>
      </c>
      <c r="M544" s="116">
        <v>8.65</v>
      </c>
      <c r="N544" s="116">
        <v>8.9499999999999993</v>
      </c>
      <c r="O544" s="116">
        <v>8.4</v>
      </c>
      <c r="P544" s="116">
        <v>8.9</v>
      </c>
      <c r="Q544" s="116">
        <v>8.65</v>
      </c>
      <c r="R544">
        <v>7644695</v>
      </c>
    </row>
    <row r="545" spans="1:18" x14ac:dyDescent="0.25">
      <c r="A545" s="170">
        <v>42803</v>
      </c>
      <c r="B545" s="116">
        <v>9.27</v>
      </c>
      <c r="C545" s="116">
        <v>9.07</v>
      </c>
      <c r="D545" s="116">
        <v>8.0500000000000007</v>
      </c>
      <c r="E545" s="116">
        <v>8.33</v>
      </c>
      <c r="F545" s="116">
        <v>9.07</v>
      </c>
      <c r="G545">
        <v>3558174</v>
      </c>
      <c r="H545" s="116"/>
      <c r="I545" s="116"/>
      <c r="L545" s="170">
        <v>42803</v>
      </c>
      <c r="M545" s="116">
        <v>9.0500000000000007</v>
      </c>
      <c r="N545" s="116">
        <v>9.3000000000000007</v>
      </c>
      <c r="O545" s="116">
        <v>8.0500000000000007</v>
      </c>
      <c r="P545" s="116">
        <v>8.25</v>
      </c>
      <c r="Q545" s="116">
        <v>9.0500000000000007</v>
      </c>
      <c r="R545">
        <v>20213312</v>
      </c>
    </row>
    <row r="546" spans="1:18" x14ac:dyDescent="0.25">
      <c r="A546" s="170">
        <v>42804</v>
      </c>
      <c r="B546" s="116">
        <v>9.35</v>
      </c>
      <c r="C546" s="116">
        <v>8.9600000000000009</v>
      </c>
      <c r="D546" s="116">
        <v>8.8699999999999992</v>
      </c>
      <c r="E546" s="116">
        <v>9.27</v>
      </c>
      <c r="F546" s="116">
        <v>8.9600000000000009</v>
      </c>
      <c r="G546">
        <v>872550</v>
      </c>
      <c r="H546" s="116"/>
      <c r="I546" s="116"/>
      <c r="L546" s="170">
        <v>42804</v>
      </c>
      <c r="M546" s="116">
        <v>9</v>
      </c>
      <c r="N546" s="116">
        <v>9.4</v>
      </c>
      <c r="O546" s="116">
        <v>8.9</v>
      </c>
      <c r="P546" s="116">
        <v>9.15</v>
      </c>
      <c r="Q546" s="116">
        <v>9</v>
      </c>
      <c r="R546">
        <v>5689486</v>
      </c>
    </row>
    <row r="547" spans="1:18" x14ac:dyDescent="0.25">
      <c r="A547" s="170">
        <v>42808</v>
      </c>
      <c r="B547" s="116">
        <v>9.3699999999999992</v>
      </c>
      <c r="C547" s="116">
        <v>8.83</v>
      </c>
      <c r="D547" s="116">
        <v>8.6300000000000008</v>
      </c>
      <c r="E547" s="116">
        <v>9.15</v>
      </c>
      <c r="F547" s="116">
        <v>8.83</v>
      </c>
      <c r="G547">
        <v>1178014</v>
      </c>
      <c r="H547" s="116"/>
      <c r="I547" s="116"/>
      <c r="L547" s="170">
        <v>42808</v>
      </c>
      <c r="M547" s="116">
        <v>8.85</v>
      </c>
      <c r="N547" s="116">
        <v>9.35</v>
      </c>
      <c r="O547" s="116">
        <v>8.65</v>
      </c>
      <c r="P547" s="116">
        <v>9.1999999999999993</v>
      </c>
      <c r="Q547" s="116">
        <v>8.85</v>
      </c>
      <c r="R547">
        <v>4774998</v>
      </c>
    </row>
    <row r="548" spans="1:18" x14ac:dyDescent="0.25">
      <c r="A548" s="170">
        <v>42809</v>
      </c>
      <c r="B548" s="116">
        <v>9.09</v>
      </c>
      <c r="C548" s="116">
        <v>8.89</v>
      </c>
      <c r="D548" s="116">
        <v>8.83</v>
      </c>
      <c r="E548" s="116">
        <v>8.85</v>
      </c>
      <c r="F548" s="116">
        <v>8.89</v>
      </c>
      <c r="G548">
        <v>1077950</v>
      </c>
      <c r="H548" s="116"/>
      <c r="I548" s="116"/>
      <c r="L548" s="170">
        <v>42809</v>
      </c>
      <c r="M548" s="116">
        <v>8.9</v>
      </c>
      <c r="N548" s="116">
        <v>9.1</v>
      </c>
      <c r="O548" s="116">
        <v>8.8000000000000007</v>
      </c>
      <c r="P548" s="116">
        <v>8.85</v>
      </c>
      <c r="Q548" s="116">
        <v>8.9</v>
      </c>
      <c r="R548">
        <v>3331505</v>
      </c>
    </row>
    <row r="549" spans="1:18" x14ac:dyDescent="0.25">
      <c r="A549" s="170">
        <v>42810</v>
      </c>
      <c r="B549" s="116">
        <v>9</v>
      </c>
      <c r="C549" s="116">
        <v>8.6199999999999992</v>
      </c>
      <c r="D549" s="116">
        <v>8.4499999999999993</v>
      </c>
      <c r="E549" s="116">
        <v>9</v>
      </c>
      <c r="F549" s="116">
        <v>8.6199999999999992</v>
      </c>
      <c r="G549">
        <v>1137989</v>
      </c>
      <c r="H549" s="116"/>
      <c r="I549" s="116"/>
      <c r="L549" s="170">
        <v>42810</v>
      </c>
      <c r="M549" s="116">
        <v>8.6</v>
      </c>
      <c r="N549" s="116">
        <v>9.0500000000000007</v>
      </c>
      <c r="O549" s="116">
        <v>8.4499999999999993</v>
      </c>
      <c r="P549" s="116">
        <v>8.9</v>
      </c>
      <c r="Q549" s="116">
        <v>8.6</v>
      </c>
      <c r="R549">
        <v>5586835</v>
      </c>
    </row>
    <row r="550" spans="1:18" x14ac:dyDescent="0.25">
      <c r="A550" s="170">
        <v>42811</v>
      </c>
      <c r="B550" s="116">
        <v>8.75</v>
      </c>
      <c r="C550" s="116">
        <v>8.41</v>
      </c>
      <c r="D550" s="116">
        <v>8.36</v>
      </c>
      <c r="E550" s="116">
        <v>8.75</v>
      </c>
      <c r="F550" s="116">
        <v>8.41</v>
      </c>
      <c r="G550">
        <v>965919</v>
      </c>
      <c r="H550" s="116"/>
      <c r="I550" s="116"/>
      <c r="L550" s="170">
        <v>42811</v>
      </c>
      <c r="M550" s="116">
        <v>8.4499999999999993</v>
      </c>
      <c r="N550" s="116">
        <v>8.75</v>
      </c>
      <c r="O550" s="116">
        <v>8.4</v>
      </c>
      <c r="P550" s="116">
        <v>8.75</v>
      </c>
      <c r="Q550" s="116">
        <v>8.4499999999999993</v>
      </c>
      <c r="R550">
        <v>2486675</v>
      </c>
    </row>
    <row r="551" spans="1:18" x14ac:dyDescent="0.25">
      <c r="A551" s="170">
        <v>42814</v>
      </c>
      <c r="B551" s="116">
        <v>8.69</v>
      </c>
      <c r="C551" s="116">
        <v>8.1300000000000008</v>
      </c>
      <c r="D551" s="116">
        <v>8.06</v>
      </c>
      <c r="E551" s="116">
        <v>8.4600000000000009</v>
      </c>
      <c r="F551" s="116">
        <v>8.1300000000000008</v>
      </c>
      <c r="G551">
        <v>1264498</v>
      </c>
      <c r="H551" s="116"/>
      <c r="I551" s="116"/>
      <c r="L551" s="170">
        <v>42814</v>
      </c>
      <c r="M551" s="116">
        <v>8.1</v>
      </c>
      <c r="N551" s="116">
        <v>8.6999999999999993</v>
      </c>
      <c r="O551" s="116">
        <v>8</v>
      </c>
      <c r="P551" s="116">
        <v>8.3000000000000007</v>
      </c>
      <c r="Q551" s="116">
        <v>8.1</v>
      </c>
      <c r="R551">
        <v>4282561</v>
      </c>
    </row>
    <row r="552" spans="1:18" x14ac:dyDescent="0.25">
      <c r="A552" s="170">
        <v>42815</v>
      </c>
      <c r="B552" s="116">
        <v>8.15</v>
      </c>
      <c r="C552" s="116">
        <v>7.87</v>
      </c>
      <c r="D552" s="116">
        <v>7.73</v>
      </c>
      <c r="E552" s="116">
        <v>8.1199999999999992</v>
      </c>
      <c r="F552" s="116">
        <v>7.87</v>
      </c>
      <c r="G552">
        <v>961632</v>
      </c>
      <c r="H552" s="116"/>
      <c r="I552" s="116"/>
      <c r="L552" s="170">
        <v>42815</v>
      </c>
      <c r="M552" s="116">
        <v>7.85</v>
      </c>
      <c r="N552" s="116">
        <v>8.15</v>
      </c>
      <c r="O552" s="116">
        <v>7.7</v>
      </c>
      <c r="P552" s="116">
        <v>8.1</v>
      </c>
      <c r="Q552" s="116">
        <v>7.85</v>
      </c>
      <c r="R552">
        <v>4048306</v>
      </c>
    </row>
    <row r="553" spans="1:18" x14ac:dyDescent="0.25">
      <c r="A553" s="170">
        <v>42816</v>
      </c>
      <c r="B553" s="116">
        <v>8.15</v>
      </c>
      <c r="C553" s="116">
        <v>7.94</v>
      </c>
      <c r="D553" s="116">
        <v>7.61</v>
      </c>
      <c r="E553" s="116">
        <v>7.85</v>
      </c>
      <c r="F553" s="116">
        <v>7.94</v>
      </c>
      <c r="G553">
        <v>1246096</v>
      </c>
      <c r="H553" s="116"/>
      <c r="I553" s="116"/>
      <c r="L553" s="170">
        <v>42816</v>
      </c>
      <c r="M553" s="116">
        <v>7.95</v>
      </c>
      <c r="N553" s="116">
        <v>8.15</v>
      </c>
      <c r="O553" s="116">
        <v>7.6</v>
      </c>
      <c r="P553" s="116">
        <v>7.85</v>
      </c>
      <c r="Q553" s="116">
        <v>7.95</v>
      </c>
      <c r="R553">
        <v>4234794</v>
      </c>
    </row>
    <row r="554" spans="1:18" x14ac:dyDescent="0.25">
      <c r="A554" s="170">
        <v>42817</v>
      </c>
      <c r="B554" s="116">
        <v>8.11</v>
      </c>
      <c r="C554" s="116">
        <v>7.9</v>
      </c>
      <c r="D554" s="116">
        <v>7.86</v>
      </c>
      <c r="E554" s="116">
        <v>8.11</v>
      </c>
      <c r="F554" s="116">
        <v>7.9</v>
      </c>
      <c r="G554">
        <v>877849</v>
      </c>
      <c r="H554" s="116"/>
      <c r="I554" s="116"/>
      <c r="L554" s="170">
        <v>42817</v>
      </c>
      <c r="M554" s="116">
        <v>7.95</v>
      </c>
      <c r="N554" s="116">
        <v>8.15</v>
      </c>
      <c r="O554" s="116">
        <v>7.85</v>
      </c>
      <c r="P554" s="116">
        <v>8.1</v>
      </c>
      <c r="Q554" s="116">
        <v>7.95</v>
      </c>
      <c r="R554">
        <v>1722317</v>
      </c>
    </row>
    <row r="555" spans="1:18" x14ac:dyDescent="0.25">
      <c r="A555" s="170">
        <v>42818</v>
      </c>
      <c r="B555" s="116">
        <v>7.99</v>
      </c>
      <c r="C555" s="116">
        <v>7.83</v>
      </c>
      <c r="D555" s="116">
        <v>7.71</v>
      </c>
      <c r="E555" s="116">
        <v>7.95</v>
      </c>
      <c r="F555" s="116">
        <v>7.83</v>
      </c>
      <c r="G555">
        <v>573023</v>
      </c>
      <c r="H555" s="116"/>
      <c r="I555" s="116"/>
      <c r="L555" s="170">
        <v>42818</v>
      </c>
      <c r="M555" s="116">
        <v>7.8</v>
      </c>
      <c r="N555" s="116">
        <v>8.1</v>
      </c>
      <c r="O555" s="116">
        <v>7.7</v>
      </c>
      <c r="P555" s="116">
        <v>7.95</v>
      </c>
      <c r="Q555" s="116">
        <v>7.8</v>
      </c>
      <c r="R555">
        <v>1596159</v>
      </c>
    </row>
    <row r="556" spans="1:18" x14ac:dyDescent="0.25">
      <c r="A556" s="170">
        <v>42821</v>
      </c>
      <c r="B556" s="116">
        <v>7.87</v>
      </c>
      <c r="C556" s="116">
        <v>7.6</v>
      </c>
      <c r="D556" s="116">
        <v>7.51</v>
      </c>
      <c r="E556" s="116">
        <v>7.85</v>
      </c>
      <c r="F556" s="116">
        <v>7.6</v>
      </c>
      <c r="G556">
        <v>400995</v>
      </c>
      <c r="H556" s="116"/>
      <c r="I556" s="116"/>
      <c r="L556" s="170">
        <v>42821</v>
      </c>
      <c r="M556" s="116">
        <v>7.6</v>
      </c>
      <c r="N556" s="116">
        <v>7.9</v>
      </c>
      <c r="O556" s="116">
        <v>7.5</v>
      </c>
      <c r="P556" s="116">
        <v>7.8</v>
      </c>
      <c r="Q556" s="116">
        <v>7.6</v>
      </c>
      <c r="R556">
        <v>1538035</v>
      </c>
    </row>
    <row r="557" spans="1:18" x14ac:dyDescent="0.25">
      <c r="A557" s="170">
        <v>42822</v>
      </c>
      <c r="B557" s="116">
        <v>7.76</v>
      </c>
      <c r="C557" s="116">
        <v>7.53</v>
      </c>
      <c r="D557" s="116">
        <v>7.42</v>
      </c>
      <c r="E557" s="116">
        <v>7.7</v>
      </c>
      <c r="F557" s="116">
        <v>7.53</v>
      </c>
      <c r="G557">
        <v>505815</v>
      </c>
      <c r="H557" s="116"/>
      <c r="I557" s="116"/>
      <c r="L557" s="170">
        <v>42822</v>
      </c>
      <c r="M557" s="116">
        <v>7.5</v>
      </c>
      <c r="N557" s="116">
        <v>7.75</v>
      </c>
      <c r="O557" s="116">
        <v>7.4</v>
      </c>
      <c r="P557" s="116">
        <v>7.6</v>
      </c>
      <c r="Q557" s="116">
        <v>7.5</v>
      </c>
      <c r="R557">
        <v>1990437</v>
      </c>
    </row>
    <row r="558" spans="1:18" x14ac:dyDescent="0.25">
      <c r="A558" s="170">
        <v>42823</v>
      </c>
      <c r="B558" s="116">
        <v>7.6</v>
      </c>
      <c r="C558" s="116">
        <v>7.25</v>
      </c>
      <c r="D558" s="116">
        <v>7.22</v>
      </c>
      <c r="E558" s="116">
        <v>7.6</v>
      </c>
      <c r="F558" s="116">
        <v>7.25</v>
      </c>
      <c r="G558">
        <v>906231</v>
      </c>
      <c r="H558" s="116"/>
      <c r="I558" s="116"/>
      <c r="L558" s="170">
        <v>42823</v>
      </c>
      <c r="M558" s="116">
        <v>7.25</v>
      </c>
      <c r="N558" s="116">
        <v>7.55</v>
      </c>
      <c r="O558" s="116">
        <v>7.2</v>
      </c>
      <c r="P558" s="116">
        <v>7.5</v>
      </c>
      <c r="Q558" s="116">
        <v>7.25</v>
      </c>
      <c r="R558">
        <v>2489813</v>
      </c>
    </row>
    <row r="559" spans="1:18" x14ac:dyDescent="0.25">
      <c r="A559" s="170">
        <v>42824</v>
      </c>
      <c r="B559" s="116">
        <v>7.48</v>
      </c>
      <c r="C559" s="116">
        <v>7.3</v>
      </c>
      <c r="D559" s="116">
        <v>7.26</v>
      </c>
      <c r="E559" s="116">
        <v>7.3</v>
      </c>
      <c r="F559" s="116">
        <v>7.3</v>
      </c>
      <c r="G559">
        <v>542245</v>
      </c>
      <c r="H559" s="116"/>
      <c r="I559" s="116"/>
      <c r="L559" s="170">
        <v>42824</v>
      </c>
      <c r="M559" s="116">
        <v>7.3</v>
      </c>
      <c r="N559" s="116">
        <v>7.5</v>
      </c>
      <c r="O559" s="116">
        <v>7.25</v>
      </c>
      <c r="P559" s="116">
        <v>7.3</v>
      </c>
      <c r="Q559" s="116">
        <v>7.3</v>
      </c>
      <c r="R559">
        <v>2369257</v>
      </c>
    </row>
    <row r="560" spans="1:18" x14ac:dyDescent="0.25">
      <c r="A560" s="170">
        <v>42825</v>
      </c>
      <c r="B560" s="116">
        <v>7.39</v>
      </c>
      <c r="C560" s="116">
        <v>7.2</v>
      </c>
      <c r="D560" s="116">
        <v>7.16</v>
      </c>
      <c r="E560" s="116">
        <v>7.27</v>
      </c>
      <c r="F560" s="116">
        <v>7.2</v>
      </c>
      <c r="G560">
        <v>402818</v>
      </c>
      <c r="H560" s="116"/>
      <c r="I560" s="116"/>
      <c r="L560" s="170">
        <v>42825</v>
      </c>
      <c r="M560" s="116">
        <v>7.15</v>
      </c>
      <c r="N560" s="116">
        <v>7.4</v>
      </c>
      <c r="O560" s="116">
        <v>7.15</v>
      </c>
      <c r="P560" s="116">
        <v>7.35</v>
      </c>
      <c r="Q560" s="116">
        <v>7.15</v>
      </c>
      <c r="R560">
        <v>1547349</v>
      </c>
    </row>
    <row r="561" spans="1:18" x14ac:dyDescent="0.25">
      <c r="A561" s="170">
        <v>42828</v>
      </c>
      <c r="B561" s="116">
        <v>7.36</v>
      </c>
      <c r="C561" s="116">
        <v>7.28</v>
      </c>
      <c r="D561" s="116">
        <v>7.15</v>
      </c>
      <c r="E561" s="116">
        <v>7.15</v>
      </c>
      <c r="F561" s="116">
        <v>7.28</v>
      </c>
      <c r="G561">
        <v>313400</v>
      </c>
      <c r="H561" s="116"/>
      <c r="I561" s="116"/>
      <c r="L561" s="170">
        <v>42828</v>
      </c>
      <c r="M561" s="116">
        <v>7.3</v>
      </c>
      <c r="N561" s="116">
        <v>7.4</v>
      </c>
      <c r="O561" s="116">
        <v>7.15</v>
      </c>
      <c r="P561" s="116">
        <v>7.2</v>
      </c>
      <c r="Q561" s="116">
        <v>7.3</v>
      </c>
      <c r="R561">
        <v>1525081</v>
      </c>
    </row>
    <row r="562" spans="1:18" x14ac:dyDescent="0.25">
      <c r="A562" s="170">
        <v>42830</v>
      </c>
      <c r="B562" s="116">
        <v>8</v>
      </c>
      <c r="C562" s="116">
        <v>7.78</v>
      </c>
      <c r="D562" s="116">
        <v>7.25</v>
      </c>
      <c r="E562" s="116">
        <v>7.26</v>
      </c>
      <c r="F562" s="116">
        <v>7.78</v>
      </c>
      <c r="G562">
        <v>4480068</v>
      </c>
      <c r="H562" s="116"/>
      <c r="I562" s="116"/>
      <c r="L562" s="170">
        <v>42830</v>
      </c>
      <c r="M562" s="116">
        <v>7.85</v>
      </c>
      <c r="N562" s="116">
        <v>8</v>
      </c>
      <c r="O562" s="116">
        <v>7.25</v>
      </c>
      <c r="P562" s="116">
        <v>7.3</v>
      </c>
      <c r="Q562" s="116">
        <v>7.85</v>
      </c>
      <c r="R562">
        <v>8273437</v>
      </c>
    </row>
    <row r="563" spans="1:18" x14ac:dyDescent="0.25">
      <c r="A563" s="170">
        <v>42831</v>
      </c>
      <c r="B563" s="116">
        <v>7.8</v>
      </c>
      <c r="C563" s="116">
        <v>7.67</v>
      </c>
      <c r="D563" s="116">
        <v>7.6</v>
      </c>
      <c r="E563" s="116">
        <v>7.78</v>
      </c>
      <c r="F563" s="116">
        <v>7.67</v>
      </c>
      <c r="G563">
        <v>471475</v>
      </c>
      <c r="H563" s="116"/>
      <c r="I563" s="116"/>
      <c r="L563" s="170">
        <v>42831</v>
      </c>
      <c r="M563" s="116">
        <v>7.7</v>
      </c>
      <c r="N563" s="116">
        <v>7.9</v>
      </c>
      <c r="O563" s="116">
        <v>7.6</v>
      </c>
      <c r="P563" s="116">
        <v>7.85</v>
      </c>
      <c r="Q563" s="116">
        <v>7.7</v>
      </c>
      <c r="R563">
        <v>1283202</v>
      </c>
    </row>
    <row r="564" spans="1:18" x14ac:dyDescent="0.25">
      <c r="A564" s="170">
        <v>42832</v>
      </c>
      <c r="B564" s="116">
        <v>7.78</v>
      </c>
      <c r="C564" s="116">
        <v>7.47</v>
      </c>
      <c r="D564" s="116">
        <v>7.44</v>
      </c>
      <c r="E564" s="116">
        <v>7.65</v>
      </c>
      <c r="F564" s="116">
        <v>7.47</v>
      </c>
      <c r="G564">
        <v>511496</v>
      </c>
      <c r="H564" s="116"/>
      <c r="I564" s="116"/>
      <c r="L564" s="170">
        <v>42832</v>
      </c>
      <c r="M564" s="116">
        <v>7.45</v>
      </c>
      <c r="N564" s="116">
        <v>7.75</v>
      </c>
      <c r="O564" s="116">
        <v>7.4</v>
      </c>
      <c r="P564" s="116">
        <v>7.65</v>
      </c>
      <c r="Q564" s="116">
        <v>7.45</v>
      </c>
      <c r="R564">
        <v>2099832</v>
      </c>
    </row>
    <row r="565" spans="1:18" x14ac:dyDescent="0.25">
      <c r="A565" s="170">
        <v>42835</v>
      </c>
      <c r="B565" s="116">
        <v>7.6</v>
      </c>
      <c r="C565" s="116">
        <v>7.36</v>
      </c>
      <c r="D565" s="116">
        <v>7.33</v>
      </c>
      <c r="E565" s="116">
        <v>7.5</v>
      </c>
      <c r="F565" s="116">
        <v>7.36</v>
      </c>
      <c r="G565">
        <v>350374</v>
      </c>
      <c r="H565" s="116"/>
      <c r="I565" s="116"/>
      <c r="L565" s="170">
        <v>42835</v>
      </c>
      <c r="M565" s="116">
        <v>7.4</v>
      </c>
      <c r="N565" s="116">
        <v>7.6</v>
      </c>
      <c r="O565" s="116">
        <v>7.35</v>
      </c>
      <c r="P565" s="116">
        <v>7.55</v>
      </c>
      <c r="Q565" s="116">
        <v>7.4</v>
      </c>
      <c r="R565">
        <v>1068839</v>
      </c>
    </row>
    <row r="566" spans="1:18" x14ac:dyDescent="0.25">
      <c r="A566" s="170">
        <v>42836</v>
      </c>
      <c r="B566" s="116">
        <v>7.58</v>
      </c>
      <c r="C566" s="116">
        <v>7.45</v>
      </c>
      <c r="D566" s="116">
        <v>7.37</v>
      </c>
      <c r="E566" s="116">
        <v>7.38</v>
      </c>
      <c r="F566" s="116">
        <v>7.45</v>
      </c>
      <c r="G566">
        <v>412240</v>
      </c>
      <c r="H566" s="116"/>
      <c r="I566" s="116"/>
      <c r="L566" s="170">
        <v>42836</v>
      </c>
      <c r="M566" s="116">
        <v>7.4</v>
      </c>
      <c r="N566" s="116">
        <v>7.6</v>
      </c>
      <c r="O566" s="116">
        <v>7.4</v>
      </c>
      <c r="P566" s="116">
        <v>7.4</v>
      </c>
      <c r="Q566" s="116">
        <v>7.4</v>
      </c>
      <c r="R566">
        <v>1158036</v>
      </c>
    </row>
    <row r="567" spans="1:18" x14ac:dyDescent="0.25">
      <c r="A567" s="170">
        <v>42837</v>
      </c>
      <c r="B567" s="116">
        <v>7.5</v>
      </c>
      <c r="C567" s="116">
        <v>7.32</v>
      </c>
      <c r="D567" s="116">
        <v>7.28</v>
      </c>
      <c r="E567" s="116">
        <v>7.35</v>
      </c>
      <c r="F567" s="116">
        <v>7.32</v>
      </c>
      <c r="G567">
        <v>354825</v>
      </c>
      <c r="H567" s="116"/>
      <c r="I567" s="116"/>
      <c r="L567" s="170">
        <v>42837</v>
      </c>
      <c r="M567" s="116">
        <v>7.3</v>
      </c>
      <c r="N567" s="116">
        <v>7.5</v>
      </c>
      <c r="O567" s="116">
        <v>7.25</v>
      </c>
      <c r="P567" s="116">
        <v>7.45</v>
      </c>
      <c r="Q567" s="116">
        <v>7.3</v>
      </c>
      <c r="R567">
        <v>1491332</v>
      </c>
    </row>
    <row r="568" spans="1:18" x14ac:dyDescent="0.25">
      <c r="A568" s="170">
        <v>42838</v>
      </c>
      <c r="B568" s="116">
        <v>7.5</v>
      </c>
      <c r="C568" s="116">
        <v>7.29</v>
      </c>
      <c r="D568" s="116">
        <v>7.26</v>
      </c>
      <c r="E568" s="116">
        <v>7.34</v>
      </c>
      <c r="F568" s="116">
        <v>7.29</v>
      </c>
      <c r="G568">
        <v>343797</v>
      </c>
      <c r="H568" s="116"/>
      <c r="I568" s="116"/>
      <c r="L568" s="170">
        <v>42838</v>
      </c>
      <c r="M568" s="116">
        <v>7.3</v>
      </c>
      <c r="N568" s="116">
        <v>7.5</v>
      </c>
      <c r="O568" s="116">
        <v>7.25</v>
      </c>
      <c r="P568" s="116">
        <v>7.3</v>
      </c>
      <c r="Q568" s="116">
        <v>7.3</v>
      </c>
      <c r="R568">
        <v>1571474</v>
      </c>
    </row>
    <row r="569" spans="1:18" x14ac:dyDescent="0.25">
      <c r="A569" s="170">
        <v>42842</v>
      </c>
      <c r="B569" s="116">
        <v>7.4</v>
      </c>
      <c r="C569" s="116">
        <v>7.2</v>
      </c>
      <c r="D569" s="116">
        <v>7.16</v>
      </c>
      <c r="E569" s="116">
        <v>7.31</v>
      </c>
      <c r="F569" s="116">
        <v>7.2</v>
      </c>
      <c r="G569">
        <v>276398</v>
      </c>
      <c r="H569" s="116"/>
      <c r="I569" s="116"/>
      <c r="L569" s="170">
        <v>42842</v>
      </c>
      <c r="M569" s="116">
        <v>7.2</v>
      </c>
      <c r="N569" s="116">
        <v>7.4</v>
      </c>
      <c r="O569" s="116">
        <v>7.15</v>
      </c>
      <c r="P569" s="116">
        <v>7.35</v>
      </c>
      <c r="Q569" s="116">
        <v>7.2</v>
      </c>
      <c r="R569">
        <v>1416906</v>
      </c>
    </row>
    <row r="570" spans="1:18" x14ac:dyDescent="0.25">
      <c r="A570" s="170">
        <v>42843</v>
      </c>
      <c r="B570" s="116">
        <v>7.35</v>
      </c>
      <c r="C570" s="116">
        <v>7.23</v>
      </c>
      <c r="D570" s="116">
        <v>7.2</v>
      </c>
      <c r="E570" s="116">
        <v>7.21</v>
      </c>
      <c r="F570" s="116">
        <v>7.23</v>
      </c>
      <c r="G570">
        <v>1005095</v>
      </c>
      <c r="H570" s="116"/>
      <c r="I570" s="116"/>
      <c r="L570" s="170">
        <v>42843</v>
      </c>
      <c r="M570" s="116">
        <v>7.2</v>
      </c>
      <c r="N570" s="116">
        <v>7.35</v>
      </c>
      <c r="O570" s="116">
        <v>7.15</v>
      </c>
      <c r="P570" s="116">
        <v>7.25</v>
      </c>
      <c r="Q570" s="116">
        <v>7.2</v>
      </c>
      <c r="R570">
        <v>1569706</v>
      </c>
    </row>
    <row r="571" spans="1:18" x14ac:dyDescent="0.25">
      <c r="A571" s="170">
        <v>42844</v>
      </c>
      <c r="B571" s="116">
        <v>7.35</v>
      </c>
      <c r="C571" s="116">
        <v>7.14</v>
      </c>
      <c r="D571" s="116">
        <v>7.1</v>
      </c>
      <c r="E571" s="116">
        <v>7.25</v>
      </c>
      <c r="F571" s="116">
        <v>7.14</v>
      </c>
      <c r="G571">
        <v>361727</v>
      </c>
      <c r="H571" s="116"/>
      <c r="I571" s="116"/>
      <c r="L571" s="170">
        <v>42844</v>
      </c>
      <c r="M571" s="116">
        <v>7.15</v>
      </c>
      <c r="N571" s="116">
        <v>7.25</v>
      </c>
      <c r="O571" s="116">
        <v>7.1</v>
      </c>
      <c r="P571" s="116">
        <v>7.2</v>
      </c>
      <c r="Q571" s="116">
        <v>7.15</v>
      </c>
      <c r="R571">
        <v>913915</v>
      </c>
    </row>
    <row r="572" spans="1:18" x14ac:dyDescent="0.25">
      <c r="A572" s="170">
        <v>42845</v>
      </c>
      <c r="B572" s="116">
        <v>7.22</v>
      </c>
      <c r="C572" s="116">
        <v>7.03</v>
      </c>
      <c r="D572" s="116">
        <v>6.92</v>
      </c>
      <c r="E572" s="116">
        <v>7.2</v>
      </c>
      <c r="F572" s="116">
        <v>7.03</v>
      </c>
      <c r="G572">
        <v>622417</v>
      </c>
      <c r="H572" s="116"/>
      <c r="I572" s="116"/>
      <c r="L572" s="170">
        <v>42845</v>
      </c>
      <c r="M572" s="116">
        <v>7.05</v>
      </c>
      <c r="N572" s="116">
        <v>7.2</v>
      </c>
      <c r="O572" s="116">
        <v>6.9</v>
      </c>
      <c r="P572" s="116">
        <v>7.15</v>
      </c>
      <c r="Q572" s="116">
        <v>7.05</v>
      </c>
      <c r="R572">
        <v>1523067</v>
      </c>
    </row>
    <row r="573" spans="1:18" x14ac:dyDescent="0.25">
      <c r="A573" s="170">
        <v>42846</v>
      </c>
      <c r="B573" s="116">
        <v>7.18</v>
      </c>
      <c r="C573" s="116">
        <v>7.07</v>
      </c>
      <c r="D573" s="116">
        <v>7</v>
      </c>
      <c r="E573" s="116">
        <v>7.13</v>
      </c>
      <c r="F573" s="116">
        <v>7.07</v>
      </c>
      <c r="G573">
        <v>399955</v>
      </c>
      <c r="H573" s="116"/>
      <c r="I573" s="116"/>
      <c r="L573" s="170">
        <v>42846</v>
      </c>
      <c r="M573" s="116">
        <v>7.05</v>
      </c>
      <c r="N573" s="116">
        <v>7.2</v>
      </c>
      <c r="O573" s="116">
        <v>7</v>
      </c>
      <c r="P573" s="116">
        <v>7.1</v>
      </c>
      <c r="Q573" s="116">
        <v>7.05</v>
      </c>
      <c r="R573">
        <v>1287855</v>
      </c>
    </row>
    <row r="574" spans="1:18" x14ac:dyDescent="0.25">
      <c r="A574" s="170">
        <v>42849</v>
      </c>
      <c r="B574" s="116">
        <v>7.3</v>
      </c>
      <c r="C574" s="116">
        <v>7.11</v>
      </c>
      <c r="D574" s="116">
        <v>7.01</v>
      </c>
      <c r="E574" s="116">
        <v>7.1</v>
      </c>
      <c r="F574" s="116">
        <v>7.11</v>
      </c>
      <c r="G574">
        <v>314935</v>
      </c>
      <c r="H574" s="116"/>
      <c r="I574" s="116"/>
      <c r="L574" s="170">
        <v>42849</v>
      </c>
      <c r="M574" s="116">
        <v>7.1</v>
      </c>
      <c r="N574" s="116">
        <v>7.3</v>
      </c>
      <c r="O574" s="116">
        <v>7</v>
      </c>
      <c r="P574" s="116">
        <v>7.05</v>
      </c>
      <c r="Q574" s="116">
        <v>7.1</v>
      </c>
      <c r="R574">
        <v>1393374</v>
      </c>
    </row>
    <row r="575" spans="1:18" x14ac:dyDescent="0.25">
      <c r="A575" s="170">
        <v>42850</v>
      </c>
      <c r="B575" s="116">
        <v>7.2</v>
      </c>
      <c r="C575" s="116">
        <v>7.11</v>
      </c>
      <c r="D575" s="116">
        <v>7</v>
      </c>
      <c r="E575" s="116">
        <v>7.2</v>
      </c>
      <c r="F575" s="116">
        <v>7.11</v>
      </c>
      <c r="G575">
        <v>427497</v>
      </c>
      <c r="H575" s="116"/>
      <c r="I575" s="116"/>
      <c r="L575" s="170">
        <v>42850</v>
      </c>
      <c r="M575" s="116">
        <v>7.1</v>
      </c>
      <c r="N575" s="116">
        <v>7.2</v>
      </c>
      <c r="O575" s="116">
        <v>7</v>
      </c>
      <c r="P575" s="116">
        <v>7.15</v>
      </c>
      <c r="Q575" s="116">
        <v>7.1</v>
      </c>
      <c r="R575">
        <v>1202261</v>
      </c>
    </row>
    <row r="576" spans="1:18" x14ac:dyDescent="0.25">
      <c r="A576" s="170">
        <v>42851</v>
      </c>
      <c r="B576" s="116">
        <v>7.17</v>
      </c>
      <c r="C576" s="116">
        <v>6.99</v>
      </c>
      <c r="D576" s="116">
        <v>6.95</v>
      </c>
      <c r="E576" s="116">
        <v>7.1</v>
      </c>
      <c r="F576" s="116">
        <v>6.99</v>
      </c>
      <c r="G576">
        <v>525090</v>
      </c>
      <c r="H576" s="116"/>
      <c r="I576" s="116"/>
      <c r="L576" s="170">
        <v>42851</v>
      </c>
      <c r="M576" s="116">
        <v>7</v>
      </c>
      <c r="N576" s="116">
        <v>7.2</v>
      </c>
      <c r="O576" s="116">
        <v>6.95</v>
      </c>
      <c r="P576" s="116">
        <v>7.15</v>
      </c>
      <c r="Q576" s="116">
        <v>7</v>
      </c>
      <c r="R576">
        <v>1457431</v>
      </c>
    </row>
    <row r="577" spans="1:18" x14ac:dyDescent="0.25">
      <c r="A577" s="170">
        <v>42852</v>
      </c>
      <c r="B577" s="116">
        <v>7.14</v>
      </c>
      <c r="C577" s="116">
        <v>6.92</v>
      </c>
      <c r="D577" s="116">
        <v>6.88</v>
      </c>
      <c r="E577" s="116">
        <v>7.14</v>
      </c>
      <c r="F577" s="116">
        <v>6.92</v>
      </c>
      <c r="G577">
        <v>301911</v>
      </c>
      <c r="H577" s="116"/>
      <c r="I577" s="116"/>
      <c r="L577" s="170">
        <v>42852</v>
      </c>
      <c r="M577" s="116">
        <v>6.9</v>
      </c>
      <c r="N577" s="116">
        <v>7.05</v>
      </c>
      <c r="O577" s="116">
        <v>6.85</v>
      </c>
      <c r="P577" s="116">
        <v>7</v>
      </c>
      <c r="Q577" s="116">
        <v>6.9</v>
      </c>
      <c r="R577">
        <v>1274987</v>
      </c>
    </row>
    <row r="578" spans="1:18" x14ac:dyDescent="0.25">
      <c r="A578" s="170">
        <v>42853</v>
      </c>
      <c r="B578" s="116">
        <v>8.3000000000000007</v>
      </c>
      <c r="C578" s="116">
        <v>8.3000000000000007</v>
      </c>
      <c r="D578" s="116">
        <v>6.86</v>
      </c>
      <c r="E578" s="116">
        <v>7.05</v>
      </c>
      <c r="F578" s="116">
        <v>8.3000000000000007</v>
      </c>
      <c r="G578">
        <v>2866629</v>
      </c>
      <c r="H578" s="116"/>
      <c r="I578" s="116"/>
      <c r="L578" s="170">
        <v>42853</v>
      </c>
      <c r="M578" s="116">
        <v>8.25</v>
      </c>
      <c r="N578" s="116">
        <v>8.25</v>
      </c>
      <c r="O578" s="116">
        <v>6.85</v>
      </c>
      <c r="P578" s="116">
        <v>6.9</v>
      </c>
      <c r="Q578" s="116">
        <v>8.25</v>
      </c>
      <c r="R578">
        <v>8918424</v>
      </c>
    </row>
    <row r="579" spans="1:18" x14ac:dyDescent="0.25">
      <c r="A579" s="170">
        <v>42857</v>
      </c>
      <c r="B579" s="116">
        <v>9.4499999999999993</v>
      </c>
      <c r="C579" s="116">
        <v>9.09</v>
      </c>
      <c r="D579" s="116">
        <v>8.5399999999999991</v>
      </c>
      <c r="E579" s="116">
        <v>8.74</v>
      </c>
      <c r="F579" s="116">
        <v>9.09</v>
      </c>
      <c r="G579">
        <v>6497358</v>
      </c>
      <c r="H579" s="116"/>
      <c r="I579" s="116"/>
      <c r="L579" s="170">
        <v>42857</v>
      </c>
      <c r="M579" s="116">
        <v>9.0500000000000007</v>
      </c>
      <c r="N579" s="116">
        <v>9.4499999999999993</v>
      </c>
      <c r="O579" s="116">
        <v>8.5500000000000007</v>
      </c>
      <c r="P579" s="116">
        <v>8.65</v>
      </c>
      <c r="Q579" s="116">
        <v>9.0500000000000007</v>
      </c>
      <c r="R579">
        <v>26197413</v>
      </c>
    </row>
    <row r="580" spans="1:18" x14ac:dyDescent="0.25">
      <c r="A580" s="170">
        <v>42858</v>
      </c>
      <c r="B580" s="116">
        <v>9.2899999999999991</v>
      </c>
      <c r="C580" s="116">
        <v>8.43</v>
      </c>
      <c r="D580" s="116">
        <v>8.39</v>
      </c>
      <c r="E580" s="116">
        <v>9.15</v>
      </c>
      <c r="F580" s="116">
        <v>8.43</v>
      </c>
      <c r="G580">
        <v>2020363</v>
      </c>
      <c r="H580" s="116"/>
      <c r="I580" s="116"/>
      <c r="L580" s="170">
        <v>42858</v>
      </c>
      <c r="M580" s="116">
        <v>8.4</v>
      </c>
      <c r="N580" s="116">
        <v>9.3000000000000007</v>
      </c>
      <c r="O580" s="116">
        <v>8.35</v>
      </c>
      <c r="P580" s="116">
        <v>9.1999999999999993</v>
      </c>
      <c r="Q580" s="116">
        <v>8.4</v>
      </c>
      <c r="R580">
        <v>8424554</v>
      </c>
    </row>
    <row r="581" spans="1:18" x14ac:dyDescent="0.25">
      <c r="A581" s="170">
        <v>42859</v>
      </c>
      <c r="B581" s="116">
        <v>8.6</v>
      </c>
      <c r="C581" s="116">
        <v>8.1199999999999992</v>
      </c>
      <c r="D581" s="116">
        <v>8.02</v>
      </c>
      <c r="E581" s="116">
        <v>8.44</v>
      </c>
      <c r="F581" s="116">
        <v>8.1199999999999992</v>
      </c>
      <c r="G581">
        <v>723454</v>
      </c>
      <c r="H581" s="116"/>
      <c r="I581" s="116"/>
      <c r="L581" s="170">
        <v>42859</v>
      </c>
      <c r="M581" s="116">
        <v>8.1</v>
      </c>
      <c r="N581" s="116">
        <v>8.6</v>
      </c>
      <c r="O581" s="116">
        <v>8</v>
      </c>
      <c r="P581" s="116">
        <v>8.5</v>
      </c>
      <c r="Q581" s="116">
        <v>8.1</v>
      </c>
      <c r="R581">
        <v>3377495</v>
      </c>
    </row>
    <row r="582" spans="1:18" x14ac:dyDescent="0.25">
      <c r="A582" s="170">
        <v>42860</v>
      </c>
      <c r="B582" s="116">
        <v>8.1</v>
      </c>
      <c r="C582" s="116">
        <v>7.81</v>
      </c>
      <c r="D582" s="116">
        <v>7.75</v>
      </c>
      <c r="E582" s="116">
        <v>8.09</v>
      </c>
      <c r="F582" s="116">
        <v>7.81</v>
      </c>
      <c r="G582">
        <v>800480</v>
      </c>
      <c r="H582" s="116"/>
      <c r="I582" s="116"/>
      <c r="L582" s="170">
        <v>42860</v>
      </c>
      <c r="M582" s="116">
        <v>7.8</v>
      </c>
      <c r="N582" s="116">
        <v>8.25</v>
      </c>
      <c r="O582" s="116">
        <v>7.75</v>
      </c>
      <c r="P582" s="116">
        <v>8.25</v>
      </c>
      <c r="Q582" s="116">
        <v>7.8</v>
      </c>
      <c r="R582">
        <v>2809374</v>
      </c>
    </row>
    <row r="583" spans="1:18" x14ac:dyDescent="0.25">
      <c r="A583" s="170">
        <v>42863</v>
      </c>
      <c r="B583" s="116">
        <v>8.3000000000000007</v>
      </c>
      <c r="C583" s="116">
        <v>8.1199999999999992</v>
      </c>
      <c r="D583" s="116">
        <v>7.8</v>
      </c>
      <c r="E583" s="116">
        <v>7.95</v>
      </c>
      <c r="F583" s="116">
        <v>8.1199999999999992</v>
      </c>
      <c r="G583">
        <v>1102091</v>
      </c>
      <c r="H583" s="116"/>
      <c r="I583" s="116"/>
      <c r="L583" s="170">
        <v>42863</v>
      </c>
      <c r="M583" s="116">
        <v>8.1</v>
      </c>
      <c r="N583" s="116">
        <v>8.3000000000000007</v>
      </c>
      <c r="O583" s="116">
        <v>7.8</v>
      </c>
      <c r="P583" s="116">
        <v>7.85</v>
      </c>
      <c r="Q583" s="116">
        <v>8.1</v>
      </c>
      <c r="R583">
        <v>2795463</v>
      </c>
    </row>
    <row r="584" spans="1:18" x14ac:dyDescent="0.25">
      <c r="A584" s="170">
        <v>42864</v>
      </c>
      <c r="B584" s="116">
        <v>8.14</v>
      </c>
      <c r="C584" s="116">
        <v>7.97</v>
      </c>
      <c r="D584" s="116">
        <v>7.85</v>
      </c>
      <c r="E584" s="116">
        <v>8.1199999999999992</v>
      </c>
      <c r="F584" s="116">
        <v>7.97</v>
      </c>
      <c r="G584">
        <v>803910</v>
      </c>
      <c r="H584" s="116"/>
      <c r="I584" s="116"/>
      <c r="L584" s="170">
        <v>42864</v>
      </c>
      <c r="M584" s="116">
        <v>7.95</v>
      </c>
      <c r="N584" s="116">
        <v>8.15</v>
      </c>
      <c r="O584" s="116">
        <v>7.85</v>
      </c>
      <c r="P584" s="116">
        <v>8.15</v>
      </c>
      <c r="Q584" s="116">
        <v>7.95</v>
      </c>
      <c r="R584">
        <v>1363617</v>
      </c>
    </row>
    <row r="585" spans="1:18" x14ac:dyDescent="0.25">
      <c r="A585" s="170">
        <v>42865</v>
      </c>
      <c r="B585" s="116">
        <v>8.24</v>
      </c>
      <c r="C585" s="116">
        <v>8.02</v>
      </c>
      <c r="D585" s="116">
        <v>7.93</v>
      </c>
      <c r="E585" s="116">
        <v>7.97</v>
      </c>
      <c r="F585" s="116">
        <v>8.02</v>
      </c>
      <c r="G585">
        <v>1328517</v>
      </c>
      <c r="H585" s="116"/>
      <c r="I585" s="116"/>
      <c r="L585" s="170">
        <v>42865</v>
      </c>
      <c r="M585" s="116">
        <v>7.95</v>
      </c>
      <c r="N585" s="116">
        <v>8.3000000000000007</v>
      </c>
      <c r="O585" s="116">
        <v>7.9</v>
      </c>
      <c r="P585" s="116">
        <v>8</v>
      </c>
      <c r="Q585" s="116">
        <v>7.95</v>
      </c>
      <c r="R585">
        <v>2655230</v>
      </c>
    </row>
    <row r="586" spans="1:18" x14ac:dyDescent="0.25">
      <c r="A586" s="170">
        <v>42866</v>
      </c>
      <c r="B586" s="116">
        <v>8.15</v>
      </c>
      <c r="C586" s="116">
        <v>7.87</v>
      </c>
      <c r="D586" s="116">
        <v>7.86</v>
      </c>
      <c r="E586" s="116">
        <v>8.01</v>
      </c>
      <c r="F586" s="116">
        <v>7.87</v>
      </c>
      <c r="G586">
        <v>413454</v>
      </c>
      <c r="H586" s="116"/>
      <c r="I586" s="116"/>
      <c r="L586" s="170">
        <v>42866</v>
      </c>
      <c r="M586" s="116">
        <v>7.85</v>
      </c>
      <c r="N586" s="116">
        <v>8.15</v>
      </c>
      <c r="O586" s="116">
        <v>7.85</v>
      </c>
      <c r="P586" s="116">
        <v>8.0500000000000007</v>
      </c>
      <c r="Q586" s="116">
        <v>7.85</v>
      </c>
      <c r="R586">
        <v>1226533</v>
      </c>
    </row>
    <row r="587" spans="1:18" x14ac:dyDescent="0.25">
      <c r="A587" s="170">
        <v>42867</v>
      </c>
      <c r="B587" s="116">
        <v>8.0399999999999991</v>
      </c>
      <c r="C587" s="116">
        <v>7.84</v>
      </c>
      <c r="D587" s="116">
        <v>7.81</v>
      </c>
      <c r="E587" s="116">
        <v>7.9</v>
      </c>
      <c r="F587" s="116">
        <v>7.84</v>
      </c>
      <c r="G587">
        <v>637476</v>
      </c>
      <c r="H587" s="116"/>
      <c r="I587" s="116"/>
      <c r="L587" s="170">
        <v>42867</v>
      </c>
      <c r="M587" s="116">
        <v>7.85</v>
      </c>
      <c r="N587" s="116">
        <v>8.0500000000000007</v>
      </c>
      <c r="O587" s="116">
        <v>7.8</v>
      </c>
      <c r="P587" s="116">
        <v>7.9</v>
      </c>
      <c r="Q587" s="116">
        <v>7.85</v>
      </c>
      <c r="R587">
        <v>1449057</v>
      </c>
    </row>
    <row r="588" spans="1:18" x14ac:dyDescent="0.25">
      <c r="A588" s="170">
        <v>42870</v>
      </c>
      <c r="B588" s="116">
        <v>7.8</v>
      </c>
      <c r="C588" s="116">
        <v>7.55</v>
      </c>
      <c r="D588" s="116">
        <v>7.46</v>
      </c>
      <c r="E588" s="116">
        <v>7.8</v>
      </c>
      <c r="F588" s="116">
        <v>7.55</v>
      </c>
      <c r="G588">
        <v>545596</v>
      </c>
      <c r="H588" s="116"/>
      <c r="I588" s="116"/>
      <c r="L588" s="170">
        <v>42870</v>
      </c>
      <c r="M588" s="116">
        <v>7.55</v>
      </c>
      <c r="N588" s="116">
        <v>7.8</v>
      </c>
      <c r="O588" s="116">
        <v>7.45</v>
      </c>
      <c r="P588" s="116">
        <v>7.8</v>
      </c>
      <c r="Q588" s="116">
        <v>7.55</v>
      </c>
      <c r="R588">
        <v>2108411</v>
      </c>
    </row>
    <row r="589" spans="1:18" x14ac:dyDescent="0.25">
      <c r="A589" s="170">
        <v>42871</v>
      </c>
      <c r="B589" s="116">
        <v>7.69</v>
      </c>
      <c r="C589" s="116">
        <v>7.4</v>
      </c>
      <c r="D589" s="116">
        <v>7.36</v>
      </c>
      <c r="E589" s="116">
        <v>7.54</v>
      </c>
      <c r="F589" s="116">
        <v>7.4</v>
      </c>
      <c r="G589">
        <v>1008372</v>
      </c>
      <c r="H589" s="116"/>
      <c r="I589" s="116"/>
      <c r="L589" s="170">
        <v>42871</v>
      </c>
      <c r="M589" s="116">
        <v>7.4</v>
      </c>
      <c r="N589" s="116">
        <v>7.65</v>
      </c>
      <c r="O589" s="116">
        <v>7.4</v>
      </c>
      <c r="P589" s="116">
        <v>7.6</v>
      </c>
      <c r="Q589" s="116">
        <v>7.4</v>
      </c>
      <c r="R589">
        <v>1891393</v>
      </c>
    </row>
    <row r="590" spans="1:18" x14ac:dyDescent="0.25">
      <c r="A590" s="170">
        <v>42872</v>
      </c>
      <c r="B590" s="116">
        <v>7.45</v>
      </c>
      <c r="C590" s="116">
        <v>7.21</v>
      </c>
      <c r="D590" s="116">
        <v>7.11</v>
      </c>
      <c r="E590" s="116">
        <v>7.41</v>
      </c>
      <c r="F590" s="116">
        <v>7.21</v>
      </c>
      <c r="G590">
        <v>956226</v>
      </c>
      <c r="H590" s="116"/>
      <c r="I590" s="116"/>
      <c r="L590" s="170">
        <v>42872</v>
      </c>
      <c r="M590" s="116">
        <v>7.2</v>
      </c>
      <c r="N590" s="116">
        <v>7.45</v>
      </c>
      <c r="O590" s="116">
        <v>7.05</v>
      </c>
      <c r="P590" s="116">
        <v>7.4</v>
      </c>
      <c r="Q590" s="116">
        <v>7.2</v>
      </c>
      <c r="R590">
        <v>2524976</v>
      </c>
    </row>
    <row r="591" spans="1:18" x14ac:dyDescent="0.25">
      <c r="A591" s="170">
        <v>42873</v>
      </c>
      <c r="B591" s="116">
        <v>7.17</v>
      </c>
      <c r="C591" s="116">
        <v>6.95</v>
      </c>
      <c r="D591" s="116">
        <v>6.89</v>
      </c>
      <c r="E591" s="116">
        <v>7.17</v>
      </c>
      <c r="F591" s="116">
        <v>6.95</v>
      </c>
      <c r="G591">
        <v>2688997</v>
      </c>
      <c r="H591" s="116"/>
      <c r="I591" s="116"/>
      <c r="L591" s="170">
        <v>42873</v>
      </c>
      <c r="M591" s="116">
        <v>7</v>
      </c>
      <c r="N591" s="116">
        <v>7.15</v>
      </c>
      <c r="O591" s="116">
        <v>6.95</v>
      </c>
      <c r="P591" s="116">
        <v>7.15</v>
      </c>
      <c r="Q591" s="116">
        <v>7</v>
      </c>
      <c r="R591">
        <v>3175446</v>
      </c>
    </row>
    <row r="592" spans="1:18" x14ac:dyDescent="0.25">
      <c r="A592" s="170">
        <v>42874</v>
      </c>
      <c r="B592" s="116">
        <v>7.37</v>
      </c>
      <c r="C592" s="116">
        <v>6.97</v>
      </c>
      <c r="D592" s="116">
        <v>6.92</v>
      </c>
      <c r="E592" s="116">
        <v>7</v>
      </c>
      <c r="F592" s="116">
        <v>6.97</v>
      </c>
      <c r="G592">
        <v>2991709</v>
      </c>
      <c r="H592" s="116"/>
      <c r="I592" s="116"/>
      <c r="L592" s="170">
        <v>42874</v>
      </c>
      <c r="M592" s="116">
        <v>7.05</v>
      </c>
      <c r="N592" s="116">
        <v>7.4</v>
      </c>
      <c r="O592" s="116">
        <v>7</v>
      </c>
      <c r="P592" s="116">
        <v>7.1</v>
      </c>
      <c r="Q592" s="116">
        <v>7.05</v>
      </c>
      <c r="R592">
        <v>3872687</v>
      </c>
    </row>
    <row r="593" spans="1:18" x14ac:dyDescent="0.25">
      <c r="A593" s="170">
        <v>42877</v>
      </c>
      <c r="B593" s="116">
        <v>7.05</v>
      </c>
      <c r="C593" s="116">
        <v>6.9</v>
      </c>
      <c r="D593" s="116">
        <v>6.86</v>
      </c>
      <c r="E593" s="116">
        <v>7.05</v>
      </c>
      <c r="F593" s="116">
        <v>6.9</v>
      </c>
      <c r="G593">
        <v>1027583</v>
      </c>
      <c r="H593" s="116"/>
      <c r="I593" s="116"/>
      <c r="L593" s="170">
        <v>42877</v>
      </c>
      <c r="M593" s="116">
        <v>6.95</v>
      </c>
      <c r="N593" s="116">
        <v>7.1</v>
      </c>
      <c r="O593" s="116">
        <v>6.9</v>
      </c>
      <c r="P593" s="116">
        <v>7.1</v>
      </c>
      <c r="Q593" s="116">
        <v>6.95</v>
      </c>
      <c r="R593">
        <v>1684153</v>
      </c>
    </row>
    <row r="594" spans="1:18" x14ac:dyDescent="0.25">
      <c r="A594" s="170">
        <v>42878</v>
      </c>
      <c r="B594" s="116">
        <v>6.95</v>
      </c>
      <c r="C594" s="116">
        <v>6.68</v>
      </c>
      <c r="D594" s="116">
        <v>6.66</v>
      </c>
      <c r="E594" s="116">
        <v>6.9</v>
      </c>
      <c r="F594" s="116">
        <v>6.68</v>
      </c>
      <c r="G594">
        <v>1044228</v>
      </c>
      <c r="H594" s="116"/>
      <c r="I594" s="116"/>
      <c r="L594" s="170">
        <v>42878</v>
      </c>
      <c r="M594" s="116">
        <v>6.7</v>
      </c>
      <c r="N594" s="116">
        <v>7</v>
      </c>
      <c r="O594" s="116">
        <v>6.65</v>
      </c>
      <c r="P594" s="116">
        <v>6.95</v>
      </c>
      <c r="Q594" s="116">
        <v>6.7</v>
      </c>
      <c r="R594">
        <v>1965663</v>
      </c>
    </row>
    <row r="595" spans="1:18" x14ac:dyDescent="0.25">
      <c r="A595" s="170">
        <v>42879</v>
      </c>
      <c r="B595" s="116">
        <v>6.78</v>
      </c>
      <c r="C595" s="116">
        <v>6.57</v>
      </c>
      <c r="D595" s="116">
        <v>6.52</v>
      </c>
      <c r="E595" s="116">
        <v>6.78</v>
      </c>
      <c r="F595" s="116">
        <v>6.57</v>
      </c>
      <c r="G595">
        <v>1079608</v>
      </c>
      <c r="H595" s="116"/>
      <c r="I595" s="116"/>
      <c r="L595" s="170">
        <v>42879</v>
      </c>
      <c r="M595" s="116">
        <v>6.6</v>
      </c>
      <c r="N595" s="116">
        <v>6.75</v>
      </c>
      <c r="O595" s="116">
        <v>6.55</v>
      </c>
      <c r="P595" s="116">
        <v>6.75</v>
      </c>
      <c r="Q595" s="116">
        <v>6.6</v>
      </c>
      <c r="R595">
        <v>1941016</v>
      </c>
    </row>
    <row r="596" spans="1:18" x14ac:dyDescent="0.25">
      <c r="A596" s="170">
        <v>42880</v>
      </c>
      <c r="B596" s="116">
        <v>6.84</v>
      </c>
      <c r="C596" s="116">
        <v>6.76</v>
      </c>
      <c r="D596" s="116">
        <v>6.61</v>
      </c>
      <c r="E596" s="116">
        <v>6.73</v>
      </c>
      <c r="F596" s="116">
        <v>6.76</v>
      </c>
      <c r="G596">
        <v>357215</v>
      </c>
      <c r="H596" s="116"/>
      <c r="I596" s="116"/>
      <c r="L596" s="170">
        <v>42880</v>
      </c>
      <c r="M596" s="116">
        <v>6.75</v>
      </c>
      <c r="N596" s="116">
        <v>6.85</v>
      </c>
      <c r="O596" s="116">
        <v>6.6</v>
      </c>
      <c r="P596" s="116">
        <v>6.6</v>
      </c>
      <c r="Q596" s="116">
        <v>6.75</v>
      </c>
      <c r="R596">
        <v>1446503</v>
      </c>
    </row>
    <row r="597" spans="1:18" x14ac:dyDescent="0.25">
      <c r="A597" s="170">
        <v>42881</v>
      </c>
      <c r="B597" s="116">
        <v>7.1</v>
      </c>
      <c r="C597" s="116">
        <v>6.77</v>
      </c>
      <c r="D597" s="116">
        <v>6.72</v>
      </c>
      <c r="E597" s="116">
        <v>7</v>
      </c>
      <c r="F597" s="116">
        <v>6.77</v>
      </c>
      <c r="G597">
        <v>1729349</v>
      </c>
      <c r="H597" s="116"/>
      <c r="I597" s="116"/>
      <c r="L597" s="170">
        <v>42881</v>
      </c>
      <c r="M597" s="116">
        <v>6.85</v>
      </c>
      <c r="N597" s="116">
        <v>7.1</v>
      </c>
      <c r="O597" s="116">
        <v>6.8</v>
      </c>
      <c r="P597" s="116">
        <v>7</v>
      </c>
      <c r="Q597" s="116">
        <v>6.85</v>
      </c>
      <c r="R597">
        <v>1957536</v>
      </c>
    </row>
    <row r="598" spans="1:18" x14ac:dyDescent="0.25">
      <c r="A598" s="170">
        <v>42884</v>
      </c>
      <c r="B598" s="116">
        <v>6.86</v>
      </c>
      <c r="C598" s="116">
        <v>6.67</v>
      </c>
      <c r="D598" s="116">
        <v>6.63</v>
      </c>
      <c r="E598" s="116">
        <v>6.8</v>
      </c>
      <c r="F598" s="116">
        <v>6.67</v>
      </c>
      <c r="G598">
        <v>557326</v>
      </c>
      <c r="H598" s="116"/>
      <c r="I598" s="116"/>
      <c r="L598" s="170">
        <v>42884</v>
      </c>
      <c r="M598" s="116">
        <v>6.65</v>
      </c>
      <c r="N598" s="116">
        <v>6.85</v>
      </c>
      <c r="O598" s="116">
        <v>6.6</v>
      </c>
      <c r="P598" s="116">
        <v>6.85</v>
      </c>
      <c r="Q598" s="116">
        <v>6.65</v>
      </c>
      <c r="R598">
        <v>1115717</v>
      </c>
    </row>
    <row r="599" spans="1:18" x14ac:dyDescent="0.25">
      <c r="A599" s="170">
        <v>42885</v>
      </c>
      <c r="B599" s="116">
        <v>6.73</v>
      </c>
      <c r="C599" s="116">
        <v>6.6</v>
      </c>
      <c r="D599" s="116">
        <v>6.55</v>
      </c>
      <c r="E599" s="116">
        <v>6.61</v>
      </c>
      <c r="F599" s="116">
        <v>6.6</v>
      </c>
      <c r="G599">
        <v>338466</v>
      </c>
      <c r="H599" s="116"/>
      <c r="I599" s="116"/>
      <c r="L599" s="170">
        <v>42885</v>
      </c>
      <c r="M599" s="116">
        <v>6.6</v>
      </c>
      <c r="N599" s="116">
        <v>6.75</v>
      </c>
      <c r="O599" s="116">
        <v>6.55</v>
      </c>
      <c r="P599" s="116">
        <v>6.7</v>
      </c>
      <c r="Q599" s="116">
        <v>6.6</v>
      </c>
      <c r="R599">
        <v>859411</v>
      </c>
    </row>
    <row r="600" spans="1:18" x14ac:dyDescent="0.25">
      <c r="A600" s="170">
        <v>42886</v>
      </c>
      <c r="B600" s="116">
        <v>6.68</v>
      </c>
      <c r="C600" s="116">
        <v>6.52</v>
      </c>
      <c r="D600" s="116">
        <v>6.46</v>
      </c>
      <c r="E600" s="116">
        <v>6.6</v>
      </c>
      <c r="F600" s="116">
        <v>6.52</v>
      </c>
      <c r="G600">
        <v>281342</v>
      </c>
      <c r="H600" s="116"/>
      <c r="I600" s="116"/>
      <c r="L600" s="170">
        <v>42886</v>
      </c>
      <c r="M600" s="116">
        <v>6.55</v>
      </c>
      <c r="N600" s="116">
        <v>6.7</v>
      </c>
      <c r="O600" s="116">
        <v>6.5</v>
      </c>
      <c r="P600" s="116">
        <v>6.6</v>
      </c>
      <c r="Q600" s="116">
        <v>6.55</v>
      </c>
      <c r="R600">
        <v>1109932</v>
      </c>
    </row>
    <row r="601" spans="1:18" x14ac:dyDescent="0.25">
      <c r="A601" s="170">
        <v>42887</v>
      </c>
      <c r="B601" s="116">
        <v>6.69</v>
      </c>
      <c r="C601" s="116">
        <v>6.6</v>
      </c>
      <c r="D601" s="116">
        <v>6.51</v>
      </c>
      <c r="E601" s="116">
        <v>6.53</v>
      </c>
      <c r="F601" s="116">
        <v>6.6</v>
      </c>
      <c r="G601">
        <v>239033</v>
      </c>
      <c r="H601" s="116"/>
      <c r="I601" s="116"/>
      <c r="L601" s="170">
        <v>42887</v>
      </c>
      <c r="M601" s="116">
        <v>6.6</v>
      </c>
      <c r="N601" s="116">
        <v>6.7</v>
      </c>
      <c r="O601" s="116">
        <v>6.55</v>
      </c>
      <c r="P601" s="116">
        <v>6.6</v>
      </c>
      <c r="Q601" s="116">
        <v>6.6</v>
      </c>
      <c r="R601">
        <v>695626</v>
      </c>
    </row>
    <row r="602" spans="1:18" x14ac:dyDescent="0.25">
      <c r="A602" s="170">
        <v>42888</v>
      </c>
      <c r="B602" s="116">
        <v>6.85</v>
      </c>
      <c r="C602" s="116">
        <v>6.62</v>
      </c>
      <c r="D602" s="116">
        <v>6.6</v>
      </c>
      <c r="E602" s="116">
        <v>6.62</v>
      </c>
      <c r="F602" s="116">
        <v>6.62</v>
      </c>
      <c r="G602">
        <v>608260</v>
      </c>
      <c r="H602" s="116"/>
      <c r="I602" s="116"/>
      <c r="L602" s="170">
        <v>42888</v>
      </c>
      <c r="M602" s="116">
        <v>6.6</v>
      </c>
      <c r="N602" s="116">
        <v>6.85</v>
      </c>
      <c r="O602" s="116">
        <v>6.6</v>
      </c>
      <c r="P602" s="116">
        <v>6.65</v>
      </c>
      <c r="Q602" s="116">
        <v>6.6</v>
      </c>
      <c r="R602">
        <v>1551797</v>
      </c>
    </row>
    <row r="603" spans="1:18" x14ac:dyDescent="0.25">
      <c r="A603" s="170">
        <v>42891</v>
      </c>
      <c r="B603" s="116">
        <v>6.77</v>
      </c>
      <c r="C603" s="116">
        <v>6.64</v>
      </c>
      <c r="D603" s="116">
        <v>6.6</v>
      </c>
      <c r="E603" s="116">
        <v>6.62</v>
      </c>
      <c r="F603" s="116">
        <v>6.64</v>
      </c>
      <c r="G603">
        <v>135651</v>
      </c>
      <c r="H603" s="116"/>
      <c r="I603" s="116"/>
      <c r="L603" s="170">
        <v>42891</v>
      </c>
      <c r="M603" s="116">
        <v>6.65</v>
      </c>
      <c r="N603" s="116">
        <v>6.8</v>
      </c>
      <c r="O603" s="116">
        <v>6.6</v>
      </c>
      <c r="P603" s="116">
        <v>6.65</v>
      </c>
      <c r="Q603" s="116">
        <v>6.65</v>
      </c>
      <c r="R603">
        <v>843092</v>
      </c>
    </row>
    <row r="604" spans="1:18" x14ac:dyDescent="0.25">
      <c r="A604" s="170">
        <v>42892</v>
      </c>
      <c r="B604" s="116">
        <v>6.69</v>
      </c>
      <c r="C604" s="116">
        <v>6.58</v>
      </c>
      <c r="D604" s="116">
        <v>6.55</v>
      </c>
      <c r="E604" s="116">
        <v>6.69</v>
      </c>
      <c r="F604" s="116">
        <v>6.58</v>
      </c>
      <c r="G604">
        <v>152620</v>
      </c>
      <c r="H604" s="116"/>
      <c r="I604" s="116"/>
      <c r="L604" s="170">
        <v>42892</v>
      </c>
      <c r="M604" s="116">
        <v>6.6</v>
      </c>
      <c r="N604" s="116">
        <v>6.7</v>
      </c>
      <c r="O604" s="116">
        <v>6.55</v>
      </c>
      <c r="P604" s="116">
        <v>6.65</v>
      </c>
      <c r="Q604" s="116">
        <v>6.6</v>
      </c>
      <c r="R604">
        <v>557193</v>
      </c>
    </row>
    <row r="605" spans="1:18" x14ac:dyDescent="0.25">
      <c r="A605" s="170">
        <v>42893</v>
      </c>
      <c r="B605" s="116">
        <v>7.1</v>
      </c>
      <c r="C605" s="116">
        <v>6.59</v>
      </c>
      <c r="D605" s="116">
        <v>6.5</v>
      </c>
      <c r="E605" s="116">
        <v>6.58</v>
      </c>
      <c r="F605" s="116">
        <v>6.59</v>
      </c>
      <c r="G605">
        <v>348790</v>
      </c>
      <c r="H605" s="116"/>
      <c r="I605" s="116"/>
      <c r="L605" s="170">
        <v>42893</v>
      </c>
      <c r="M605" s="116">
        <v>6.55</v>
      </c>
      <c r="N605" s="116">
        <v>7.1</v>
      </c>
      <c r="O605" s="116">
        <v>6.5</v>
      </c>
      <c r="P605" s="116">
        <v>6.6</v>
      </c>
      <c r="Q605" s="116">
        <v>6.55</v>
      </c>
      <c r="R605">
        <v>1930794</v>
      </c>
    </row>
    <row r="606" spans="1:18" x14ac:dyDescent="0.25">
      <c r="A606" s="170">
        <v>42894</v>
      </c>
      <c r="B606" s="116">
        <v>6.68</v>
      </c>
      <c r="C606" s="116">
        <v>6.55</v>
      </c>
      <c r="D606" s="116">
        <v>6.52</v>
      </c>
      <c r="E606" s="116">
        <v>6.63</v>
      </c>
      <c r="F606" s="116">
        <v>6.55</v>
      </c>
      <c r="G606">
        <v>338567</v>
      </c>
      <c r="H606" s="116"/>
      <c r="I606" s="116"/>
      <c r="L606" s="170">
        <v>42894</v>
      </c>
      <c r="M606" s="116">
        <v>6.55</v>
      </c>
      <c r="N606" s="116">
        <v>6.65</v>
      </c>
      <c r="O606" s="116">
        <v>6.5</v>
      </c>
      <c r="P606" s="116">
        <v>6.6</v>
      </c>
      <c r="Q606" s="116">
        <v>6.55</v>
      </c>
      <c r="R606">
        <v>653896</v>
      </c>
    </row>
    <row r="607" spans="1:18" x14ac:dyDescent="0.25">
      <c r="A607" s="170">
        <v>42895</v>
      </c>
      <c r="B607" s="116">
        <v>6.73</v>
      </c>
      <c r="C607" s="116">
        <v>6.51</v>
      </c>
      <c r="D607" s="116">
        <v>6.47</v>
      </c>
      <c r="E607" s="116">
        <v>6.56</v>
      </c>
      <c r="F607" s="116">
        <v>6.51</v>
      </c>
      <c r="G607">
        <v>729125</v>
      </c>
      <c r="H607" s="116"/>
      <c r="I607" s="116"/>
      <c r="L607" s="170">
        <v>42895</v>
      </c>
      <c r="M607" s="116">
        <v>6.5</v>
      </c>
      <c r="N607" s="116">
        <v>6.75</v>
      </c>
      <c r="O607" s="116">
        <v>6.45</v>
      </c>
      <c r="P607" s="116">
        <v>6.55</v>
      </c>
      <c r="Q607" s="116">
        <v>6.5</v>
      </c>
      <c r="R607">
        <v>2132196</v>
      </c>
    </row>
    <row r="608" spans="1:18" x14ac:dyDescent="0.25">
      <c r="A608" s="170">
        <v>42898</v>
      </c>
      <c r="B608" s="116">
        <v>6.55</v>
      </c>
      <c r="C608" s="116">
        <v>6.46</v>
      </c>
      <c r="D608" s="116">
        <v>6.4</v>
      </c>
      <c r="E608" s="116">
        <v>6.5</v>
      </c>
      <c r="F608" s="116">
        <v>6.46</v>
      </c>
      <c r="G608">
        <v>327004</v>
      </c>
      <c r="H608" s="116"/>
      <c r="I608" s="116"/>
      <c r="L608" s="170">
        <v>42898</v>
      </c>
      <c r="M608" s="116">
        <v>6.4</v>
      </c>
      <c r="N608" s="116">
        <v>6.55</v>
      </c>
      <c r="O608" s="116">
        <v>6.4</v>
      </c>
      <c r="P608" s="116">
        <v>6.5</v>
      </c>
      <c r="Q608" s="116">
        <v>6.4</v>
      </c>
      <c r="R608">
        <v>1254299</v>
      </c>
    </row>
    <row r="609" spans="1:18" x14ac:dyDescent="0.25">
      <c r="A609" s="170">
        <v>42899</v>
      </c>
      <c r="B609" s="116">
        <v>6.54</v>
      </c>
      <c r="C609" s="116">
        <v>6.41</v>
      </c>
      <c r="D609" s="116">
        <v>6.39</v>
      </c>
      <c r="E609" s="116">
        <v>6.45</v>
      </c>
      <c r="F609" s="116">
        <v>6.41</v>
      </c>
      <c r="G609">
        <v>215743</v>
      </c>
      <c r="H609" s="116"/>
      <c r="I609" s="116"/>
      <c r="L609" s="170">
        <v>42899</v>
      </c>
      <c r="M609" s="116">
        <v>6.4</v>
      </c>
      <c r="N609" s="116">
        <v>6.55</v>
      </c>
      <c r="O609" s="116">
        <v>6.35</v>
      </c>
      <c r="P609" s="116">
        <v>6.5</v>
      </c>
      <c r="Q609" s="116">
        <v>6.4</v>
      </c>
      <c r="R609">
        <v>1037640</v>
      </c>
    </row>
    <row r="610" spans="1:18" x14ac:dyDescent="0.25">
      <c r="A610" s="170">
        <v>42900</v>
      </c>
      <c r="B610" s="116">
        <v>6.5</v>
      </c>
      <c r="C610" s="116">
        <v>6.33</v>
      </c>
      <c r="D610" s="116">
        <v>6.3</v>
      </c>
      <c r="E610" s="116">
        <v>6.42</v>
      </c>
      <c r="F610" s="116">
        <v>6.33</v>
      </c>
      <c r="G610">
        <v>324270</v>
      </c>
      <c r="H610" s="116"/>
      <c r="I610" s="116"/>
      <c r="L610" s="170">
        <v>42900</v>
      </c>
      <c r="M610" s="116">
        <v>6.3</v>
      </c>
      <c r="N610" s="116">
        <v>6.5</v>
      </c>
      <c r="O610" s="116">
        <v>6.3</v>
      </c>
      <c r="P610" s="116">
        <v>6.45</v>
      </c>
      <c r="Q610" s="116">
        <v>6.3</v>
      </c>
      <c r="R610">
        <v>1141682</v>
      </c>
    </row>
    <row r="611" spans="1:18" x14ac:dyDescent="0.25">
      <c r="A611" s="170">
        <v>42901</v>
      </c>
      <c r="B611" s="116">
        <v>6.39</v>
      </c>
      <c r="C611" s="116">
        <v>6.35</v>
      </c>
      <c r="D611" s="116">
        <v>6.27</v>
      </c>
      <c r="E611" s="116">
        <v>6.33</v>
      </c>
      <c r="F611" s="116">
        <v>6.35</v>
      </c>
      <c r="G611">
        <v>179330</v>
      </c>
      <c r="H611" s="116"/>
      <c r="I611" s="116"/>
      <c r="L611" s="170">
        <v>42901</v>
      </c>
      <c r="M611" s="116">
        <v>6.3</v>
      </c>
      <c r="N611" s="116">
        <v>6.4</v>
      </c>
      <c r="O611" s="116">
        <v>6.3</v>
      </c>
      <c r="P611" s="116">
        <v>6.35</v>
      </c>
      <c r="Q611" s="116">
        <v>6.3</v>
      </c>
      <c r="R611">
        <v>784810</v>
      </c>
    </row>
    <row r="612" spans="1:18" x14ac:dyDescent="0.25">
      <c r="A612" s="170">
        <v>42902</v>
      </c>
      <c r="B612" s="116">
        <v>6.38</v>
      </c>
      <c r="C612" s="116">
        <v>6.26</v>
      </c>
      <c r="D612" s="116">
        <v>6.23</v>
      </c>
      <c r="E612" s="116">
        <v>6.31</v>
      </c>
      <c r="F612" s="116">
        <v>6.26</v>
      </c>
      <c r="G612">
        <v>283954</v>
      </c>
      <c r="H612" s="116"/>
      <c r="I612" s="116"/>
      <c r="L612" s="170">
        <v>42902</v>
      </c>
      <c r="M612" s="116">
        <v>6.25</v>
      </c>
      <c r="N612" s="116">
        <v>6.4</v>
      </c>
      <c r="O612" s="116">
        <v>6.2</v>
      </c>
      <c r="P612" s="116">
        <v>6.35</v>
      </c>
      <c r="Q612" s="116">
        <v>6.25</v>
      </c>
      <c r="R612">
        <v>1018882</v>
      </c>
    </row>
    <row r="613" spans="1:18" x14ac:dyDescent="0.25">
      <c r="A613" s="170">
        <v>42905</v>
      </c>
      <c r="B613" s="116">
        <v>6.35</v>
      </c>
      <c r="C613" s="116">
        <v>6.2</v>
      </c>
      <c r="D613" s="116">
        <v>6.17</v>
      </c>
      <c r="E613" s="116">
        <v>6.25</v>
      </c>
      <c r="F613" s="116">
        <v>6.2</v>
      </c>
      <c r="G613">
        <v>219090</v>
      </c>
      <c r="H613" s="116"/>
      <c r="I613" s="116"/>
      <c r="L613" s="170">
        <v>42905</v>
      </c>
      <c r="M613" s="116">
        <v>6.2</v>
      </c>
      <c r="N613" s="116">
        <v>6.35</v>
      </c>
      <c r="O613" s="116">
        <v>6.2</v>
      </c>
      <c r="P613" s="116">
        <v>6.3</v>
      </c>
      <c r="Q613" s="116">
        <v>6.2</v>
      </c>
      <c r="R613">
        <v>768537</v>
      </c>
    </row>
    <row r="614" spans="1:18" x14ac:dyDescent="0.25">
      <c r="A614" s="170">
        <v>42906</v>
      </c>
      <c r="B614" s="116">
        <v>6.24</v>
      </c>
      <c r="C614" s="116">
        <v>6.07</v>
      </c>
      <c r="D614" s="116">
        <v>6.03</v>
      </c>
      <c r="E614" s="116">
        <v>6.19</v>
      </c>
      <c r="F614" s="116">
        <v>6.07</v>
      </c>
      <c r="G614">
        <v>335966</v>
      </c>
      <c r="H614" s="116"/>
      <c r="I614" s="116"/>
      <c r="L614" s="170">
        <v>42906</v>
      </c>
      <c r="M614" s="116">
        <v>6.05</v>
      </c>
      <c r="N614" s="116">
        <v>6.25</v>
      </c>
      <c r="O614" s="116">
        <v>6</v>
      </c>
      <c r="P614" s="116">
        <v>6.25</v>
      </c>
      <c r="Q614" s="116">
        <v>6.05</v>
      </c>
      <c r="R614">
        <v>1732856</v>
      </c>
    </row>
    <row r="615" spans="1:18" x14ac:dyDescent="0.25">
      <c r="A615" s="170">
        <v>42907</v>
      </c>
      <c r="B615" s="116">
        <v>6.32</v>
      </c>
      <c r="C615" s="116">
        <v>6.24</v>
      </c>
      <c r="D615" s="116">
        <v>5.94</v>
      </c>
      <c r="E615" s="116">
        <v>6.07</v>
      </c>
      <c r="F615" s="116">
        <v>6.24</v>
      </c>
      <c r="G615">
        <v>412597</v>
      </c>
      <c r="H615" s="116"/>
      <c r="I615" s="116"/>
      <c r="L615" s="170">
        <v>42907</v>
      </c>
      <c r="M615" s="116">
        <v>6.2</v>
      </c>
      <c r="N615" s="116">
        <v>6.3</v>
      </c>
      <c r="O615" s="116">
        <v>5.9</v>
      </c>
      <c r="P615" s="116">
        <v>6.05</v>
      </c>
      <c r="Q615" s="116">
        <v>6.2</v>
      </c>
      <c r="R615">
        <v>1748293</v>
      </c>
    </row>
    <row r="616" spans="1:18" x14ac:dyDescent="0.25">
      <c r="A616" s="170">
        <v>42908</v>
      </c>
      <c r="B616" s="116">
        <v>6.45</v>
      </c>
      <c r="C616" s="116">
        <v>6.31</v>
      </c>
      <c r="D616" s="116">
        <v>6.2</v>
      </c>
      <c r="E616" s="116">
        <v>6.2</v>
      </c>
      <c r="F616" s="116">
        <v>6.31</v>
      </c>
      <c r="G616">
        <v>415900</v>
      </c>
      <c r="H616" s="116"/>
      <c r="I616" s="116"/>
      <c r="L616" s="170">
        <v>42908</v>
      </c>
      <c r="M616" s="116">
        <v>6.25</v>
      </c>
      <c r="N616" s="116">
        <v>6.45</v>
      </c>
      <c r="O616" s="116">
        <v>6.2</v>
      </c>
      <c r="P616" s="116">
        <v>6.25</v>
      </c>
      <c r="Q616" s="116">
        <v>6.25</v>
      </c>
      <c r="R616">
        <v>1053429</v>
      </c>
    </row>
    <row r="617" spans="1:18" x14ac:dyDescent="0.25">
      <c r="A617" s="170">
        <v>42909</v>
      </c>
      <c r="B617" s="116">
        <v>7.05</v>
      </c>
      <c r="C617" s="116">
        <v>6.7</v>
      </c>
      <c r="D617" s="116">
        <v>6.1</v>
      </c>
      <c r="E617" s="116">
        <v>6.26</v>
      </c>
      <c r="F617" s="116">
        <v>6.7</v>
      </c>
      <c r="G617">
        <v>937426</v>
      </c>
      <c r="H617" s="116"/>
      <c r="I617" s="116"/>
      <c r="L617" s="170">
        <v>42909</v>
      </c>
      <c r="M617" s="116">
        <v>6.75</v>
      </c>
      <c r="N617" s="116">
        <v>7.2</v>
      </c>
      <c r="O617" s="116">
        <v>6.1</v>
      </c>
      <c r="P617" s="116">
        <v>6.3</v>
      </c>
      <c r="Q617" s="116">
        <v>6.75</v>
      </c>
      <c r="R617">
        <v>6059812</v>
      </c>
    </row>
    <row r="618" spans="1:18" x14ac:dyDescent="0.25">
      <c r="A618" s="170">
        <v>42913</v>
      </c>
      <c r="B618" s="116">
        <v>7</v>
      </c>
      <c r="C618" s="116">
        <v>6.48</v>
      </c>
      <c r="D618" s="116">
        <v>6.4</v>
      </c>
      <c r="E618" s="116">
        <v>6.91</v>
      </c>
      <c r="F618" s="116">
        <v>6.48</v>
      </c>
      <c r="G618">
        <v>421863</v>
      </c>
      <c r="H618" s="116"/>
      <c r="I618" s="116"/>
      <c r="L618" s="170">
        <v>42913</v>
      </c>
      <c r="M618" s="116">
        <v>6.45</v>
      </c>
      <c r="N618" s="116">
        <v>6.95</v>
      </c>
      <c r="O618" s="116">
        <v>6.4</v>
      </c>
      <c r="P618" s="116">
        <v>6.9</v>
      </c>
      <c r="Q618" s="116">
        <v>6.45</v>
      </c>
      <c r="R618">
        <v>1497845</v>
      </c>
    </row>
    <row r="619" spans="1:18" x14ac:dyDescent="0.25">
      <c r="A619" s="170">
        <v>42914</v>
      </c>
      <c r="B619" s="116">
        <v>7.45</v>
      </c>
      <c r="C619" s="116">
        <v>6.99</v>
      </c>
      <c r="D619" s="116">
        <v>6.6</v>
      </c>
      <c r="E619" s="116">
        <v>6.6</v>
      </c>
      <c r="F619" s="116">
        <v>6.99</v>
      </c>
      <c r="G619">
        <v>2434191</v>
      </c>
      <c r="H619" s="116"/>
      <c r="I619" s="116"/>
      <c r="L619" s="170">
        <v>42914</v>
      </c>
      <c r="M619" s="116">
        <v>7</v>
      </c>
      <c r="N619" s="116">
        <v>7.5</v>
      </c>
      <c r="O619" s="116">
        <v>6.55</v>
      </c>
      <c r="P619" s="116">
        <v>6.55</v>
      </c>
      <c r="Q619" s="116">
        <v>7</v>
      </c>
      <c r="R619">
        <v>7337157</v>
      </c>
    </row>
    <row r="620" spans="1:18" x14ac:dyDescent="0.25">
      <c r="A620" s="170">
        <v>42915</v>
      </c>
      <c r="B620" s="116">
        <v>7.16</v>
      </c>
      <c r="C620" s="116">
        <v>6.98</v>
      </c>
      <c r="D620" s="116">
        <v>6.9</v>
      </c>
      <c r="E620" s="116">
        <v>7.15</v>
      </c>
      <c r="F620" s="116">
        <v>6.98</v>
      </c>
      <c r="G620">
        <v>346707</v>
      </c>
      <c r="H620" s="116"/>
      <c r="I620" s="116"/>
      <c r="L620" s="170">
        <v>42915</v>
      </c>
      <c r="M620" s="116">
        <v>7</v>
      </c>
      <c r="N620" s="116">
        <v>7.15</v>
      </c>
      <c r="O620" s="116">
        <v>6.9</v>
      </c>
      <c r="P620" s="116">
        <v>7.05</v>
      </c>
      <c r="Q620" s="116">
        <v>7</v>
      </c>
      <c r="R620">
        <v>1688277</v>
      </c>
    </row>
    <row r="621" spans="1:18" x14ac:dyDescent="0.25">
      <c r="A621" s="170">
        <v>42916</v>
      </c>
      <c r="B621" s="116">
        <v>7.04</v>
      </c>
      <c r="C621" s="116">
        <v>6.85</v>
      </c>
      <c r="D621" s="116">
        <v>6.8</v>
      </c>
      <c r="E621" s="116">
        <v>7</v>
      </c>
      <c r="F621" s="116">
        <v>6.85</v>
      </c>
      <c r="G621">
        <v>305129</v>
      </c>
      <c r="H621" s="116"/>
      <c r="I621" s="116"/>
      <c r="L621" s="170">
        <v>42916</v>
      </c>
      <c r="M621" s="116">
        <v>6.85</v>
      </c>
      <c r="N621" s="116">
        <v>7.1</v>
      </c>
      <c r="O621" s="116">
        <v>6.8</v>
      </c>
      <c r="P621" s="116">
        <v>7.1</v>
      </c>
      <c r="Q621" s="116">
        <v>6.85</v>
      </c>
      <c r="R621">
        <v>1211175</v>
      </c>
    </row>
    <row r="622" spans="1:18" x14ac:dyDescent="0.25">
      <c r="A622" s="170">
        <v>42919</v>
      </c>
      <c r="B622" s="116">
        <v>7.11</v>
      </c>
      <c r="C622" s="116">
        <v>6.81</v>
      </c>
      <c r="D622" s="116">
        <v>6.74</v>
      </c>
      <c r="E622" s="116">
        <v>6.85</v>
      </c>
      <c r="F622" s="116">
        <v>6.81</v>
      </c>
      <c r="G622">
        <v>324379</v>
      </c>
      <c r="H622" s="116"/>
      <c r="I622" s="116"/>
      <c r="L622" s="170">
        <v>42919</v>
      </c>
      <c r="M622" s="116">
        <v>6.8</v>
      </c>
      <c r="N622" s="116">
        <v>7.1</v>
      </c>
      <c r="O622" s="116">
        <v>6.7</v>
      </c>
      <c r="P622" s="116">
        <v>6.85</v>
      </c>
      <c r="Q622" s="116">
        <v>6.8</v>
      </c>
      <c r="R622">
        <v>1262444</v>
      </c>
    </row>
    <row r="623" spans="1:18" x14ac:dyDescent="0.25">
      <c r="A623" s="170">
        <v>42920</v>
      </c>
      <c r="B623" s="116">
        <v>6.93</v>
      </c>
      <c r="C623" s="116">
        <v>6.8</v>
      </c>
      <c r="D623" s="116">
        <v>6.7</v>
      </c>
      <c r="E623" s="116">
        <v>6.9</v>
      </c>
      <c r="F623" s="116">
        <v>6.8</v>
      </c>
      <c r="G623">
        <v>443268</v>
      </c>
      <c r="H623" s="116"/>
      <c r="I623" s="116"/>
      <c r="L623" s="170">
        <v>42920</v>
      </c>
      <c r="M623" s="116">
        <v>6.8</v>
      </c>
      <c r="N623" s="116">
        <v>6.95</v>
      </c>
      <c r="O623" s="116">
        <v>6.7</v>
      </c>
      <c r="P623" s="116">
        <v>6.85</v>
      </c>
      <c r="Q623" s="116">
        <v>6.8</v>
      </c>
      <c r="R623">
        <v>1084817</v>
      </c>
    </row>
    <row r="624" spans="1:18" x14ac:dyDescent="0.25">
      <c r="A624" s="170">
        <v>42921</v>
      </c>
      <c r="B624" s="116">
        <v>7.5</v>
      </c>
      <c r="C624" s="116">
        <v>7.35</v>
      </c>
      <c r="D624" s="116">
        <v>6.81</v>
      </c>
      <c r="E624" s="116">
        <v>6.81</v>
      </c>
      <c r="F624" s="116">
        <v>7.35</v>
      </c>
      <c r="G624">
        <v>1332326</v>
      </c>
      <c r="H624" s="116"/>
      <c r="I624" s="116"/>
      <c r="L624" s="170">
        <v>42921</v>
      </c>
      <c r="M624" s="116">
        <v>7.35</v>
      </c>
      <c r="N624" s="116">
        <v>7.5</v>
      </c>
      <c r="O624" s="116">
        <v>6.85</v>
      </c>
      <c r="P624" s="116">
        <v>6.9</v>
      </c>
      <c r="Q624" s="116">
        <v>7.35</v>
      </c>
      <c r="R624">
        <v>6557142</v>
      </c>
    </row>
    <row r="625" spans="1:18" x14ac:dyDescent="0.25">
      <c r="A625" s="170">
        <v>42922</v>
      </c>
      <c r="B625" s="116">
        <v>7.48</v>
      </c>
      <c r="C625" s="116">
        <v>7.31</v>
      </c>
      <c r="D625" s="116">
        <v>7.25</v>
      </c>
      <c r="E625" s="116">
        <v>7.45</v>
      </c>
      <c r="F625" s="116">
        <v>7.31</v>
      </c>
      <c r="G625">
        <v>680565</v>
      </c>
      <c r="H625" s="116"/>
      <c r="I625" s="116"/>
      <c r="L625" s="170">
        <v>42922</v>
      </c>
      <c r="M625" s="116">
        <v>7.3</v>
      </c>
      <c r="N625" s="116">
        <v>7.5</v>
      </c>
      <c r="O625" s="116">
        <v>7.25</v>
      </c>
      <c r="P625" s="116">
        <v>7.5</v>
      </c>
      <c r="Q625" s="116">
        <v>7.3</v>
      </c>
      <c r="R625">
        <v>2640763</v>
      </c>
    </row>
    <row r="626" spans="1:18" x14ac:dyDescent="0.25">
      <c r="A626" s="170">
        <v>42923</v>
      </c>
      <c r="B626" s="116">
        <v>8.69</v>
      </c>
      <c r="C626" s="116">
        <v>8.56</v>
      </c>
      <c r="D626" s="116">
        <v>7.61</v>
      </c>
      <c r="E626" s="116">
        <v>7.75</v>
      </c>
      <c r="F626" s="116">
        <v>8.56</v>
      </c>
      <c r="G626">
        <v>4176221</v>
      </c>
      <c r="H626" s="116"/>
      <c r="I626" s="116"/>
      <c r="L626" s="170">
        <v>42923</v>
      </c>
      <c r="M626" s="116">
        <v>8.6</v>
      </c>
      <c r="N626" s="116">
        <v>8.6999999999999993</v>
      </c>
      <c r="O626" s="116">
        <v>7.6</v>
      </c>
      <c r="P626" s="116">
        <v>7.7</v>
      </c>
      <c r="Q626" s="116">
        <v>8.6</v>
      </c>
      <c r="R626">
        <v>18943138</v>
      </c>
    </row>
    <row r="627" spans="1:18" x14ac:dyDescent="0.25">
      <c r="A627" s="170">
        <v>42926</v>
      </c>
      <c r="B627" s="116">
        <v>9.4499999999999993</v>
      </c>
      <c r="C627" s="116">
        <v>8.25</v>
      </c>
      <c r="D627" s="116">
        <v>7.96</v>
      </c>
      <c r="E627" s="116">
        <v>8.74</v>
      </c>
      <c r="F627" s="116">
        <v>8.25</v>
      </c>
      <c r="G627">
        <v>5512836</v>
      </c>
      <c r="H627" s="116"/>
      <c r="I627" s="116"/>
      <c r="L627" s="170">
        <v>42926</v>
      </c>
      <c r="M627" s="116">
        <v>8.25</v>
      </c>
      <c r="N627" s="116">
        <v>10</v>
      </c>
      <c r="O627" s="116">
        <v>7.9</v>
      </c>
      <c r="P627" s="116">
        <v>10</v>
      </c>
      <c r="Q627" s="116">
        <v>8.25</v>
      </c>
      <c r="R627">
        <v>2928028</v>
      </c>
    </row>
    <row r="628" spans="1:18" x14ac:dyDescent="0.25">
      <c r="A628" s="170">
        <v>42927</v>
      </c>
      <c r="B628" s="116">
        <v>8.4499999999999993</v>
      </c>
      <c r="C628" s="116">
        <v>7.79</v>
      </c>
      <c r="D628" s="116">
        <v>7.61</v>
      </c>
      <c r="E628" s="116">
        <v>8.24</v>
      </c>
      <c r="F628" s="116">
        <v>7.79</v>
      </c>
      <c r="G628">
        <v>1507294</v>
      </c>
      <c r="H628" s="116"/>
      <c r="I628" s="116"/>
      <c r="L628" s="170">
        <v>42927</v>
      </c>
      <c r="M628" s="116">
        <v>7.75</v>
      </c>
      <c r="N628" s="116">
        <v>8.4499999999999993</v>
      </c>
      <c r="O628" s="116">
        <v>7.6</v>
      </c>
      <c r="P628" s="116">
        <v>8.1999999999999993</v>
      </c>
      <c r="Q628" s="116">
        <v>7.75</v>
      </c>
      <c r="R628">
        <v>6425603</v>
      </c>
    </row>
    <row r="629" spans="1:18" x14ac:dyDescent="0.25">
      <c r="A629" s="170">
        <v>42928</v>
      </c>
      <c r="B629" s="116">
        <v>8</v>
      </c>
      <c r="C629" s="116">
        <v>7.68</v>
      </c>
      <c r="D629" s="116">
        <v>7.58</v>
      </c>
      <c r="E629" s="116">
        <v>7.85</v>
      </c>
      <c r="F629" s="116">
        <v>7.68</v>
      </c>
      <c r="G629">
        <v>796037</v>
      </c>
      <c r="H629" s="116"/>
      <c r="I629" s="116"/>
      <c r="L629" s="170">
        <v>42928</v>
      </c>
      <c r="M629" s="116">
        <v>7.65</v>
      </c>
      <c r="N629" s="116">
        <v>8</v>
      </c>
      <c r="O629" s="116">
        <v>7.55</v>
      </c>
      <c r="P629" s="116">
        <v>7.85</v>
      </c>
      <c r="Q629" s="116">
        <v>7.65</v>
      </c>
      <c r="R629">
        <v>2803823</v>
      </c>
    </row>
    <row r="630" spans="1:18" x14ac:dyDescent="0.25">
      <c r="A630" s="170">
        <v>42929</v>
      </c>
      <c r="B630" s="116">
        <v>7.9</v>
      </c>
      <c r="C630" s="116">
        <v>7.58</v>
      </c>
      <c r="D630" s="116">
        <v>7.51</v>
      </c>
      <c r="E630" s="116">
        <v>7.7</v>
      </c>
      <c r="F630" s="116">
        <v>7.58</v>
      </c>
      <c r="G630">
        <v>543003</v>
      </c>
      <c r="H630" s="116"/>
      <c r="I630" s="116"/>
      <c r="L630" s="170">
        <v>42929</v>
      </c>
      <c r="M630" s="116">
        <v>7.65</v>
      </c>
      <c r="N630" s="116">
        <v>7.9</v>
      </c>
      <c r="O630" s="116">
        <v>7.45</v>
      </c>
      <c r="P630" s="116">
        <v>7.7</v>
      </c>
      <c r="Q630" s="116">
        <v>7.65</v>
      </c>
      <c r="R630">
        <v>1705847</v>
      </c>
    </row>
    <row r="631" spans="1:18" x14ac:dyDescent="0.25">
      <c r="A631" s="170">
        <v>42930</v>
      </c>
      <c r="B631" s="116">
        <v>7.75</v>
      </c>
      <c r="C631" s="116">
        <v>7.39</v>
      </c>
      <c r="D631" s="116">
        <v>7.22</v>
      </c>
      <c r="E631" s="116">
        <v>7.55</v>
      </c>
      <c r="F631" s="116">
        <v>7.39</v>
      </c>
      <c r="G631">
        <v>1003217</v>
      </c>
      <c r="H631" s="116"/>
      <c r="I631" s="116"/>
      <c r="L631" s="170">
        <v>42930</v>
      </c>
      <c r="M631" s="116">
        <v>7.4</v>
      </c>
      <c r="N631" s="116">
        <v>7.75</v>
      </c>
      <c r="O631" s="116">
        <v>7.3</v>
      </c>
      <c r="P631" s="116">
        <v>7.65</v>
      </c>
      <c r="Q631" s="116">
        <v>7.4</v>
      </c>
      <c r="R631">
        <v>2499490</v>
      </c>
    </row>
    <row r="632" spans="1:18" x14ac:dyDescent="0.25">
      <c r="A632" s="170">
        <v>42933</v>
      </c>
      <c r="B632" s="116">
        <v>7.69</v>
      </c>
      <c r="C632" s="116">
        <v>7.56</v>
      </c>
      <c r="D632" s="116">
        <v>7.4</v>
      </c>
      <c r="E632" s="116">
        <v>7.46</v>
      </c>
      <c r="F632" s="116">
        <v>7.56</v>
      </c>
      <c r="G632">
        <v>593673</v>
      </c>
      <c r="H632" s="116"/>
      <c r="I632" s="116"/>
      <c r="L632" s="170">
        <v>42933</v>
      </c>
      <c r="M632" s="116">
        <v>7.5</v>
      </c>
      <c r="N632" s="116">
        <v>7.7</v>
      </c>
      <c r="O632" s="116">
        <v>7.4</v>
      </c>
      <c r="P632" s="116">
        <v>7.4</v>
      </c>
      <c r="Q632" s="116">
        <v>7.5</v>
      </c>
      <c r="R632">
        <v>1435423</v>
      </c>
    </row>
    <row r="633" spans="1:18" x14ac:dyDescent="0.25">
      <c r="A633" s="170">
        <v>42934</v>
      </c>
      <c r="B633" s="116">
        <v>7.7</v>
      </c>
      <c r="C633" s="116">
        <v>7.45</v>
      </c>
      <c r="D633" s="116">
        <v>7.32</v>
      </c>
      <c r="E633" s="116">
        <v>7.6</v>
      </c>
      <c r="F633" s="116">
        <v>7.45</v>
      </c>
      <c r="G633">
        <v>421540</v>
      </c>
      <c r="H633" s="116"/>
      <c r="I633" s="116"/>
      <c r="L633" s="170">
        <v>42934</v>
      </c>
      <c r="M633" s="116">
        <v>7.45</v>
      </c>
      <c r="N633" s="116">
        <v>7.7</v>
      </c>
      <c r="O633" s="116">
        <v>7.4</v>
      </c>
      <c r="P633" s="116">
        <v>7.5</v>
      </c>
      <c r="Q633" s="116">
        <v>7.45</v>
      </c>
      <c r="R633">
        <v>1500669</v>
      </c>
    </row>
    <row r="634" spans="1:18" x14ac:dyDescent="0.25">
      <c r="A634" s="170">
        <v>42935</v>
      </c>
      <c r="B634" s="116">
        <v>7.87</v>
      </c>
      <c r="C634" s="116">
        <v>7.63</v>
      </c>
      <c r="D634" s="116">
        <v>7.47</v>
      </c>
      <c r="E634" s="116">
        <v>7.48</v>
      </c>
      <c r="F634" s="116">
        <v>7.63</v>
      </c>
      <c r="G634">
        <v>948756</v>
      </c>
      <c r="H634" s="116"/>
      <c r="I634" s="116"/>
      <c r="L634" s="170">
        <v>42935</v>
      </c>
      <c r="M634" s="116">
        <v>7.65</v>
      </c>
      <c r="N634" s="116">
        <v>7.9</v>
      </c>
      <c r="O634" s="116">
        <v>7.45</v>
      </c>
      <c r="P634" s="116">
        <v>7.6</v>
      </c>
      <c r="Q634" s="116">
        <v>7.65</v>
      </c>
      <c r="R634">
        <v>3445446</v>
      </c>
    </row>
    <row r="635" spans="1:18" x14ac:dyDescent="0.25">
      <c r="A635" s="170">
        <v>42936</v>
      </c>
      <c r="B635" s="116">
        <v>7.77</v>
      </c>
      <c r="C635" s="116">
        <v>7.51</v>
      </c>
      <c r="D635" s="116">
        <v>7.46</v>
      </c>
      <c r="E635" s="116">
        <v>7.63</v>
      </c>
      <c r="F635" s="116">
        <v>7.51</v>
      </c>
      <c r="G635">
        <v>768711</v>
      </c>
      <c r="H635" s="116"/>
      <c r="I635" s="116"/>
      <c r="L635" s="170">
        <v>42936</v>
      </c>
      <c r="M635" s="116">
        <v>7.55</v>
      </c>
      <c r="N635" s="116">
        <v>7.8</v>
      </c>
      <c r="O635" s="116">
        <v>7.5</v>
      </c>
      <c r="P635" s="116">
        <v>7.7</v>
      </c>
      <c r="Q635" s="116">
        <v>7.55</v>
      </c>
      <c r="R635">
        <v>2163740</v>
      </c>
    </row>
    <row r="636" spans="1:18" x14ac:dyDescent="0.25">
      <c r="A636" s="170">
        <v>42937</v>
      </c>
      <c r="B636" s="116">
        <v>7.65</v>
      </c>
      <c r="C636" s="116">
        <v>7.4</v>
      </c>
      <c r="D636" s="116">
        <v>7.2</v>
      </c>
      <c r="E636" s="116">
        <v>7.65</v>
      </c>
      <c r="F636" s="116">
        <v>7.4</v>
      </c>
      <c r="G636">
        <v>882760</v>
      </c>
      <c r="H636" s="116"/>
      <c r="I636" s="116"/>
      <c r="L636" s="170">
        <v>42937</v>
      </c>
      <c r="M636" s="116">
        <v>7.4</v>
      </c>
      <c r="N636" s="116">
        <v>7.65</v>
      </c>
      <c r="O636" s="116">
        <v>7.2</v>
      </c>
      <c r="P636" s="116">
        <v>7.65</v>
      </c>
      <c r="Q636" s="116">
        <v>7.4</v>
      </c>
      <c r="R636">
        <v>2172886</v>
      </c>
    </row>
    <row r="637" spans="1:18" x14ac:dyDescent="0.25">
      <c r="A637" s="170">
        <v>42940</v>
      </c>
      <c r="B637" s="116">
        <v>7.65</v>
      </c>
      <c r="C637" s="116">
        <v>7.45</v>
      </c>
      <c r="D637" s="116">
        <v>7.27</v>
      </c>
      <c r="E637" s="116">
        <v>7.27</v>
      </c>
      <c r="F637" s="116">
        <v>7.45</v>
      </c>
      <c r="G637">
        <v>776212</v>
      </c>
      <c r="H637" s="116"/>
      <c r="I637" s="116"/>
      <c r="L637" s="170">
        <v>42940</v>
      </c>
      <c r="M637" s="116">
        <v>7.45</v>
      </c>
      <c r="N637" s="116">
        <v>7.6</v>
      </c>
      <c r="O637" s="116">
        <v>7.35</v>
      </c>
      <c r="P637" s="116">
        <v>7.45</v>
      </c>
      <c r="Q637" s="116">
        <v>7.45</v>
      </c>
      <c r="R637">
        <v>2177824</v>
      </c>
    </row>
    <row r="638" spans="1:18" x14ac:dyDescent="0.25">
      <c r="A638" s="170">
        <v>42941</v>
      </c>
      <c r="B638" s="116">
        <v>7.66</v>
      </c>
      <c r="C638" s="116">
        <v>7.5</v>
      </c>
      <c r="D638" s="116">
        <v>7.38</v>
      </c>
      <c r="E638" s="116">
        <v>7.41</v>
      </c>
      <c r="F638" s="116">
        <v>7.5</v>
      </c>
      <c r="G638">
        <v>860801</v>
      </c>
      <c r="H638" s="116"/>
      <c r="I638" s="116"/>
      <c r="L638" s="170">
        <v>42941</v>
      </c>
      <c r="M638" s="116">
        <v>7.45</v>
      </c>
      <c r="N638" s="116">
        <v>7.65</v>
      </c>
      <c r="O638" s="116">
        <v>7.4</v>
      </c>
      <c r="P638" s="116">
        <v>7.5</v>
      </c>
      <c r="Q638" s="116">
        <v>7.45</v>
      </c>
      <c r="R638">
        <v>2485884</v>
      </c>
    </row>
    <row r="639" spans="1:18" x14ac:dyDescent="0.25">
      <c r="A639" s="170">
        <v>42942</v>
      </c>
      <c r="B639" s="116">
        <v>8.36</v>
      </c>
      <c r="C639" s="116">
        <v>8.07</v>
      </c>
      <c r="D639" s="116">
        <v>7.46</v>
      </c>
      <c r="E639" s="116">
        <v>7.5</v>
      </c>
      <c r="F639" s="116">
        <v>8.07</v>
      </c>
      <c r="G639">
        <v>2496323</v>
      </c>
      <c r="H639" s="116"/>
      <c r="I639" s="116"/>
      <c r="L639" s="170">
        <v>42942</v>
      </c>
      <c r="M639" s="116">
        <v>8.1</v>
      </c>
      <c r="N639" s="116">
        <v>8.35</v>
      </c>
      <c r="O639" s="116">
        <v>7.45</v>
      </c>
      <c r="P639" s="116">
        <v>7.5</v>
      </c>
      <c r="Q639" s="116">
        <v>8.1</v>
      </c>
      <c r="R639">
        <v>8631926</v>
      </c>
    </row>
    <row r="640" spans="1:18" x14ac:dyDescent="0.25">
      <c r="A640" s="170">
        <v>42943</v>
      </c>
      <c r="B640" s="116">
        <v>8.3000000000000007</v>
      </c>
      <c r="C640" s="116">
        <v>7.66</v>
      </c>
      <c r="D640" s="116">
        <v>7.55</v>
      </c>
      <c r="E640" s="116">
        <v>8.2200000000000006</v>
      </c>
      <c r="F640" s="116">
        <v>7.66</v>
      </c>
      <c r="G640">
        <v>1819055</v>
      </c>
      <c r="H640" s="116"/>
      <c r="I640" s="116"/>
      <c r="L640" s="170">
        <v>42943</v>
      </c>
      <c r="M640" s="116">
        <v>7.65</v>
      </c>
      <c r="N640" s="116">
        <v>8.35</v>
      </c>
      <c r="O640" s="116">
        <v>7.55</v>
      </c>
      <c r="P640" s="116">
        <v>8.1999999999999993</v>
      </c>
      <c r="Q640" s="116">
        <v>7.65</v>
      </c>
      <c r="R640">
        <v>3717008</v>
      </c>
    </row>
    <row r="641" spans="1:18" x14ac:dyDescent="0.25">
      <c r="A641" s="170">
        <v>42944</v>
      </c>
      <c r="B641" s="116">
        <v>7.89</v>
      </c>
      <c r="C641" s="116">
        <v>7.66</v>
      </c>
      <c r="D641" s="116">
        <v>7.51</v>
      </c>
      <c r="E641" s="116">
        <v>7.51</v>
      </c>
      <c r="F641" s="116">
        <v>7.66</v>
      </c>
      <c r="G641">
        <v>658471</v>
      </c>
      <c r="H641" s="116"/>
      <c r="I641" s="116"/>
      <c r="L641" s="170">
        <v>42944</v>
      </c>
      <c r="M641" s="116">
        <v>7.7</v>
      </c>
      <c r="N641" s="116">
        <v>7.9</v>
      </c>
      <c r="O641" s="116">
        <v>7.5</v>
      </c>
      <c r="P641" s="116">
        <v>7.65</v>
      </c>
      <c r="Q641" s="116">
        <v>7.7</v>
      </c>
      <c r="R641">
        <v>2178301</v>
      </c>
    </row>
    <row r="642" spans="1:18" x14ac:dyDescent="0.25">
      <c r="A642" s="170">
        <v>42947</v>
      </c>
      <c r="B642" s="116">
        <v>8.25</v>
      </c>
      <c r="C642" s="116">
        <v>7.86</v>
      </c>
      <c r="D642" s="116">
        <v>7.69</v>
      </c>
      <c r="E642" s="116">
        <v>7.75</v>
      </c>
      <c r="F642" s="116">
        <v>7.86</v>
      </c>
      <c r="G642">
        <v>1697169</v>
      </c>
      <c r="H642" s="116"/>
      <c r="I642" s="116"/>
      <c r="L642" s="170">
        <v>42947</v>
      </c>
      <c r="M642" s="116">
        <v>7.85</v>
      </c>
      <c r="N642" s="116">
        <v>8.3000000000000007</v>
      </c>
      <c r="O642" s="116">
        <v>7.65</v>
      </c>
      <c r="P642" s="116">
        <v>7.75</v>
      </c>
      <c r="Q642" s="116">
        <v>7.85</v>
      </c>
      <c r="R642">
        <v>5822821</v>
      </c>
    </row>
    <row r="643" spans="1:18" x14ac:dyDescent="0.25">
      <c r="A643" s="170">
        <v>42948</v>
      </c>
      <c r="B643" s="116">
        <v>8.15</v>
      </c>
      <c r="C643" s="116">
        <v>7.65</v>
      </c>
      <c r="D643" s="116">
        <v>7.6</v>
      </c>
      <c r="E643" s="116">
        <v>7.85</v>
      </c>
      <c r="F643" s="116">
        <v>7.65</v>
      </c>
      <c r="G643">
        <v>1120747</v>
      </c>
      <c r="H643" s="116"/>
      <c r="I643" s="116"/>
      <c r="L643" s="170">
        <v>42948</v>
      </c>
      <c r="M643" s="116">
        <v>7.65</v>
      </c>
      <c r="N643" s="116">
        <v>8.1999999999999993</v>
      </c>
      <c r="O643" s="116">
        <v>7.6</v>
      </c>
      <c r="P643" s="116">
        <v>7.85</v>
      </c>
      <c r="Q643" s="116">
        <v>7.65</v>
      </c>
      <c r="R643">
        <v>4735315</v>
      </c>
    </row>
    <row r="644" spans="1:18" x14ac:dyDescent="0.25">
      <c r="A644" s="170">
        <v>42949</v>
      </c>
      <c r="B644" s="116">
        <v>7.87</v>
      </c>
      <c r="C644" s="116">
        <v>7.49</v>
      </c>
      <c r="D644" s="116">
        <v>7.39</v>
      </c>
      <c r="E644" s="116">
        <v>7.65</v>
      </c>
      <c r="F644" s="116">
        <v>7.49</v>
      </c>
      <c r="G644">
        <v>787632</v>
      </c>
      <c r="H644" s="116"/>
      <c r="I644" s="116"/>
      <c r="L644" s="170">
        <v>42949</v>
      </c>
      <c r="M644" s="116">
        <v>7.5</v>
      </c>
      <c r="N644" s="116">
        <v>7.85</v>
      </c>
      <c r="O644" s="116">
        <v>7.45</v>
      </c>
      <c r="P644" s="116">
        <v>7.65</v>
      </c>
      <c r="Q644" s="116">
        <v>7.5</v>
      </c>
      <c r="R644">
        <v>1855320</v>
      </c>
    </row>
    <row r="645" spans="1:18" x14ac:dyDescent="0.25">
      <c r="A645" s="170">
        <v>42950</v>
      </c>
      <c r="B645" s="116">
        <v>7.48</v>
      </c>
      <c r="C645" s="116">
        <v>7.17</v>
      </c>
      <c r="D645" s="116">
        <v>7.11</v>
      </c>
      <c r="E645" s="116">
        <v>7.46</v>
      </c>
      <c r="F645" s="116">
        <v>7.17</v>
      </c>
      <c r="G645">
        <v>810156</v>
      </c>
      <c r="H645" s="116"/>
      <c r="I645" s="116"/>
      <c r="L645" s="170">
        <v>42950</v>
      </c>
      <c r="M645" s="116">
        <v>7.1</v>
      </c>
      <c r="N645" s="116">
        <v>7.5</v>
      </c>
      <c r="O645" s="116">
        <v>7.05</v>
      </c>
      <c r="P645" s="116">
        <v>7.5</v>
      </c>
      <c r="Q645" s="116">
        <v>7.1</v>
      </c>
      <c r="R645">
        <v>2523977</v>
      </c>
    </row>
    <row r="646" spans="1:18" x14ac:dyDescent="0.25">
      <c r="A646" s="170">
        <v>42951</v>
      </c>
      <c r="B646" s="116">
        <v>7.52</v>
      </c>
      <c r="C646" s="116">
        <v>7.44</v>
      </c>
      <c r="D646" s="116">
        <v>7.25</v>
      </c>
      <c r="E646" s="116">
        <v>7.45</v>
      </c>
      <c r="F646" s="116">
        <v>7.44</v>
      </c>
      <c r="G646">
        <v>840301</v>
      </c>
      <c r="H646" s="116"/>
      <c r="I646" s="116"/>
      <c r="L646" s="170">
        <v>42951</v>
      </c>
      <c r="M646" s="116">
        <v>7.45</v>
      </c>
      <c r="N646" s="116">
        <v>7.55</v>
      </c>
      <c r="O646" s="116">
        <v>7.25</v>
      </c>
      <c r="P646" s="116">
        <v>7.3</v>
      </c>
      <c r="Q646" s="116">
        <v>7.45</v>
      </c>
      <c r="R646">
        <v>3102771</v>
      </c>
    </row>
    <row r="647" spans="1:18" x14ac:dyDescent="0.25">
      <c r="A647" s="170">
        <v>42954</v>
      </c>
      <c r="B647" s="116">
        <v>7.9</v>
      </c>
      <c r="C647" s="116">
        <v>7.54</v>
      </c>
      <c r="D647" s="116">
        <v>7.48</v>
      </c>
      <c r="E647" s="116">
        <v>7.55</v>
      </c>
      <c r="F647" s="116">
        <v>7.54</v>
      </c>
      <c r="G647">
        <v>632113</v>
      </c>
      <c r="H647" s="116"/>
      <c r="I647" s="116"/>
      <c r="L647" s="170">
        <v>42954</v>
      </c>
      <c r="M647" s="116">
        <v>7.55</v>
      </c>
      <c r="N647" s="116">
        <v>7.95</v>
      </c>
      <c r="O647" s="116">
        <v>7.5</v>
      </c>
      <c r="P647" s="116">
        <v>7.55</v>
      </c>
      <c r="Q647" s="116">
        <v>7.55</v>
      </c>
      <c r="R647">
        <v>2004125</v>
      </c>
    </row>
    <row r="648" spans="1:18" x14ac:dyDescent="0.25">
      <c r="A648" s="170">
        <v>42955</v>
      </c>
      <c r="B648" s="116">
        <v>7.67</v>
      </c>
      <c r="C648" s="116">
        <v>7.29</v>
      </c>
      <c r="D648" s="116">
        <v>7.24</v>
      </c>
      <c r="E648" s="116">
        <v>7.67</v>
      </c>
      <c r="F648" s="116">
        <v>7.29</v>
      </c>
      <c r="G648">
        <v>1084596</v>
      </c>
      <c r="H648" s="116"/>
      <c r="I648" s="116"/>
      <c r="L648" s="170">
        <v>42955</v>
      </c>
      <c r="M648" s="116">
        <v>7.25</v>
      </c>
      <c r="N648" s="116">
        <v>7.7</v>
      </c>
      <c r="O648" s="116">
        <v>7.2</v>
      </c>
      <c r="P648" s="116">
        <v>7.6</v>
      </c>
      <c r="Q648" s="116">
        <v>7.25</v>
      </c>
      <c r="R648">
        <v>4541734</v>
      </c>
    </row>
    <row r="649" spans="1:18" x14ac:dyDescent="0.25">
      <c r="A649" s="170">
        <v>42956</v>
      </c>
      <c r="B649" s="116">
        <v>7.25</v>
      </c>
      <c r="C649" s="116">
        <v>6.99</v>
      </c>
      <c r="D649" s="116">
        <v>6.88</v>
      </c>
      <c r="E649" s="116">
        <v>7.25</v>
      </c>
      <c r="F649" s="116">
        <v>6.99</v>
      </c>
      <c r="G649">
        <v>763430</v>
      </c>
      <c r="H649" s="116"/>
      <c r="I649" s="116"/>
      <c r="L649" s="170">
        <v>42956</v>
      </c>
      <c r="M649" s="116">
        <v>6.95</v>
      </c>
      <c r="N649" s="116">
        <v>7.25</v>
      </c>
      <c r="O649" s="116">
        <v>6.85</v>
      </c>
      <c r="P649" s="116">
        <v>7.25</v>
      </c>
      <c r="Q649" s="116">
        <v>6.95</v>
      </c>
      <c r="R649">
        <v>2324584</v>
      </c>
    </row>
    <row r="650" spans="1:18" x14ac:dyDescent="0.25">
      <c r="A650" s="170">
        <v>42957</v>
      </c>
      <c r="B650" s="116">
        <v>6.99</v>
      </c>
      <c r="C650" s="116">
        <v>6.58</v>
      </c>
      <c r="D650" s="116">
        <v>6.52</v>
      </c>
      <c r="E650" s="116">
        <v>6.86</v>
      </c>
      <c r="F650" s="116">
        <v>6.58</v>
      </c>
      <c r="G650">
        <v>1106894</v>
      </c>
      <c r="H650" s="116"/>
      <c r="I650" s="116"/>
      <c r="L650" s="170">
        <v>42957</v>
      </c>
      <c r="M650" s="116">
        <v>6.6</v>
      </c>
      <c r="N650" s="116">
        <v>7</v>
      </c>
      <c r="O650" s="116">
        <v>6.5</v>
      </c>
      <c r="P650" s="116">
        <v>6.9</v>
      </c>
      <c r="Q650" s="116">
        <v>6.6</v>
      </c>
      <c r="R650">
        <v>2637142</v>
      </c>
    </row>
    <row r="651" spans="1:18" x14ac:dyDescent="0.25">
      <c r="A651" s="170">
        <v>42958</v>
      </c>
      <c r="B651" s="116">
        <v>6.78</v>
      </c>
      <c r="C651" s="116">
        <v>6.51</v>
      </c>
      <c r="D651" s="116">
        <v>6.23</v>
      </c>
      <c r="E651" s="116">
        <v>6.58</v>
      </c>
      <c r="F651" s="116">
        <v>6.51</v>
      </c>
      <c r="G651">
        <v>1125462</v>
      </c>
      <c r="H651" s="116"/>
      <c r="I651" s="116"/>
      <c r="L651" s="170">
        <v>42958</v>
      </c>
      <c r="M651" s="116">
        <v>6.5</v>
      </c>
      <c r="N651" s="116">
        <v>6.75</v>
      </c>
      <c r="O651" s="116">
        <v>6.25</v>
      </c>
      <c r="P651" s="116">
        <v>6.5</v>
      </c>
      <c r="Q651" s="116">
        <v>6.5</v>
      </c>
      <c r="R651">
        <v>2439296</v>
      </c>
    </row>
    <row r="652" spans="1:18" x14ac:dyDescent="0.25">
      <c r="A652" s="170">
        <v>42961</v>
      </c>
      <c r="B652" s="116">
        <v>6.81</v>
      </c>
      <c r="C652" s="116">
        <v>6.75</v>
      </c>
      <c r="D652" s="116">
        <v>6.5</v>
      </c>
      <c r="E652" s="116">
        <v>6.54</v>
      </c>
      <c r="F652" s="116">
        <v>6.75</v>
      </c>
      <c r="G652">
        <v>510641</v>
      </c>
      <c r="H652" s="116"/>
      <c r="I652" s="116"/>
      <c r="L652" s="170">
        <v>42961</v>
      </c>
      <c r="M652" s="116">
        <v>6.75</v>
      </c>
      <c r="N652" s="116">
        <v>6.85</v>
      </c>
      <c r="O652" s="116">
        <v>6.45</v>
      </c>
      <c r="P652" s="116">
        <v>6.6</v>
      </c>
      <c r="Q652" s="116">
        <v>6.75</v>
      </c>
      <c r="R652">
        <v>2088854</v>
      </c>
    </row>
    <row r="653" spans="1:18" x14ac:dyDescent="0.25">
      <c r="A653" s="170">
        <v>42963</v>
      </c>
      <c r="B653" s="116">
        <v>6.95</v>
      </c>
      <c r="C653" s="116">
        <v>6.77</v>
      </c>
      <c r="D653" s="116">
        <v>6.65</v>
      </c>
      <c r="E653" s="116">
        <v>6.85</v>
      </c>
      <c r="F653" s="116">
        <v>6.77</v>
      </c>
      <c r="G653">
        <v>860195</v>
      </c>
      <c r="H653" s="116"/>
      <c r="I653" s="116"/>
      <c r="L653" s="170">
        <v>42963</v>
      </c>
      <c r="M653" s="116">
        <v>6.8</v>
      </c>
      <c r="N653" s="116">
        <v>6.95</v>
      </c>
      <c r="O653" s="116">
        <v>6.65</v>
      </c>
      <c r="P653" s="116">
        <v>6.75</v>
      </c>
      <c r="Q653" s="116">
        <v>6.8</v>
      </c>
      <c r="R653">
        <v>868449</v>
      </c>
    </row>
    <row r="654" spans="1:18" x14ac:dyDescent="0.25">
      <c r="A654" s="170">
        <v>42964</v>
      </c>
      <c r="B654" s="116">
        <v>7.1</v>
      </c>
      <c r="C654" s="116">
        <v>6.89</v>
      </c>
      <c r="D654" s="116">
        <v>6.72</v>
      </c>
      <c r="E654" s="116">
        <v>6.87</v>
      </c>
      <c r="F654" s="116">
        <v>6.89</v>
      </c>
      <c r="G654">
        <v>439571</v>
      </c>
      <c r="H654" s="116"/>
      <c r="I654" s="116"/>
      <c r="L654" s="170">
        <v>42964</v>
      </c>
      <c r="M654" s="116">
        <v>6.9</v>
      </c>
      <c r="N654" s="116">
        <v>7.1</v>
      </c>
      <c r="O654" s="116">
        <v>6.7</v>
      </c>
      <c r="P654" s="116">
        <v>6.85</v>
      </c>
      <c r="Q654" s="116">
        <v>6.9</v>
      </c>
      <c r="R654">
        <v>1350575</v>
      </c>
    </row>
    <row r="655" spans="1:18" x14ac:dyDescent="0.25">
      <c r="A655" s="170">
        <v>42965</v>
      </c>
      <c r="B655" s="116">
        <v>7.25</v>
      </c>
      <c r="C655" s="116">
        <v>6.92</v>
      </c>
      <c r="D655" s="116">
        <v>6.73</v>
      </c>
      <c r="E655" s="116">
        <v>6.89</v>
      </c>
      <c r="F655" s="116">
        <v>6.92</v>
      </c>
      <c r="G655">
        <v>416826</v>
      </c>
      <c r="H655" s="116"/>
      <c r="I655" s="116"/>
      <c r="L655" s="170">
        <v>42965</v>
      </c>
      <c r="M655" s="116">
        <v>6.9</v>
      </c>
      <c r="N655" s="116">
        <v>7.3</v>
      </c>
      <c r="O655" s="116">
        <v>6.75</v>
      </c>
      <c r="P655" s="116">
        <v>6.8</v>
      </c>
      <c r="Q655" s="116">
        <v>6.9</v>
      </c>
      <c r="R655">
        <v>2689310</v>
      </c>
    </row>
    <row r="656" spans="1:18" x14ac:dyDescent="0.25">
      <c r="A656" s="170">
        <v>42968</v>
      </c>
      <c r="B656" s="116">
        <v>7.02</v>
      </c>
      <c r="C656" s="116">
        <v>6.65</v>
      </c>
      <c r="D656" s="116">
        <v>6.61</v>
      </c>
      <c r="E656" s="116">
        <v>6.84</v>
      </c>
      <c r="F656" s="116">
        <v>6.65</v>
      </c>
      <c r="G656">
        <v>227354</v>
      </c>
      <c r="H656" s="116"/>
      <c r="I656" s="116"/>
      <c r="L656" s="170">
        <v>42968</v>
      </c>
      <c r="M656" s="116">
        <v>6.65</v>
      </c>
      <c r="N656" s="116">
        <v>7</v>
      </c>
      <c r="O656" s="116">
        <v>6.6</v>
      </c>
      <c r="P656" s="116">
        <v>6.95</v>
      </c>
      <c r="Q656" s="116">
        <v>6.65</v>
      </c>
      <c r="R656">
        <v>1610421</v>
      </c>
    </row>
    <row r="657" spans="1:18" x14ac:dyDescent="0.25">
      <c r="A657" s="170">
        <v>42969</v>
      </c>
      <c r="B657" s="116">
        <v>6.83</v>
      </c>
      <c r="C657" s="116">
        <v>6.69</v>
      </c>
      <c r="D657" s="116">
        <v>6.65</v>
      </c>
      <c r="E657" s="116">
        <v>6.77</v>
      </c>
      <c r="F657" s="116">
        <v>6.69</v>
      </c>
      <c r="G657">
        <v>115704</v>
      </c>
      <c r="H657" s="116"/>
      <c r="I657" s="116"/>
      <c r="L657" s="170">
        <v>42969</v>
      </c>
      <c r="M657" s="116">
        <v>6.7</v>
      </c>
      <c r="N657" s="116">
        <v>6.85</v>
      </c>
      <c r="O657" s="116">
        <v>6.65</v>
      </c>
      <c r="P657" s="116">
        <v>6.7</v>
      </c>
      <c r="Q657" s="116">
        <v>6.7</v>
      </c>
      <c r="R657">
        <v>925020</v>
      </c>
    </row>
    <row r="658" spans="1:18" x14ac:dyDescent="0.25">
      <c r="A658" s="170">
        <v>42970</v>
      </c>
      <c r="B658" s="116">
        <v>7.25</v>
      </c>
      <c r="C658" s="116">
        <v>6.76</v>
      </c>
      <c r="D658" s="116">
        <v>6.72</v>
      </c>
      <c r="E658" s="116">
        <v>6.75</v>
      </c>
      <c r="F658" s="116">
        <v>6.76</v>
      </c>
      <c r="G658">
        <v>178885</v>
      </c>
      <c r="H658" s="116"/>
      <c r="I658" s="116"/>
      <c r="L658" s="170">
        <v>42970</v>
      </c>
      <c r="M658" s="116">
        <v>6.75</v>
      </c>
      <c r="N658" s="116">
        <v>6.85</v>
      </c>
      <c r="O658" s="116">
        <v>6.7</v>
      </c>
      <c r="P658" s="116">
        <v>6.8</v>
      </c>
      <c r="Q658" s="116">
        <v>6.75</v>
      </c>
      <c r="R658">
        <v>871173</v>
      </c>
    </row>
    <row r="659" spans="1:18" x14ac:dyDescent="0.25">
      <c r="A659" s="170">
        <v>42971</v>
      </c>
      <c r="B659" s="116">
        <v>6.9</v>
      </c>
      <c r="C659" s="116">
        <v>6.73</v>
      </c>
      <c r="D659" s="116">
        <v>6.66</v>
      </c>
      <c r="E659" s="116">
        <v>6.76</v>
      </c>
      <c r="F659" s="116">
        <v>6.73</v>
      </c>
      <c r="G659">
        <v>199676</v>
      </c>
      <c r="H659" s="116"/>
      <c r="I659" s="116"/>
      <c r="L659" s="170">
        <v>42971</v>
      </c>
      <c r="M659" s="116">
        <v>6.75</v>
      </c>
      <c r="N659" s="116">
        <v>6.9</v>
      </c>
      <c r="O659" s="116">
        <v>6.7</v>
      </c>
      <c r="P659" s="116">
        <v>6.8</v>
      </c>
      <c r="Q659" s="116">
        <v>6.75</v>
      </c>
      <c r="R659">
        <v>997270</v>
      </c>
    </row>
    <row r="660" spans="1:18" x14ac:dyDescent="0.25">
      <c r="A660" s="170">
        <v>42975</v>
      </c>
      <c r="B660" s="116">
        <v>6.95</v>
      </c>
      <c r="C660" s="116">
        <v>6.77</v>
      </c>
      <c r="D660" s="116">
        <v>6.7</v>
      </c>
      <c r="E660" s="116">
        <v>6.75</v>
      </c>
      <c r="F660" s="116">
        <v>6.77</v>
      </c>
      <c r="G660">
        <v>309880</v>
      </c>
      <c r="H660" s="116"/>
      <c r="I660" s="116"/>
      <c r="L660" s="170">
        <v>42975</v>
      </c>
      <c r="M660" s="116">
        <v>6.8</v>
      </c>
      <c r="N660" s="116">
        <v>6.9</v>
      </c>
      <c r="O660" s="116">
        <v>6.7</v>
      </c>
      <c r="P660" s="116">
        <v>6.8</v>
      </c>
      <c r="Q660" s="116">
        <v>6.8</v>
      </c>
      <c r="R660">
        <v>1125720</v>
      </c>
    </row>
    <row r="661" spans="1:18" x14ac:dyDescent="0.25">
      <c r="A661" s="170">
        <v>42976</v>
      </c>
      <c r="B661" s="116">
        <v>6.89</v>
      </c>
      <c r="C661" s="116">
        <v>6.57</v>
      </c>
      <c r="D661" s="116">
        <v>6.53</v>
      </c>
      <c r="E661" s="116">
        <v>6.89</v>
      </c>
      <c r="F661" s="116">
        <v>6.57</v>
      </c>
      <c r="G661">
        <v>333746</v>
      </c>
      <c r="H661" s="116"/>
      <c r="I661" s="116"/>
      <c r="L661" s="170">
        <v>42976</v>
      </c>
      <c r="M661" s="116">
        <v>6.55</v>
      </c>
      <c r="N661" s="116">
        <v>6.8</v>
      </c>
      <c r="O661" s="116">
        <v>6.5</v>
      </c>
      <c r="P661" s="116">
        <v>6.75</v>
      </c>
      <c r="Q661" s="116">
        <v>6.55</v>
      </c>
      <c r="R661">
        <v>1243840</v>
      </c>
    </row>
    <row r="662" spans="1:18" x14ac:dyDescent="0.25">
      <c r="A662" s="170">
        <v>42977</v>
      </c>
      <c r="B662" s="116">
        <v>6.78</v>
      </c>
      <c r="C662" s="116">
        <v>6.64</v>
      </c>
      <c r="D662" s="116">
        <v>6.57</v>
      </c>
      <c r="E662" s="116">
        <v>6.57</v>
      </c>
      <c r="F662" s="116">
        <v>6.64</v>
      </c>
      <c r="G662">
        <v>124907</v>
      </c>
      <c r="H662" s="116"/>
      <c r="I662" s="116"/>
      <c r="L662" s="170">
        <v>42977</v>
      </c>
      <c r="M662" s="116">
        <v>6.65</v>
      </c>
      <c r="N662" s="116">
        <v>6.75</v>
      </c>
      <c r="O662" s="116">
        <v>6.6</v>
      </c>
      <c r="P662" s="116">
        <v>6.6</v>
      </c>
      <c r="Q662" s="116">
        <v>6.65</v>
      </c>
      <c r="R662">
        <v>748313</v>
      </c>
    </row>
    <row r="663" spans="1:18" x14ac:dyDescent="0.25">
      <c r="A663" s="170">
        <v>42978</v>
      </c>
      <c r="B663" s="116">
        <v>6.75</v>
      </c>
      <c r="C663" s="116">
        <v>6.67</v>
      </c>
      <c r="D663" s="116">
        <v>6.6</v>
      </c>
      <c r="E663" s="116">
        <v>6.67</v>
      </c>
      <c r="F663" s="116">
        <v>6.67</v>
      </c>
      <c r="G663">
        <v>275257</v>
      </c>
      <c r="H663" s="116"/>
      <c r="I663" s="116"/>
      <c r="L663" s="170">
        <v>42978</v>
      </c>
      <c r="M663" s="116">
        <v>6.7</v>
      </c>
      <c r="N663" s="116">
        <v>6.75</v>
      </c>
      <c r="O663" s="116">
        <v>6.6</v>
      </c>
      <c r="P663" s="116">
        <v>6.75</v>
      </c>
      <c r="Q663" s="116">
        <v>6.7</v>
      </c>
      <c r="R663">
        <v>934764</v>
      </c>
    </row>
    <row r="664" spans="1:18" x14ac:dyDescent="0.25">
      <c r="A664" s="170">
        <v>42979</v>
      </c>
      <c r="B664" s="116">
        <v>7.08</v>
      </c>
      <c r="C664" s="116">
        <v>6.84</v>
      </c>
      <c r="D664" s="116">
        <v>6.71</v>
      </c>
      <c r="E664" s="116">
        <v>6.71</v>
      </c>
      <c r="F664" s="116">
        <v>6.84</v>
      </c>
      <c r="G664">
        <v>460658</v>
      </c>
      <c r="H664" s="116"/>
      <c r="I664" s="116"/>
      <c r="L664" s="170">
        <v>42979</v>
      </c>
      <c r="M664" s="116">
        <v>6.85</v>
      </c>
      <c r="N664" s="116">
        <v>7.1</v>
      </c>
      <c r="O664" s="116">
        <v>6.7</v>
      </c>
      <c r="P664" s="116">
        <v>6.7</v>
      </c>
      <c r="Q664" s="116">
        <v>6.85</v>
      </c>
      <c r="R664">
        <v>1877537</v>
      </c>
    </row>
    <row r="665" spans="1:18" x14ac:dyDescent="0.25">
      <c r="A665" s="170">
        <v>42982</v>
      </c>
      <c r="B665" s="116">
        <v>6.97</v>
      </c>
      <c r="C665" s="116">
        <v>6.76</v>
      </c>
      <c r="D665" s="116">
        <v>6.66</v>
      </c>
      <c r="E665" s="116">
        <v>6.92</v>
      </c>
      <c r="F665" s="116">
        <v>6.76</v>
      </c>
      <c r="G665">
        <v>450834</v>
      </c>
      <c r="H665" s="116"/>
      <c r="I665" s="116"/>
      <c r="L665" s="170">
        <v>42982</v>
      </c>
      <c r="M665" s="116">
        <v>6.75</v>
      </c>
      <c r="N665" s="116">
        <v>6.95</v>
      </c>
      <c r="O665" s="116">
        <v>6.7</v>
      </c>
      <c r="P665" s="116">
        <v>6.95</v>
      </c>
      <c r="Q665" s="116">
        <v>6.75</v>
      </c>
      <c r="R665">
        <v>968557</v>
      </c>
    </row>
    <row r="666" spans="1:18" x14ac:dyDescent="0.25">
      <c r="A666" s="170">
        <v>42983</v>
      </c>
      <c r="B666" s="116">
        <v>6.93</v>
      </c>
      <c r="C666" s="116">
        <v>6.75</v>
      </c>
      <c r="D666" s="116">
        <v>6.71</v>
      </c>
      <c r="E666" s="116">
        <v>6.78</v>
      </c>
      <c r="F666" s="116">
        <v>6.75</v>
      </c>
      <c r="G666">
        <v>250342</v>
      </c>
      <c r="H666" s="116"/>
      <c r="I666" s="116"/>
      <c r="L666" s="170">
        <v>42983</v>
      </c>
      <c r="M666" s="116">
        <v>6.75</v>
      </c>
      <c r="N666" s="116">
        <v>6.95</v>
      </c>
      <c r="O666" s="116">
        <v>6.7</v>
      </c>
      <c r="P666" s="116">
        <v>6.8</v>
      </c>
      <c r="Q666" s="116">
        <v>6.75</v>
      </c>
      <c r="R666">
        <v>710899</v>
      </c>
    </row>
    <row r="667" spans="1:18" x14ac:dyDescent="0.25">
      <c r="A667" s="170">
        <v>42984</v>
      </c>
      <c r="B667" s="116">
        <v>7.11</v>
      </c>
      <c r="C667" s="116">
        <v>7.02</v>
      </c>
      <c r="D667" s="116">
        <v>6.7</v>
      </c>
      <c r="E667" s="116">
        <v>6.75</v>
      </c>
      <c r="F667" s="116">
        <v>7.02</v>
      </c>
      <c r="G667">
        <v>658374</v>
      </c>
      <c r="H667" s="116"/>
      <c r="I667" s="116"/>
      <c r="L667" s="170">
        <v>42984</v>
      </c>
      <c r="M667" s="116">
        <v>7</v>
      </c>
      <c r="N667" s="116">
        <v>7.1</v>
      </c>
      <c r="O667" s="116">
        <v>6.65</v>
      </c>
      <c r="P667" s="116">
        <v>6.75</v>
      </c>
      <c r="Q667" s="116">
        <v>7</v>
      </c>
      <c r="R667">
        <v>2340396</v>
      </c>
    </row>
    <row r="668" spans="1:18" x14ac:dyDescent="0.25">
      <c r="A668" s="170">
        <v>42985</v>
      </c>
      <c r="B668" s="116">
        <v>7.15</v>
      </c>
      <c r="C668" s="116">
        <v>6.91</v>
      </c>
      <c r="D668" s="116">
        <v>6.87</v>
      </c>
      <c r="E668" s="116">
        <v>7</v>
      </c>
      <c r="F668" s="116">
        <v>6.91</v>
      </c>
      <c r="G668">
        <v>343976</v>
      </c>
      <c r="H668" s="116"/>
      <c r="I668" s="116"/>
      <c r="L668" s="170">
        <v>42985</v>
      </c>
      <c r="M668" s="116">
        <v>6.9</v>
      </c>
      <c r="N668" s="116">
        <v>7.15</v>
      </c>
      <c r="O668" s="116">
        <v>6.85</v>
      </c>
      <c r="P668" s="116">
        <v>7.1</v>
      </c>
      <c r="Q668" s="116">
        <v>6.9</v>
      </c>
      <c r="R668">
        <v>1232653</v>
      </c>
    </row>
    <row r="669" spans="1:18" x14ac:dyDescent="0.25">
      <c r="A669" s="170">
        <v>42986</v>
      </c>
      <c r="B669" s="116">
        <v>7</v>
      </c>
      <c r="C669" s="116">
        <v>6.83</v>
      </c>
      <c r="D669" s="116">
        <v>6.82</v>
      </c>
      <c r="E669" s="116">
        <v>7</v>
      </c>
      <c r="F669" s="116">
        <v>6.83</v>
      </c>
      <c r="G669">
        <v>242467</v>
      </c>
      <c r="H669" s="116"/>
      <c r="I669" s="116"/>
      <c r="L669" s="170">
        <v>42986</v>
      </c>
      <c r="M669" s="116">
        <v>6.85</v>
      </c>
      <c r="N669" s="116">
        <v>7.05</v>
      </c>
      <c r="O669" s="116">
        <v>6.8</v>
      </c>
      <c r="P669" s="116">
        <v>6.9</v>
      </c>
      <c r="Q669" s="116">
        <v>6.85</v>
      </c>
      <c r="R669">
        <v>714481</v>
      </c>
    </row>
    <row r="670" spans="1:18" x14ac:dyDescent="0.25">
      <c r="A670" s="170">
        <v>42989</v>
      </c>
      <c r="B670" s="116">
        <v>6.97</v>
      </c>
      <c r="C670" s="116">
        <v>6.83</v>
      </c>
      <c r="D670" s="116">
        <v>6.82</v>
      </c>
      <c r="E670" s="116">
        <v>6.85</v>
      </c>
      <c r="F670" s="116">
        <v>6.83</v>
      </c>
      <c r="G670">
        <v>143201</v>
      </c>
      <c r="H670" s="116"/>
      <c r="I670" s="116"/>
      <c r="L670" s="170">
        <v>42989</v>
      </c>
      <c r="M670" s="116">
        <v>6.8</v>
      </c>
      <c r="N670" s="116">
        <v>6.95</v>
      </c>
      <c r="O670" s="116">
        <v>6.8</v>
      </c>
      <c r="P670" s="116">
        <v>6.9</v>
      </c>
      <c r="Q670" s="116">
        <v>6.8</v>
      </c>
      <c r="R670">
        <v>575945</v>
      </c>
    </row>
    <row r="671" spans="1:18" x14ac:dyDescent="0.25">
      <c r="A671" s="170">
        <v>42990</v>
      </c>
      <c r="B671" s="116">
        <v>6.9</v>
      </c>
      <c r="C671" s="116">
        <v>6.78</v>
      </c>
      <c r="D671" s="116">
        <v>6.72</v>
      </c>
      <c r="E671" s="116">
        <v>6.85</v>
      </c>
      <c r="F671" s="116">
        <v>6.78</v>
      </c>
      <c r="G671">
        <v>251461</v>
      </c>
      <c r="H671" s="116"/>
      <c r="I671" s="116"/>
      <c r="L671" s="170">
        <v>42990</v>
      </c>
      <c r="M671" s="116">
        <v>6.75</v>
      </c>
      <c r="N671" s="116">
        <v>6.9</v>
      </c>
      <c r="O671" s="116">
        <v>6.7</v>
      </c>
      <c r="P671" s="116">
        <v>6.8</v>
      </c>
      <c r="Q671" s="116">
        <v>6.75</v>
      </c>
      <c r="R671">
        <v>1117923</v>
      </c>
    </row>
    <row r="672" spans="1:18" x14ac:dyDescent="0.25">
      <c r="A672" s="170">
        <v>42991</v>
      </c>
      <c r="B672" s="116">
        <v>6.88</v>
      </c>
      <c r="C672" s="116">
        <v>6.7</v>
      </c>
      <c r="D672" s="116">
        <v>6.65</v>
      </c>
      <c r="E672" s="116">
        <v>6.82</v>
      </c>
      <c r="F672" s="116">
        <v>6.7</v>
      </c>
      <c r="G672">
        <v>286907</v>
      </c>
      <c r="H672" s="116"/>
      <c r="I672" s="116"/>
      <c r="L672" s="170">
        <v>42991</v>
      </c>
      <c r="M672" s="116">
        <v>6.7</v>
      </c>
      <c r="N672" s="116">
        <v>6.9</v>
      </c>
      <c r="O672" s="116">
        <v>6.7</v>
      </c>
      <c r="P672" s="116">
        <v>6.75</v>
      </c>
      <c r="Q672" s="116">
        <v>6.7</v>
      </c>
      <c r="R672">
        <v>1577733</v>
      </c>
    </row>
    <row r="673" spans="1:18" x14ac:dyDescent="0.25">
      <c r="A673" s="170">
        <v>42992</v>
      </c>
      <c r="B673" s="116">
        <v>6.85</v>
      </c>
      <c r="C673" s="116">
        <v>6.73</v>
      </c>
      <c r="D673" s="116">
        <v>6.7</v>
      </c>
      <c r="E673" s="116">
        <v>6.7</v>
      </c>
      <c r="F673" s="116">
        <v>6.73</v>
      </c>
      <c r="G673">
        <v>314359</v>
      </c>
      <c r="H673" s="116"/>
      <c r="I673" s="116"/>
      <c r="L673" s="170">
        <v>42992</v>
      </c>
      <c r="M673" s="116">
        <v>6.75</v>
      </c>
      <c r="N673" s="116">
        <v>6.85</v>
      </c>
      <c r="O673" s="116">
        <v>6.7</v>
      </c>
      <c r="P673" s="116">
        <v>6.75</v>
      </c>
      <c r="Q673" s="116">
        <v>6.75</v>
      </c>
      <c r="R673">
        <v>1114595</v>
      </c>
    </row>
    <row r="674" spans="1:18" x14ac:dyDescent="0.25">
      <c r="A674" s="170">
        <v>42993</v>
      </c>
      <c r="B674" s="116">
        <v>6.55</v>
      </c>
      <c r="C674" s="116">
        <v>6.38</v>
      </c>
      <c r="D674" s="116">
        <v>6.14</v>
      </c>
      <c r="E674" s="116">
        <v>6.55</v>
      </c>
      <c r="F674" s="116">
        <v>6.38</v>
      </c>
      <c r="G674">
        <v>1236219</v>
      </c>
      <c r="H674" s="116"/>
      <c r="I674" s="116"/>
      <c r="L674" s="170">
        <v>42993</v>
      </c>
      <c r="M674" s="116">
        <v>6.35</v>
      </c>
      <c r="N674" s="116">
        <v>6.6</v>
      </c>
      <c r="O674" s="116">
        <v>6</v>
      </c>
      <c r="P674" s="116">
        <v>6.6</v>
      </c>
      <c r="Q674" s="116">
        <v>6.35</v>
      </c>
      <c r="R674">
        <v>5162666</v>
      </c>
    </row>
    <row r="675" spans="1:18" x14ac:dyDescent="0.25">
      <c r="A675" s="170">
        <v>42996</v>
      </c>
      <c r="B675" s="116">
        <v>6.38</v>
      </c>
      <c r="C675" s="116">
        <v>6.11</v>
      </c>
      <c r="D675" s="116">
        <v>6.06</v>
      </c>
      <c r="E675" s="116">
        <v>6.06</v>
      </c>
      <c r="F675" s="116">
        <v>6.11</v>
      </c>
      <c r="G675">
        <v>1174512</v>
      </c>
      <c r="H675" s="116"/>
      <c r="I675" s="116"/>
      <c r="L675" s="170">
        <v>42996</v>
      </c>
      <c r="M675" s="116">
        <v>6.05</v>
      </c>
      <c r="N675" s="116">
        <v>6.4</v>
      </c>
      <c r="O675" s="116">
        <v>6</v>
      </c>
      <c r="P675" s="116">
        <v>6.35</v>
      </c>
      <c r="Q675" s="116">
        <v>6.05</v>
      </c>
      <c r="R675">
        <v>5865394</v>
      </c>
    </row>
    <row r="676" spans="1:18" x14ac:dyDescent="0.25">
      <c r="A676" s="170">
        <v>42997</v>
      </c>
      <c r="B676" s="116">
        <v>6.54</v>
      </c>
      <c r="C676" s="116">
        <v>6.31</v>
      </c>
      <c r="D676" s="116">
        <v>6.03</v>
      </c>
      <c r="E676" s="116">
        <v>6.1</v>
      </c>
      <c r="F676" s="116">
        <v>6.31</v>
      </c>
      <c r="G676">
        <v>623558</v>
      </c>
      <c r="H676" s="116"/>
      <c r="I676" s="116"/>
      <c r="L676" s="170">
        <v>42997</v>
      </c>
      <c r="M676" s="116">
        <v>6.3</v>
      </c>
      <c r="N676" s="116">
        <v>6.55</v>
      </c>
      <c r="O676" s="116">
        <v>6.05</v>
      </c>
      <c r="P676" s="116">
        <v>6.05</v>
      </c>
      <c r="Q676" s="116">
        <v>6.3</v>
      </c>
      <c r="R676">
        <v>3177353</v>
      </c>
    </row>
    <row r="677" spans="1:18" x14ac:dyDescent="0.25">
      <c r="A677" s="170">
        <v>42998</v>
      </c>
      <c r="B677" s="116">
        <v>6.31</v>
      </c>
      <c r="C677" s="116">
        <v>6.16</v>
      </c>
      <c r="D677" s="116">
        <v>6.12</v>
      </c>
      <c r="E677" s="116">
        <v>6.31</v>
      </c>
      <c r="F677" s="116">
        <v>6.16</v>
      </c>
      <c r="G677">
        <v>502515</v>
      </c>
      <c r="H677" s="116"/>
      <c r="I677" s="116"/>
      <c r="L677" s="170">
        <v>42998</v>
      </c>
      <c r="M677" s="116">
        <v>6.2</v>
      </c>
      <c r="N677" s="116">
        <v>6.3</v>
      </c>
      <c r="O677" s="116">
        <v>6.1</v>
      </c>
      <c r="P677" s="116">
        <v>6.25</v>
      </c>
      <c r="Q677" s="116">
        <v>6.2</v>
      </c>
      <c r="R677">
        <v>1312381</v>
      </c>
    </row>
    <row r="678" spans="1:18" x14ac:dyDescent="0.25">
      <c r="A678" s="170">
        <v>42999</v>
      </c>
      <c r="B678" s="116">
        <v>6.3</v>
      </c>
      <c r="C678" s="116">
        <v>6.23</v>
      </c>
      <c r="D678" s="116">
        <v>6.09</v>
      </c>
      <c r="E678" s="116">
        <v>6.3</v>
      </c>
      <c r="F678" s="116">
        <v>6.23</v>
      </c>
      <c r="G678">
        <v>662895</v>
      </c>
      <c r="H678" s="116"/>
      <c r="I678" s="116"/>
      <c r="L678" s="170">
        <v>42999</v>
      </c>
      <c r="M678" s="116">
        <v>6.2</v>
      </c>
      <c r="N678" s="116">
        <v>6.3</v>
      </c>
      <c r="O678" s="116">
        <v>6.1</v>
      </c>
      <c r="P678" s="116">
        <v>6.2</v>
      </c>
      <c r="Q678" s="116">
        <v>6.2</v>
      </c>
      <c r="R678">
        <v>1627485</v>
      </c>
    </row>
    <row r="679" spans="1:18" x14ac:dyDescent="0.25">
      <c r="A679" s="170">
        <v>43000</v>
      </c>
      <c r="B679" s="116">
        <v>6.25</v>
      </c>
      <c r="C679" s="116">
        <v>6.15</v>
      </c>
      <c r="D679" s="116">
        <v>6.12</v>
      </c>
      <c r="E679" s="116">
        <v>6.18</v>
      </c>
      <c r="F679" s="116">
        <v>6.15</v>
      </c>
      <c r="G679">
        <v>466483</v>
      </c>
      <c r="H679" s="116"/>
      <c r="I679" s="116"/>
      <c r="L679" s="170">
        <v>43000</v>
      </c>
      <c r="M679" s="116">
        <v>6.1</v>
      </c>
      <c r="N679" s="116">
        <v>6.3</v>
      </c>
      <c r="O679" s="116">
        <v>6.1</v>
      </c>
      <c r="P679" s="116">
        <v>6.2</v>
      </c>
      <c r="Q679" s="116">
        <v>6.1</v>
      </c>
      <c r="R679">
        <v>1500051</v>
      </c>
    </row>
    <row r="680" spans="1:18" x14ac:dyDescent="0.25">
      <c r="A680" s="170">
        <v>43003</v>
      </c>
      <c r="B680" s="116">
        <v>6.2</v>
      </c>
      <c r="C680" s="116">
        <v>6.07</v>
      </c>
      <c r="D680" s="116">
        <v>6.04</v>
      </c>
      <c r="E680" s="116">
        <v>6.1</v>
      </c>
      <c r="F680" s="116">
        <v>6.07</v>
      </c>
      <c r="G680">
        <v>285780</v>
      </c>
      <c r="H680" s="116"/>
      <c r="I680" s="116"/>
      <c r="L680" s="170">
        <v>43003</v>
      </c>
      <c r="M680" s="116">
        <v>6.05</v>
      </c>
      <c r="N680" s="116">
        <v>6.2</v>
      </c>
      <c r="O680" s="116">
        <v>6</v>
      </c>
      <c r="P680" s="116">
        <v>6.1</v>
      </c>
      <c r="Q680" s="116">
        <v>6.05</v>
      </c>
      <c r="R680">
        <v>974556</v>
      </c>
    </row>
    <row r="681" spans="1:18" x14ac:dyDescent="0.25">
      <c r="A681" s="170">
        <v>43004</v>
      </c>
      <c r="B681" s="116">
        <v>6.14</v>
      </c>
      <c r="C681" s="116">
        <v>6.07</v>
      </c>
      <c r="D681" s="116">
        <v>6.02</v>
      </c>
      <c r="E681" s="116">
        <v>6.1</v>
      </c>
      <c r="F681" s="116">
        <v>6.07</v>
      </c>
      <c r="G681">
        <v>375493</v>
      </c>
      <c r="H681" s="116"/>
      <c r="I681" s="116"/>
      <c r="L681" s="170">
        <v>43004</v>
      </c>
      <c r="M681" s="116">
        <v>6.05</v>
      </c>
      <c r="N681" s="116">
        <v>6.2</v>
      </c>
      <c r="O681" s="116">
        <v>6.05</v>
      </c>
      <c r="P681" s="116">
        <v>6.05</v>
      </c>
      <c r="Q681" s="116">
        <v>6.05</v>
      </c>
      <c r="R681">
        <v>932694</v>
      </c>
    </row>
    <row r="682" spans="1:18" x14ac:dyDescent="0.25">
      <c r="A682" s="170">
        <v>43005</v>
      </c>
      <c r="B682" s="116">
        <v>6.19</v>
      </c>
      <c r="C682" s="116">
        <v>6.05</v>
      </c>
      <c r="D682" s="116">
        <v>5.98</v>
      </c>
      <c r="E682" s="116">
        <v>6.1</v>
      </c>
      <c r="F682" s="116">
        <v>6.05</v>
      </c>
      <c r="G682">
        <v>397321</v>
      </c>
      <c r="H682" s="116"/>
      <c r="I682" s="116"/>
      <c r="L682" s="170">
        <v>43005</v>
      </c>
      <c r="M682" s="116">
        <v>6.05</v>
      </c>
      <c r="N682" s="116">
        <v>6.2</v>
      </c>
      <c r="O682" s="116">
        <v>6</v>
      </c>
      <c r="P682" s="116">
        <v>6.15</v>
      </c>
      <c r="Q682" s="116">
        <v>6.05</v>
      </c>
      <c r="R682">
        <v>1534817</v>
      </c>
    </row>
    <row r="683" spans="1:18" x14ac:dyDescent="0.25">
      <c r="A683" s="170">
        <v>43006</v>
      </c>
      <c r="B683" s="116">
        <v>6.1</v>
      </c>
      <c r="C683" s="116">
        <v>6</v>
      </c>
      <c r="D683" s="116">
        <v>5.95</v>
      </c>
      <c r="E683" s="116">
        <v>5.98</v>
      </c>
      <c r="F683" s="116">
        <v>6</v>
      </c>
      <c r="G683">
        <v>227969</v>
      </c>
      <c r="H683" s="116"/>
      <c r="I683" s="116"/>
      <c r="L683" s="170">
        <v>43006</v>
      </c>
      <c r="M683" s="116">
        <v>6</v>
      </c>
      <c r="N683" s="116">
        <v>6.1</v>
      </c>
      <c r="O683" s="116">
        <v>5.95</v>
      </c>
      <c r="P683" s="116">
        <v>6.05</v>
      </c>
      <c r="Q683" s="116">
        <v>6</v>
      </c>
      <c r="R683">
        <v>1501635</v>
      </c>
    </row>
    <row r="684" spans="1:18" x14ac:dyDescent="0.25">
      <c r="A684" s="170">
        <v>43007</v>
      </c>
      <c r="B684" s="116">
        <v>6.19</v>
      </c>
      <c r="C684" s="116">
        <v>5.96</v>
      </c>
      <c r="D684" s="116">
        <v>5.93</v>
      </c>
      <c r="E684" s="116">
        <v>6.19</v>
      </c>
      <c r="F684" s="116">
        <v>5.96</v>
      </c>
      <c r="G684">
        <v>301722</v>
      </c>
      <c r="H684" s="116"/>
      <c r="I684" s="116"/>
      <c r="L684" s="170">
        <v>43007</v>
      </c>
      <c r="M684" s="116">
        <v>5.95</v>
      </c>
      <c r="N684" s="116">
        <v>6.15</v>
      </c>
      <c r="O684" s="116">
        <v>5.9</v>
      </c>
      <c r="P684" s="116">
        <v>6.05</v>
      </c>
      <c r="Q684" s="116">
        <v>5.95</v>
      </c>
      <c r="R684">
        <v>1193844</v>
      </c>
    </row>
    <row r="685" spans="1:18" x14ac:dyDescent="0.25">
      <c r="A685" s="170">
        <v>43011</v>
      </c>
      <c r="B685" s="116">
        <v>6.1</v>
      </c>
      <c r="C685" s="116">
        <v>5.76</v>
      </c>
      <c r="D685" s="116">
        <v>5.73</v>
      </c>
      <c r="E685" s="116">
        <v>6</v>
      </c>
      <c r="F685" s="116">
        <v>5.76</v>
      </c>
      <c r="G685">
        <v>536876</v>
      </c>
      <c r="H685" s="116"/>
      <c r="I685" s="116"/>
      <c r="L685" s="170">
        <v>43011</v>
      </c>
      <c r="M685" s="116">
        <v>5.75</v>
      </c>
      <c r="N685" s="116">
        <v>6.1</v>
      </c>
      <c r="O685" s="116">
        <v>5.75</v>
      </c>
      <c r="P685" s="116">
        <v>6</v>
      </c>
      <c r="Q685" s="116">
        <v>5.75</v>
      </c>
      <c r="R685">
        <v>2526082</v>
      </c>
    </row>
    <row r="686" spans="1:18" x14ac:dyDescent="0.25">
      <c r="A686" s="170">
        <v>43012</v>
      </c>
      <c r="B686" s="116">
        <v>6.25</v>
      </c>
      <c r="C686" s="116">
        <v>6.12</v>
      </c>
      <c r="D686" s="116">
        <v>5.4</v>
      </c>
      <c r="E686" s="116">
        <v>5.8</v>
      </c>
      <c r="F686" s="116">
        <v>6.12</v>
      </c>
      <c r="G686">
        <v>1333641</v>
      </c>
      <c r="H686" s="116"/>
      <c r="I686" s="116"/>
      <c r="L686" s="170">
        <v>43012</v>
      </c>
      <c r="M686" s="116">
        <v>6.15</v>
      </c>
      <c r="N686" s="116">
        <v>6.25</v>
      </c>
      <c r="O686" s="116">
        <v>5.4</v>
      </c>
      <c r="P686" s="116">
        <v>5.8</v>
      </c>
      <c r="Q686" s="116">
        <v>6.15</v>
      </c>
      <c r="R686">
        <v>8799792</v>
      </c>
    </row>
    <row r="687" spans="1:18" x14ac:dyDescent="0.25">
      <c r="A687" s="170">
        <v>43013</v>
      </c>
      <c r="B687" s="116">
        <v>6.2</v>
      </c>
      <c r="C687" s="116">
        <v>6.01</v>
      </c>
      <c r="D687" s="116">
        <v>5.92</v>
      </c>
      <c r="E687" s="116">
        <v>6.2</v>
      </c>
      <c r="F687" s="116">
        <v>6.01</v>
      </c>
      <c r="G687">
        <v>457750</v>
      </c>
      <c r="H687" s="116"/>
      <c r="I687" s="116"/>
      <c r="L687" s="170">
        <v>43013</v>
      </c>
      <c r="M687" s="116">
        <v>5.95</v>
      </c>
      <c r="N687" s="116">
        <v>6.2</v>
      </c>
      <c r="O687" s="116">
        <v>5.9</v>
      </c>
      <c r="P687" s="116">
        <v>6.15</v>
      </c>
      <c r="Q687" s="116">
        <v>5.95</v>
      </c>
      <c r="R687">
        <v>1863861</v>
      </c>
    </row>
    <row r="688" spans="1:18" x14ac:dyDescent="0.25">
      <c r="A688" s="170">
        <v>43014</v>
      </c>
      <c r="B688" s="116">
        <v>6.09</v>
      </c>
      <c r="C688" s="116">
        <v>5.82</v>
      </c>
      <c r="D688" s="116">
        <v>5.79</v>
      </c>
      <c r="E688" s="116">
        <v>6</v>
      </c>
      <c r="F688" s="116">
        <v>5.82</v>
      </c>
      <c r="G688">
        <v>531612</v>
      </c>
      <c r="H688" s="116"/>
      <c r="I688" s="116"/>
      <c r="L688" s="170">
        <v>43014</v>
      </c>
      <c r="M688" s="116">
        <v>5.8</v>
      </c>
      <c r="N688" s="116">
        <v>6.1</v>
      </c>
      <c r="O688" s="116">
        <v>5.75</v>
      </c>
      <c r="P688" s="116">
        <v>6.05</v>
      </c>
      <c r="Q688" s="116">
        <v>5.8</v>
      </c>
      <c r="R688">
        <v>3806108</v>
      </c>
    </row>
    <row r="689" spans="1:18" x14ac:dyDescent="0.25">
      <c r="A689" s="170">
        <v>43017</v>
      </c>
      <c r="B689" s="116">
        <v>5.5</v>
      </c>
      <c r="C689" s="116">
        <v>5</v>
      </c>
      <c r="D689" s="116">
        <v>4.95</v>
      </c>
      <c r="E689" s="116">
        <v>5.5</v>
      </c>
      <c r="F689" s="116">
        <v>5</v>
      </c>
      <c r="G689">
        <v>3787804</v>
      </c>
      <c r="H689" s="116"/>
      <c r="I689" s="116"/>
      <c r="L689" s="170">
        <v>43017</v>
      </c>
      <c r="M689" s="116">
        <v>5</v>
      </c>
      <c r="N689" s="116">
        <v>5.45</v>
      </c>
      <c r="O689" s="116">
        <v>4.95</v>
      </c>
      <c r="P689" s="116">
        <v>5.35</v>
      </c>
      <c r="Q689" s="116">
        <v>5</v>
      </c>
      <c r="R689">
        <v>16556984</v>
      </c>
    </row>
    <row r="690" spans="1:18" x14ac:dyDescent="0.25">
      <c r="A690" s="170">
        <v>43018</v>
      </c>
      <c r="B690" s="116">
        <v>4.8600000000000003</v>
      </c>
      <c r="C690" s="116">
        <v>4.03</v>
      </c>
      <c r="D690" s="116">
        <v>4</v>
      </c>
      <c r="E690" s="116">
        <v>4.8600000000000003</v>
      </c>
      <c r="F690" s="116">
        <v>4.03</v>
      </c>
      <c r="G690">
        <v>6097698</v>
      </c>
      <c r="H690" s="116"/>
      <c r="I690" s="116"/>
      <c r="L690" s="170">
        <v>43018</v>
      </c>
      <c r="M690" s="116">
        <v>4</v>
      </c>
      <c r="N690" s="116">
        <v>4.8499999999999996</v>
      </c>
      <c r="O690" s="116">
        <v>4</v>
      </c>
      <c r="P690" s="116">
        <v>4.8499999999999996</v>
      </c>
      <c r="Q690" s="116">
        <v>4</v>
      </c>
      <c r="R690">
        <v>24781421</v>
      </c>
    </row>
    <row r="691" spans="1:18" x14ac:dyDescent="0.25">
      <c r="A691" s="170">
        <v>43019</v>
      </c>
      <c r="B691" s="116">
        <v>4.1900000000000004</v>
      </c>
      <c r="C691" s="116">
        <v>4.0199999999999996</v>
      </c>
      <c r="D691" s="116">
        <v>3.75</v>
      </c>
      <c r="E691" s="116">
        <v>3.84</v>
      </c>
      <c r="F691" s="116">
        <v>4.0199999999999996</v>
      </c>
      <c r="G691">
        <v>2042071</v>
      </c>
      <c r="H691" s="116"/>
      <c r="I691" s="116"/>
      <c r="L691" s="170">
        <v>43019</v>
      </c>
      <c r="M691" s="116">
        <v>4</v>
      </c>
      <c r="N691" s="116">
        <v>4.2</v>
      </c>
      <c r="O691" s="116">
        <v>3.7</v>
      </c>
      <c r="P691" s="116">
        <v>3.8</v>
      </c>
      <c r="Q691" s="116">
        <v>4</v>
      </c>
      <c r="R691">
        <v>10606888</v>
      </c>
    </row>
    <row r="692" spans="1:18" x14ac:dyDescent="0.25">
      <c r="A692" s="170">
        <v>43020</v>
      </c>
      <c r="B692" s="116">
        <v>4.42</v>
      </c>
      <c r="C692" s="116">
        <v>4.42</v>
      </c>
      <c r="D692" s="116">
        <v>3.9</v>
      </c>
      <c r="E692" s="116">
        <v>4.0599999999999996</v>
      </c>
      <c r="F692" s="116">
        <v>4.42</v>
      </c>
      <c r="G692">
        <v>1522722</v>
      </c>
      <c r="H692" s="116"/>
      <c r="I692" s="116"/>
      <c r="L692" s="170">
        <v>43020</v>
      </c>
      <c r="M692" s="116">
        <v>4.4000000000000004</v>
      </c>
      <c r="N692" s="116">
        <v>4.4000000000000004</v>
      </c>
      <c r="O692" s="116">
        <v>3.9</v>
      </c>
      <c r="P692" s="116">
        <v>4.05</v>
      </c>
      <c r="Q692" s="116">
        <v>4.4000000000000004</v>
      </c>
      <c r="R692">
        <v>7630321</v>
      </c>
    </row>
    <row r="693" spans="1:18" x14ac:dyDescent="0.25">
      <c r="A693" s="170">
        <v>43021</v>
      </c>
      <c r="B693" s="116">
        <v>4.8600000000000003</v>
      </c>
      <c r="C693" s="116">
        <v>4.8600000000000003</v>
      </c>
      <c r="D693" s="116">
        <v>4.8600000000000003</v>
      </c>
      <c r="E693" s="116">
        <v>4.8600000000000003</v>
      </c>
      <c r="F693" s="116">
        <v>4.8600000000000003</v>
      </c>
      <c r="G693">
        <v>528315</v>
      </c>
      <c r="H693" s="116"/>
      <c r="I693" s="116"/>
      <c r="L693" s="170">
        <v>43021</v>
      </c>
      <c r="M693" s="116">
        <v>4.8</v>
      </c>
      <c r="N693" s="116">
        <v>4.8</v>
      </c>
      <c r="O693" s="116">
        <v>4.8</v>
      </c>
      <c r="P693" s="116">
        <v>4.8</v>
      </c>
      <c r="Q693" s="116">
        <v>4.8</v>
      </c>
      <c r="R693">
        <v>767961</v>
      </c>
    </row>
    <row r="694" spans="1:18" x14ac:dyDescent="0.25">
      <c r="A694" s="170">
        <v>43024</v>
      </c>
      <c r="B694" s="116">
        <v>5.34</v>
      </c>
      <c r="C694" s="116">
        <v>5.34</v>
      </c>
      <c r="D694" s="116">
        <v>5.34</v>
      </c>
      <c r="E694" s="116">
        <v>5.34</v>
      </c>
      <c r="F694" s="116">
        <v>5.34</v>
      </c>
      <c r="G694">
        <v>689235</v>
      </c>
      <c r="H694" s="116"/>
      <c r="I694" s="116"/>
      <c r="L694" s="170">
        <v>43024</v>
      </c>
      <c r="M694" s="116">
        <v>5.25</v>
      </c>
      <c r="N694" s="116">
        <v>5.25</v>
      </c>
      <c r="O694" s="116">
        <v>5.25</v>
      </c>
      <c r="P694" s="116">
        <v>5.25</v>
      </c>
      <c r="Q694" s="116">
        <v>5.25</v>
      </c>
      <c r="R694">
        <v>655817</v>
      </c>
    </row>
    <row r="695" spans="1:18" x14ac:dyDescent="0.25">
      <c r="A695" s="170">
        <v>43025</v>
      </c>
      <c r="B695" s="116">
        <v>5.6</v>
      </c>
      <c r="C695" s="116">
        <v>5.6</v>
      </c>
      <c r="D695" s="116">
        <v>5.6</v>
      </c>
      <c r="E695" s="116">
        <v>5.6</v>
      </c>
      <c r="F695" s="116">
        <v>5.6</v>
      </c>
      <c r="G695">
        <v>5030449</v>
      </c>
      <c r="H695" s="116"/>
      <c r="I695" s="116"/>
      <c r="L695" s="170">
        <v>43025</v>
      </c>
      <c r="M695" s="116">
        <v>5.5</v>
      </c>
      <c r="N695" s="116">
        <v>5.5</v>
      </c>
      <c r="O695" s="116">
        <v>5.5</v>
      </c>
      <c r="P695" s="116">
        <v>5.5</v>
      </c>
      <c r="Q695" s="116">
        <v>5.5</v>
      </c>
      <c r="R695">
        <v>3036065</v>
      </c>
    </row>
    <row r="696" spans="1:18" x14ac:dyDescent="0.25">
      <c r="A696" s="170">
        <v>43026</v>
      </c>
      <c r="B696" s="116">
        <v>5.88</v>
      </c>
      <c r="C696" s="116">
        <v>5.88</v>
      </c>
      <c r="D696" s="116">
        <v>5.75</v>
      </c>
      <c r="E696" s="116">
        <v>5.88</v>
      </c>
      <c r="F696" s="116">
        <v>5.88</v>
      </c>
      <c r="G696">
        <v>2780878</v>
      </c>
      <c r="H696" s="116"/>
      <c r="I696" s="116"/>
      <c r="L696" s="170">
        <v>43026</v>
      </c>
      <c r="M696" s="116">
        <v>5.75</v>
      </c>
      <c r="N696" s="116">
        <v>5.75</v>
      </c>
      <c r="O696" s="116">
        <v>5.75</v>
      </c>
      <c r="P696" s="116">
        <v>5.75</v>
      </c>
      <c r="Q696" s="116">
        <v>5.75</v>
      </c>
      <c r="R696">
        <v>407665</v>
      </c>
    </row>
    <row r="697" spans="1:18" x14ac:dyDescent="0.25">
      <c r="A697" s="170">
        <v>43027</v>
      </c>
      <c r="B697" s="116">
        <v>6.17</v>
      </c>
      <c r="C697" s="116">
        <v>6.17</v>
      </c>
      <c r="D697" s="116">
        <v>6.17</v>
      </c>
      <c r="E697" s="116">
        <v>6.17</v>
      </c>
      <c r="F697" s="116">
        <v>6.17</v>
      </c>
      <c r="G697">
        <v>521431</v>
      </c>
      <c r="H697" s="116"/>
      <c r="I697" s="116"/>
      <c r="L697" s="170">
        <v>43027</v>
      </c>
      <c r="M697" s="116">
        <v>6</v>
      </c>
      <c r="N697" s="116">
        <v>6</v>
      </c>
      <c r="O697" s="116">
        <v>6</v>
      </c>
      <c r="P697" s="116">
        <v>6</v>
      </c>
      <c r="Q697" s="116">
        <v>6</v>
      </c>
      <c r="R697">
        <v>228998</v>
      </c>
    </row>
    <row r="698" spans="1:18" x14ac:dyDescent="0.25">
      <c r="A698" s="170">
        <v>43031</v>
      </c>
      <c r="B698" s="116">
        <v>6.47</v>
      </c>
      <c r="C698" s="116">
        <v>6.47</v>
      </c>
      <c r="D698" s="116">
        <v>6.47</v>
      </c>
      <c r="E698" s="116">
        <v>6.47</v>
      </c>
      <c r="F698" s="116">
        <v>6.47</v>
      </c>
      <c r="G698">
        <v>1080965</v>
      </c>
      <c r="H698" s="116"/>
      <c r="I698" s="116"/>
      <c r="L698" s="170">
        <v>43031</v>
      </c>
      <c r="M698" s="116">
        <v>6.3</v>
      </c>
      <c r="N698" s="116">
        <v>6.3</v>
      </c>
      <c r="O698" s="116">
        <v>6.3</v>
      </c>
      <c r="P698" s="116">
        <v>6.3</v>
      </c>
      <c r="Q698" s="116">
        <v>6.3</v>
      </c>
      <c r="R698">
        <v>557594</v>
      </c>
    </row>
    <row r="699" spans="1:18" x14ac:dyDescent="0.25">
      <c r="A699" s="170">
        <v>43032</v>
      </c>
      <c r="B699" s="116">
        <v>6.79</v>
      </c>
      <c r="C699" s="116">
        <v>6.79</v>
      </c>
      <c r="D699" s="116">
        <v>6.79</v>
      </c>
      <c r="E699" s="116">
        <v>6.79</v>
      </c>
      <c r="F699" s="116">
        <v>6.79</v>
      </c>
      <c r="G699">
        <v>454295</v>
      </c>
      <c r="H699" s="116"/>
      <c r="I699" s="116"/>
      <c r="L699" s="170">
        <v>43032</v>
      </c>
      <c r="M699" s="116">
        <v>6.6</v>
      </c>
      <c r="N699" s="116">
        <v>6.6</v>
      </c>
      <c r="O699" s="116">
        <v>6.6</v>
      </c>
      <c r="P699" s="116">
        <v>6.6</v>
      </c>
      <c r="Q699" s="116">
        <v>6.6</v>
      </c>
      <c r="R699">
        <v>265828</v>
      </c>
    </row>
    <row r="700" spans="1:18" x14ac:dyDescent="0.25">
      <c r="A700" s="170">
        <v>43033</v>
      </c>
      <c r="B700" s="116">
        <v>7.12</v>
      </c>
      <c r="C700" s="116">
        <v>7.11</v>
      </c>
      <c r="D700" s="116">
        <v>6.46</v>
      </c>
      <c r="E700" s="116">
        <v>7.12</v>
      </c>
      <c r="F700" s="116">
        <v>7.11</v>
      </c>
      <c r="G700">
        <v>13827478</v>
      </c>
      <c r="H700" s="116"/>
      <c r="I700" s="116"/>
      <c r="L700" s="170">
        <v>43033</v>
      </c>
      <c r="M700" s="116">
        <v>6.9</v>
      </c>
      <c r="N700" s="116">
        <v>6.9</v>
      </c>
      <c r="O700" s="116">
        <v>6.3</v>
      </c>
      <c r="P700" s="116">
        <v>6.9</v>
      </c>
      <c r="Q700" s="116">
        <v>6.9</v>
      </c>
      <c r="R700">
        <v>21564468</v>
      </c>
    </row>
    <row r="701" spans="1:18" x14ac:dyDescent="0.25">
      <c r="A701" s="170">
        <v>43034</v>
      </c>
      <c r="B701" s="116">
        <v>7.46</v>
      </c>
      <c r="C701" s="116">
        <v>7.46</v>
      </c>
      <c r="D701" s="116">
        <v>6.9</v>
      </c>
      <c r="E701" s="116">
        <v>7.22</v>
      </c>
      <c r="F701" s="116">
        <v>7.46</v>
      </c>
      <c r="G701">
        <v>4455309</v>
      </c>
      <c r="H701" s="116"/>
      <c r="I701" s="116"/>
      <c r="L701" s="170">
        <v>43034</v>
      </c>
      <c r="M701" s="116">
        <v>7.2</v>
      </c>
      <c r="N701" s="116">
        <v>7.2</v>
      </c>
      <c r="O701" s="116">
        <v>7</v>
      </c>
      <c r="P701" s="116">
        <v>7.2</v>
      </c>
      <c r="Q701" s="116">
        <v>7.2</v>
      </c>
      <c r="R701">
        <v>5748072</v>
      </c>
    </row>
    <row r="702" spans="1:18" x14ac:dyDescent="0.25">
      <c r="A702" s="170">
        <v>43035</v>
      </c>
      <c r="B702" s="116">
        <v>7.83</v>
      </c>
      <c r="C702" s="116">
        <v>7.83</v>
      </c>
      <c r="D702" s="116">
        <v>7.5</v>
      </c>
      <c r="E702" s="116">
        <v>7.69</v>
      </c>
      <c r="F702" s="116">
        <v>7.83</v>
      </c>
      <c r="G702">
        <v>3515919</v>
      </c>
      <c r="H702" s="116"/>
      <c r="I702" s="116"/>
      <c r="L702" s="170">
        <v>43035</v>
      </c>
      <c r="M702" s="116">
        <v>7.55</v>
      </c>
      <c r="N702" s="116">
        <v>7.55</v>
      </c>
      <c r="O702" s="116">
        <v>7.45</v>
      </c>
      <c r="P702" s="116">
        <v>7.55</v>
      </c>
      <c r="Q702" s="116">
        <v>7.55</v>
      </c>
      <c r="R702">
        <v>1169922</v>
      </c>
    </row>
    <row r="703" spans="1:18" x14ac:dyDescent="0.25">
      <c r="A703" s="170">
        <v>43038</v>
      </c>
      <c r="B703" s="116">
        <v>8.2200000000000006</v>
      </c>
      <c r="C703" s="116">
        <v>8.2200000000000006</v>
      </c>
      <c r="D703" s="116">
        <v>8</v>
      </c>
      <c r="E703" s="116">
        <v>8.1</v>
      </c>
      <c r="F703" s="116">
        <v>8.2200000000000006</v>
      </c>
      <c r="G703">
        <v>1753403</v>
      </c>
      <c r="H703" s="116"/>
      <c r="I703" s="116"/>
      <c r="L703" s="170">
        <v>43038</v>
      </c>
      <c r="M703" s="116">
        <v>7.9</v>
      </c>
      <c r="N703" s="116">
        <v>7.9</v>
      </c>
      <c r="O703" s="116">
        <v>7.9</v>
      </c>
      <c r="P703" s="116">
        <v>7.9</v>
      </c>
      <c r="Q703" s="116">
        <v>7.9</v>
      </c>
      <c r="R703">
        <v>461724</v>
      </c>
    </row>
    <row r="704" spans="1:18" x14ac:dyDescent="0.25">
      <c r="A704" s="170">
        <v>43039</v>
      </c>
      <c r="B704" s="116">
        <v>8.6300000000000008</v>
      </c>
      <c r="C704" s="116">
        <v>8.6300000000000008</v>
      </c>
      <c r="D704" s="116">
        <v>8.35</v>
      </c>
      <c r="E704" s="116">
        <v>8.6</v>
      </c>
      <c r="F704" s="116">
        <v>8.6300000000000008</v>
      </c>
      <c r="G704">
        <v>5105688</v>
      </c>
      <c r="H704" s="116"/>
      <c r="I704" s="116"/>
      <c r="L704" s="170">
        <v>43039</v>
      </c>
      <c r="M704" s="116">
        <v>8.25</v>
      </c>
      <c r="N704" s="116">
        <v>8.25</v>
      </c>
      <c r="O704" s="116">
        <v>8.25</v>
      </c>
      <c r="P704" s="116">
        <v>8.25</v>
      </c>
      <c r="Q704" s="116">
        <v>8.25</v>
      </c>
      <c r="R704">
        <v>476002</v>
      </c>
    </row>
    <row r="705" spans="1:18" x14ac:dyDescent="0.25">
      <c r="A705" s="170">
        <v>43040</v>
      </c>
      <c r="B705" s="116">
        <v>9.06</v>
      </c>
      <c r="C705" s="116">
        <v>9.06</v>
      </c>
      <c r="D705" s="116">
        <v>8.82</v>
      </c>
      <c r="E705" s="116">
        <v>9</v>
      </c>
      <c r="F705" s="116">
        <v>9.06</v>
      </c>
      <c r="G705">
        <v>2796400</v>
      </c>
      <c r="H705" s="116"/>
      <c r="I705" s="116"/>
      <c r="L705" s="170">
        <v>43040</v>
      </c>
      <c r="M705" s="116">
        <v>8.65</v>
      </c>
      <c r="N705" s="116">
        <v>8.65</v>
      </c>
      <c r="O705" s="116">
        <v>8.65</v>
      </c>
      <c r="P705" s="116">
        <v>8.65</v>
      </c>
      <c r="Q705" s="116">
        <v>8.65</v>
      </c>
      <c r="R705">
        <v>453690</v>
      </c>
    </row>
    <row r="706" spans="1:18" x14ac:dyDescent="0.25">
      <c r="A706" s="170">
        <v>43041</v>
      </c>
      <c r="B706" s="116">
        <v>9.51</v>
      </c>
      <c r="C706" s="116">
        <v>9.51</v>
      </c>
      <c r="D706" s="116">
        <v>9.1999999999999993</v>
      </c>
      <c r="E706" s="116">
        <v>9.51</v>
      </c>
      <c r="F706" s="116">
        <v>9.51</v>
      </c>
      <c r="G706">
        <v>6009204</v>
      </c>
      <c r="H706" s="116"/>
      <c r="I706" s="116"/>
      <c r="L706" s="170">
        <v>43041</v>
      </c>
      <c r="M706" s="116">
        <v>9.0500000000000007</v>
      </c>
      <c r="N706" s="116">
        <v>9.0500000000000007</v>
      </c>
      <c r="O706" s="116">
        <v>9.0500000000000007</v>
      </c>
      <c r="P706" s="116">
        <v>9.0500000000000007</v>
      </c>
      <c r="Q706" s="116">
        <v>9.0500000000000007</v>
      </c>
      <c r="R706">
        <v>512140</v>
      </c>
    </row>
    <row r="707" spans="1:18" x14ac:dyDescent="0.25">
      <c r="A707" s="170">
        <v>43042</v>
      </c>
      <c r="B707" s="116">
        <v>9.98</v>
      </c>
      <c r="C707" s="116">
        <v>9.98</v>
      </c>
      <c r="D707" s="116">
        <v>9.98</v>
      </c>
      <c r="E707" s="116">
        <v>9.98</v>
      </c>
      <c r="F707" s="116">
        <v>9.98</v>
      </c>
      <c r="G707">
        <v>1946407</v>
      </c>
      <c r="H707" s="116"/>
      <c r="I707" s="116"/>
      <c r="L707" s="170">
        <v>43042</v>
      </c>
      <c r="M707" s="116">
        <v>9.5</v>
      </c>
      <c r="N707" s="116">
        <v>9.5</v>
      </c>
      <c r="O707" s="116">
        <v>9.5</v>
      </c>
      <c r="P707" s="116">
        <v>9.5</v>
      </c>
      <c r="Q707" s="116">
        <v>9.5</v>
      </c>
      <c r="R707">
        <v>880785</v>
      </c>
    </row>
    <row r="708" spans="1:18" x14ac:dyDescent="0.25">
      <c r="A708" s="170">
        <v>43045</v>
      </c>
      <c r="B708" s="116">
        <v>10.47</v>
      </c>
      <c r="C708" s="116">
        <v>10.47</v>
      </c>
      <c r="D708" s="116">
        <v>10.07</v>
      </c>
      <c r="E708" s="116">
        <v>10.44</v>
      </c>
      <c r="F708" s="116">
        <v>10.47</v>
      </c>
      <c r="G708">
        <v>15294162</v>
      </c>
      <c r="H708" s="116"/>
      <c r="I708" s="116"/>
      <c r="L708" s="170">
        <v>43045</v>
      </c>
      <c r="M708" s="116">
        <v>9.9499999999999993</v>
      </c>
      <c r="N708" s="116">
        <v>9.9499999999999993</v>
      </c>
      <c r="O708" s="116">
        <v>9.9499999999999993</v>
      </c>
      <c r="P708" s="116">
        <v>9.9499999999999993</v>
      </c>
      <c r="Q708" s="116">
        <v>9.9499999999999993</v>
      </c>
      <c r="R708">
        <v>1170682</v>
      </c>
    </row>
    <row r="709" spans="1:18" x14ac:dyDescent="0.25">
      <c r="A709" s="170">
        <v>43046</v>
      </c>
      <c r="B709" s="116">
        <v>10.99</v>
      </c>
      <c r="C709" s="116">
        <v>9.9499999999999993</v>
      </c>
      <c r="D709" s="116">
        <v>9.9499999999999993</v>
      </c>
      <c r="E709" s="116">
        <v>10.88</v>
      </c>
      <c r="F709" s="116">
        <v>9.9499999999999993</v>
      </c>
      <c r="G709">
        <v>11114536</v>
      </c>
      <c r="H709" s="116"/>
      <c r="I709" s="116"/>
      <c r="L709" s="170">
        <v>43046</v>
      </c>
      <c r="M709" s="116">
        <v>9.5</v>
      </c>
      <c r="N709" s="116">
        <v>10.4</v>
      </c>
      <c r="O709" s="116">
        <v>9.5</v>
      </c>
      <c r="P709" s="116">
        <v>10.4</v>
      </c>
      <c r="Q709" s="116">
        <v>9.5</v>
      </c>
      <c r="R709">
        <v>28833457</v>
      </c>
    </row>
    <row r="710" spans="1:18" x14ac:dyDescent="0.25">
      <c r="A710" s="170">
        <v>43047</v>
      </c>
      <c r="B710" s="116">
        <v>9.4600000000000009</v>
      </c>
      <c r="C710" s="116">
        <v>9.4600000000000009</v>
      </c>
      <c r="D710" s="116">
        <v>9.4600000000000009</v>
      </c>
      <c r="E710" s="116">
        <v>9.4600000000000009</v>
      </c>
      <c r="F710" s="116">
        <v>9.4600000000000009</v>
      </c>
      <c r="G710">
        <v>139322</v>
      </c>
      <c r="H710" s="116"/>
      <c r="I710" s="116"/>
      <c r="L710" s="170">
        <v>43047</v>
      </c>
      <c r="M710" s="116">
        <v>9.0500000000000007</v>
      </c>
      <c r="N710" s="116">
        <v>9.0500000000000007</v>
      </c>
      <c r="O710" s="116">
        <v>9.0500000000000007</v>
      </c>
      <c r="P710" s="116">
        <v>9.0500000000000007</v>
      </c>
      <c r="Q710" s="116">
        <v>9.0500000000000007</v>
      </c>
      <c r="R710">
        <v>1291726</v>
      </c>
    </row>
    <row r="711" spans="1:18" x14ac:dyDescent="0.25">
      <c r="A711" s="170">
        <v>43048</v>
      </c>
      <c r="B711" s="116">
        <v>8.99</v>
      </c>
      <c r="C711" s="116">
        <v>8.99</v>
      </c>
      <c r="D711" s="116">
        <v>8.99</v>
      </c>
      <c r="E711" s="116">
        <v>8.99</v>
      </c>
      <c r="F711" s="116">
        <v>8.99</v>
      </c>
      <c r="G711">
        <v>54666</v>
      </c>
      <c r="H711" s="116"/>
      <c r="I711" s="116"/>
      <c r="L711" s="170">
        <v>43048</v>
      </c>
      <c r="M711" s="116">
        <v>8.6</v>
      </c>
      <c r="N711" s="116">
        <v>8.75</v>
      </c>
      <c r="O711" s="116">
        <v>8.6</v>
      </c>
      <c r="P711" s="116">
        <v>8.75</v>
      </c>
      <c r="Q711" s="116">
        <v>8.6</v>
      </c>
      <c r="R711">
        <v>3402245</v>
      </c>
    </row>
    <row r="712" spans="1:18" x14ac:dyDescent="0.25">
      <c r="A712" s="170">
        <v>43049</v>
      </c>
      <c r="B712" s="116">
        <v>8.5500000000000007</v>
      </c>
      <c r="C712" s="116">
        <v>8.5500000000000007</v>
      </c>
      <c r="D712" s="116">
        <v>8.5500000000000007</v>
      </c>
      <c r="E712" s="116">
        <v>8.5500000000000007</v>
      </c>
      <c r="F712" s="116">
        <v>8.5500000000000007</v>
      </c>
      <c r="G712">
        <v>37027</v>
      </c>
      <c r="H712" s="116"/>
      <c r="I712" s="116"/>
      <c r="L712" s="170">
        <v>43049</v>
      </c>
      <c r="M712" s="116">
        <v>8.1999999999999993</v>
      </c>
      <c r="N712" s="116">
        <v>8.1999999999999993</v>
      </c>
      <c r="O712" s="116">
        <v>8.1999999999999993</v>
      </c>
      <c r="P712" s="116">
        <v>8.1999999999999993</v>
      </c>
      <c r="Q712" s="116">
        <v>8.1999999999999993</v>
      </c>
      <c r="R712">
        <v>508037</v>
      </c>
    </row>
    <row r="713" spans="1:18" x14ac:dyDescent="0.25">
      <c r="A713" s="170">
        <v>43052</v>
      </c>
      <c r="B713" s="116">
        <v>8.1300000000000008</v>
      </c>
      <c r="C713" s="116">
        <v>8.1300000000000008</v>
      </c>
      <c r="D713" s="116">
        <v>8.1300000000000008</v>
      </c>
      <c r="E713" s="116">
        <v>8.1300000000000008</v>
      </c>
      <c r="F713" s="116">
        <v>8.1300000000000008</v>
      </c>
      <c r="G713">
        <v>87536</v>
      </c>
      <c r="H713" s="116"/>
      <c r="I713" s="116"/>
      <c r="L713" s="170">
        <v>43052</v>
      </c>
      <c r="M713" s="116">
        <v>7.8</v>
      </c>
      <c r="N713" s="116">
        <v>8.0500000000000007</v>
      </c>
      <c r="O713" s="116">
        <v>7.8</v>
      </c>
      <c r="P713" s="116">
        <v>7.8</v>
      </c>
      <c r="Q713" s="116">
        <v>7.8</v>
      </c>
      <c r="R713">
        <v>2460256</v>
      </c>
    </row>
    <row r="714" spans="1:18" x14ac:dyDescent="0.25">
      <c r="A714" s="170">
        <v>43053</v>
      </c>
      <c r="B714" s="116">
        <v>7.73</v>
      </c>
      <c r="C714" s="116">
        <v>7.73</v>
      </c>
      <c r="D714" s="116">
        <v>7.73</v>
      </c>
      <c r="E714" s="116">
        <v>7.73</v>
      </c>
      <c r="F714" s="116">
        <v>7.73</v>
      </c>
      <c r="G714">
        <v>88957</v>
      </c>
      <c r="H714" s="116"/>
      <c r="I714" s="116"/>
      <c r="L714" s="170">
        <v>43053</v>
      </c>
      <c r="M714" s="116">
        <v>7.45</v>
      </c>
      <c r="N714" s="116">
        <v>7.45</v>
      </c>
      <c r="O714" s="116">
        <v>7.45</v>
      </c>
      <c r="P714" s="116">
        <v>7.45</v>
      </c>
      <c r="Q714" s="116">
        <v>7.45</v>
      </c>
      <c r="R714">
        <v>242959</v>
      </c>
    </row>
    <row r="715" spans="1:18" x14ac:dyDescent="0.25">
      <c r="A715" s="170">
        <v>43054</v>
      </c>
      <c r="B715" s="116">
        <v>7.35</v>
      </c>
      <c r="C715" s="116">
        <v>7.35</v>
      </c>
      <c r="D715" s="116">
        <v>7.35</v>
      </c>
      <c r="E715" s="116">
        <v>7.35</v>
      </c>
      <c r="F715" s="116">
        <v>7.35</v>
      </c>
      <c r="G715">
        <v>20217</v>
      </c>
      <c r="H715" s="116"/>
      <c r="I715" s="116"/>
      <c r="L715" s="170">
        <v>43054</v>
      </c>
      <c r="M715" s="116">
        <v>7.1</v>
      </c>
      <c r="N715" s="116">
        <v>7.1</v>
      </c>
      <c r="O715" s="116">
        <v>7.1</v>
      </c>
      <c r="P715" s="116">
        <v>7.1</v>
      </c>
      <c r="Q715" s="116">
        <v>7.1</v>
      </c>
      <c r="R715">
        <v>504944</v>
      </c>
    </row>
    <row r="716" spans="1:18" x14ac:dyDescent="0.25">
      <c r="A716" s="170">
        <v>43055</v>
      </c>
      <c r="B716" s="116">
        <v>7.71</v>
      </c>
      <c r="C716" s="116">
        <v>7.71</v>
      </c>
      <c r="D716" s="116">
        <v>6.99</v>
      </c>
      <c r="E716" s="116">
        <v>6.99</v>
      </c>
      <c r="F716" s="116">
        <v>7.71</v>
      </c>
      <c r="G716">
        <v>2920715</v>
      </c>
      <c r="H716" s="116"/>
      <c r="I716" s="116"/>
      <c r="L716" s="170">
        <v>43055</v>
      </c>
      <c r="M716" s="116">
        <v>7.45</v>
      </c>
      <c r="N716" s="116">
        <v>7.45</v>
      </c>
      <c r="O716" s="116">
        <v>6.75</v>
      </c>
      <c r="P716" s="116">
        <v>6.75</v>
      </c>
      <c r="Q716" s="116">
        <v>7.45</v>
      </c>
      <c r="R716">
        <v>5567390</v>
      </c>
    </row>
    <row r="717" spans="1:18" x14ac:dyDescent="0.25">
      <c r="A717" s="170">
        <v>43056</v>
      </c>
      <c r="B717" s="116">
        <v>8.09</v>
      </c>
      <c r="C717" s="116">
        <v>8.08</v>
      </c>
      <c r="D717" s="116">
        <v>7.71</v>
      </c>
      <c r="E717" s="116">
        <v>8.06</v>
      </c>
      <c r="F717" s="116">
        <v>8.08</v>
      </c>
      <c r="G717">
        <v>3425914</v>
      </c>
      <c r="H717" s="116"/>
      <c r="I717" s="116"/>
      <c r="L717" s="170">
        <v>43056</v>
      </c>
      <c r="M717" s="116">
        <v>7.8</v>
      </c>
      <c r="N717" s="116">
        <v>7.8</v>
      </c>
      <c r="O717" s="116">
        <v>7.65</v>
      </c>
      <c r="P717" s="116">
        <v>7.7</v>
      </c>
      <c r="Q717" s="116">
        <v>7.8</v>
      </c>
      <c r="R717">
        <v>2017705</v>
      </c>
    </row>
    <row r="718" spans="1:18" x14ac:dyDescent="0.25">
      <c r="A718" s="170">
        <v>43059</v>
      </c>
      <c r="B718" s="116">
        <v>8.1999999999999993</v>
      </c>
      <c r="C718" s="116">
        <v>7.68</v>
      </c>
      <c r="D718" s="116">
        <v>7.68</v>
      </c>
      <c r="E718" s="116">
        <v>8.1</v>
      </c>
      <c r="F718" s="116">
        <v>7.68</v>
      </c>
      <c r="G718">
        <v>696626</v>
      </c>
      <c r="H718" s="116"/>
      <c r="I718" s="116"/>
      <c r="L718" s="170">
        <v>43059</v>
      </c>
      <c r="M718" s="116">
        <v>7.45</v>
      </c>
      <c r="N718" s="116">
        <v>8.15</v>
      </c>
      <c r="O718" s="116">
        <v>7.45</v>
      </c>
      <c r="P718" s="116">
        <v>8.15</v>
      </c>
      <c r="Q718" s="116">
        <v>7.45</v>
      </c>
      <c r="R718">
        <v>3142915</v>
      </c>
    </row>
    <row r="719" spans="1:18" x14ac:dyDescent="0.25">
      <c r="A719" s="170">
        <v>43060</v>
      </c>
      <c r="B719" s="116">
        <v>7.35</v>
      </c>
      <c r="C719" s="116">
        <v>7.3</v>
      </c>
      <c r="D719" s="116">
        <v>7.3</v>
      </c>
      <c r="E719" s="116">
        <v>7.3</v>
      </c>
      <c r="F719" s="116">
        <v>7.3</v>
      </c>
      <c r="G719">
        <v>204232</v>
      </c>
      <c r="H719" s="116"/>
      <c r="I719" s="116"/>
      <c r="L719" s="170">
        <v>43060</v>
      </c>
      <c r="M719" s="116">
        <v>7.1</v>
      </c>
      <c r="N719" s="116">
        <v>7.3</v>
      </c>
      <c r="O719" s="116">
        <v>7.1</v>
      </c>
      <c r="P719" s="116">
        <v>7.3</v>
      </c>
      <c r="Q719" s="116">
        <v>7.1</v>
      </c>
      <c r="R719">
        <v>2048282</v>
      </c>
    </row>
    <row r="720" spans="1:18" x14ac:dyDescent="0.25">
      <c r="A720" s="170">
        <v>43061</v>
      </c>
      <c r="B720" s="116">
        <v>7.49</v>
      </c>
      <c r="C720" s="116">
        <v>7.14</v>
      </c>
      <c r="D720" s="116">
        <v>6.94</v>
      </c>
      <c r="E720" s="116">
        <v>6.94</v>
      </c>
      <c r="F720" s="116">
        <v>7.14</v>
      </c>
      <c r="G720">
        <v>736658</v>
      </c>
      <c r="H720" s="116"/>
      <c r="I720" s="116"/>
      <c r="L720" s="170">
        <v>43061</v>
      </c>
      <c r="M720" s="116">
        <v>7.15</v>
      </c>
      <c r="N720" s="116">
        <v>7.45</v>
      </c>
      <c r="O720" s="116">
        <v>6.8</v>
      </c>
      <c r="P720" s="116">
        <v>6.85</v>
      </c>
      <c r="Q720" s="116">
        <v>7.15</v>
      </c>
      <c r="R720">
        <v>1531455</v>
      </c>
    </row>
    <row r="721" spans="1:18" x14ac:dyDescent="0.25">
      <c r="A721" s="170">
        <v>43062</v>
      </c>
      <c r="B721" s="116">
        <v>7.45</v>
      </c>
      <c r="C721" s="116">
        <v>7.25</v>
      </c>
      <c r="D721" s="116">
        <v>7.15</v>
      </c>
      <c r="E721" s="116">
        <v>7.43</v>
      </c>
      <c r="F721" s="116">
        <v>7.25</v>
      </c>
      <c r="G721">
        <v>548967</v>
      </c>
      <c r="H721" s="116"/>
      <c r="I721" s="116"/>
      <c r="L721" s="170">
        <v>43062</v>
      </c>
      <c r="M721" s="116">
        <v>7.25</v>
      </c>
      <c r="N721" s="116">
        <v>7.45</v>
      </c>
      <c r="O721" s="116">
        <v>7.1</v>
      </c>
      <c r="P721" s="116">
        <v>7.35</v>
      </c>
      <c r="Q721" s="116">
        <v>7.25</v>
      </c>
      <c r="R721">
        <v>1093913</v>
      </c>
    </row>
    <row r="722" spans="1:18" x14ac:dyDescent="0.25">
      <c r="A722" s="170">
        <v>43063</v>
      </c>
      <c r="B722" s="116">
        <v>7.47</v>
      </c>
      <c r="C722" s="116">
        <v>7.12</v>
      </c>
      <c r="D722" s="116">
        <v>7</v>
      </c>
      <c r="E722" s="116">
        <v>7.47</v>
      </c>
      <c r="F722" s="116">
        <v>7.12</v>
      </c>
      <c r="G722">
        <v>652427</v>
      </c>
      <c r="H722" s="116"/>
      <c r="I722" s="116"/>
      <c r="L722" s="170">
        <v>43063</v>
      </c>
      <c r="M722" s="116">
        <v>7.15</v>
      </c>
      <c r="N722" s="116">
        <v>7.5</v>
      </c>
      <c r="O722" s="116">
        <v>7</v>
      </c>
      <c r="P722" s="116">
        <v>7.45</v>
      </c>
      <c r="Q722" s="116">
        <v>7.15</v>
      </c>
      <c r="R722">
        <v>1289022</v>
      </c>
    </row>
    <row r="723" spans="1:18" x14ac:dyDescent="0.25">
      <c r="A723" s="170">
        <v>43066</v>
      </c>
      <c r="B723" s="116">
        <v>7.29</v>
      </c>
      <c r="C723" s="116">
        <v>7.17</v>
      </c>
      <c r="D723" s="116">
        <v>6.9</v>
      </c>
      <c r="E723" s="116">
        <v>7.04</v>
      </c>
      <c r="F723" s="116">
        <v>7.17</v>
      </c>
      <c r="G723">
        <v>584906</v>
      </c>
      <c r="H723" s="116"/>
      <c r="I723" s="116"/>
      <c r="L723" s="170">
        <v>43066</v>
      </c>
      <c r="M723" s="116">
        <v>7.2</v>
      </c>
      <c r="N723" s="116">
        <v>7.25</v>
      </c>
      <c r="O723" s="116">
        <v>6.9</v>
      </c>
      <c r="P723" s="116">
        <v>7.15</v>
      </c>
      <c r="Q723" s="116">
        <v>7.2</v>
      </c>
      <c r="R723">
        <v>1167003</v>
      </c>
    </row>
    <row r="724" spans="1:18" x14ac:dyDescent="0.25">
      <c r="A724" s="170">
        <v>43067</v>
      </c>
      <c r="B724" s="116">
        <v>7.25</v>
      </c>
      <c r="C724" s="116">
        <v>7.12</v>
      </c>
      <c r="D724" s="116">
        <v>6.9</v>
      </c>
      <c r="E724" s="116">
        <v>7.17</v>
      </c>
      <c r="F724" s="116">
        <v>7.12</v>
      </c>
      <c r="G724">
        <v>411727</v>
      </c>
      <c r="H724" s="116"/>
      <c r="I724" s="116"/>
      <c r="L724" s="170">
        <v>43067</v>
      </c>
      <c r="M724" s="116">
        <v>7</v>
      </c>
      <c r="N724" s="116">
        <v>7.35</v>
      </c>
      <c r="O724" s="116">
        <v>6.9</v>
      </c>
      <c r="P724" s="116">
        <v>7.2</v>
      </c>
      <c r="Q724" s="116">
        <v>7</v>
      </c>
      <c r="R724">
        <v>1448427</v>
      </c>
    </row>
    <row r="725" spans="1:18" x14ac:dyDescent="0.25">
      <c r="A725" s="170">
        <v>43068</v>
      </c>
      <c r="B725" s="116">
        <v>7.47</v>
      </c>
      <c r="C725" s="116">
        <v>7.47</v>
      </c>
      <c r="D725" s="116">
        <v>7</v>
      </c>
      <c r="E725" s="116">
        <v>7.05</v>
      </c>
      <c r="F725" s="116">
        <v>7.47</v>
      </c>
      <c r="G725">
        <v>788468</v>
      </c>
      <c r="H725" s="116"/>
      <c r="I725" s="116"/>
      <c r="L725" s="170">
        <v>43068</v>
      </c>
      <c r="M725" s="116">
        <v>7.35</v>
      </c>
      <c r="N725" s="116">
        <v>7.35</v>
      </c>
      <c r="O725" s="116">
        <v>6.95</v>
      </c>
      <c r="P725" s="116">
        <v>7.05</v>
      </c>
      <c r="Q725" s="116">
        <v>7.35</v>
      </c>
      <c r="R725">
        <v>1182421</v>
      </c>
    </row>
    <row r="726" spans="1:18" x14ac:dyDescent="0.25">
      <c r="A726" s="170">
        <v>43069</v>
      </c>
      <c r="B726" s="116">
        <v>7.71</v>
      </c>
      <c r="C726" s="116">
        <v>7.43</v>
      </c>
      <c r="D726" s="116">
        <v>7.31</v>
      </c>
      <c r="E726" s="116">
        <v>7.64</v>
      </c>
      <c r="F726" s="116">
        <v>7.43</v>
      </c>
      <c r="G726">
        <v>526980</v>
      </c>
      <c r="H726" s="116"/>
      <c r="I726" s="116"/>
      <c r="L726" s="170">
        <v>43069</v>
      </c>
      <c r="M726" s="116">
        <v>7.4</v>
      </c>
      <c r="N726" s="116">
        <v>7.6</v>
      </c>
      <c r="O726" s="116">
        <v>7.05</v>
      </c>
      <c r="P726" s="116">
        <v>7.45</v>
      </c>
      <c r="Q726" s="116">
        <v>7.4</v>
      </c>
      <c r="R726">
        <v>1463995</v>
      </c>
    </row>
    <row r="727" spans="1:18" x14ac:dyDescent="0.25">
      <c r="A727" s="170">
        <v>43070</v>
      </c>
      <c r="B727" s="116">
        <v>7.5</v>
      </c>
      <c r="C727" s="116">
        <v>7.13</v>
      </c>
      <c r="D727" s="116">
        <v>7.06</v>
      </c>
      <c r="E727" s="116">
        <v>7.41</v>
      </c>
      <c r="F727" s="116">
        <v>7.13</v>
      </c>
      <c r="G727">
        <v>359193</v>
      </c>
      <c r="H727" s="116"/>
      <c r="I727" s="116"/>
      <c r="L727" s="170">
        <v>43070</v>
      </c>
      <c r="M727" s="116">
        <v>7.15</v>
      </c>
      <c r="N727" s="116">
        <v>7.6</v>
      </c>
      <c r="O727" s="116">
        <v>7.1</v>
      </c>
      <c r="P727" s="116">
        <v>7.6</v>
      </c>
      <c r="Q727" s="116">
        <v>7.15</v>
      </c>
      <c r="R727">
        <v>1145914</v>
      </c>
    </row>
    <row r="728" spans="1:18" x14ac:dyDescent="0.25">
      <c r="A728" s="170">
        <v>43073</v>
      </c>
      <c r="B728" s="116">
        <v>7.2</v>
      </c>
      <c r="C728" s="116">
        <v>7</v>
      </c>
      <c r="D728" s="116">
        <v>6.97</v>
      </c>
      <c r="E728" s="116">
        <v>7.2</v>
      </c>
      <c r="F728" s="116">
        <v>7</v>
      </c>
      <c r="G728">
        <v>289263</v>
      </c>
      <c r="H728" s="116"/>
      <c r="I728" s="116"/>
      <c r="L728" s="170">
        <v>43073</v>
      </c>
      <c r="M728" s="116">
        <v>7</v>
      </c>
      <c r="N728" s="116">
        <v>7.25</v>
      </c>
      <c r="O728" s="116">
        <v>6.95</v>
      </c>
      <c r="P728" s="116">
        <v>7.1</v>
      </c>
      <c r="Q728" s="116">
        <v>7</v>
      </c>
      <c r="R728">
        <v>815322</v>
      </c>
    </row>
    <row r="729" spans="1:18" x14ac:dyDescent="0.25">
      <c r="A729" s="170">
        <v>43074</v>
      </c>
      <c r="B729" s="116">
        <v>7.1</v>
      </c>
      <c r="C729" s="116">
        <v>6.73</v>
      </c>
      <c r="D729" s="116">
        <v>6.65</v>
      </c>
      <c r="E729" s="116">
        <v>7</v>
      </c>
      <c r="F729" s="116">
        <v>6.73</v>
      </c>
      <c r="G729">
        <v>518684</v>
      </c>
      <c r="H729" s="116"/>
      <c r="I729" s="116"/>
      <c r="L729" s="170">
        <v>43074</v>
      </c>
      <c r="M729" s="116">
        <v>6.75</v>
      </c>
      <c r="N729" s="116">
        <v>7</v>
      </c>
      <c r="O729" s="116">
        <v>6.65</v>
      </c>
      <c r="P729" s="116">
        <v>6.95</v>
      </c>
      <c r="Q729" s="116">
        <v>6.75</v>
      </c>
      <c r="R729">
        <v>1080694</v>
      </c>
    </row>
    <row r="730" spans="1:18" x14ac:dyDescent="0.25">
      <c r="A730" s="170">
        <v>43075</v>
      </c>
      <c r="B730" s="116">
        <v>6.85</v>
      </c>
      <c r="C730" s="116">
        <v>6.53</v>
      </c>
      <c r="D730" s="116">
        <v>6.45</v>
      </c>
      <c r="E730" s="116">
        <v>6.81</v>
      </c>
      <c r="F730" s="116">
        <v>6.53</v>
      </c>
      <c r="G730">
        <v>369882</v>
      </c>
      <c r="H730" s="116"/>
      <c r="I730" s="116"/>
      <c r="L730" s="170">
        <v>43075</v>
      </c>
      <c r="M730" s="116">
        <v>6.55</v>
      </c>
      <c r="N730" s="116">
        <v>6.85</v>
      </c>
      <c r="O730" s="116">
        <v>6.45</v>
      </c>
      <c r="P730" s="116">
        <v>6.85</v>
      </c>
      <c r="Q730" s="116">
        <v>6.55</v>
      </c>
      <c r="R730">
        <v>1213789</v>
      </c>
    </row>
    <row r="731" spans="1:18" x14ac:dyDescent="0.25">
      <c r="A731" s="170">
        <v>43076</v>
      </c>
      <c r="B731" s="116">
        <v>6.6</v>
      </c>
      <c r="C731" s="116">
        <v>6.41</v>
      </c>
      <c r="D731" s="116">
        <v>6.35</v>
      </c>
      <c r="E731" s="116">
        <v>6.54</v>
      </c>
      <c r="F731" s="116">
        <v>6.41</v>
      </c>
      <c r="G731">
        <v>325671</v>
      </c>
      <c r="H731" s="116"/>
      <c r="I731" s="116"/>
      <c r="L731" s="170">
        <v>43076</v>
      </c>
      <c r="M731" s="116">
        <v>6.4</v>
      </c>
      <c r="N731" s="116">
        <v>6.6</v>
      </c>
      <c r="O731" s="116">
        <v>6.25</v>
      </c>
      <c r="P731" s="116">
        <v>6.55</v>
      </c>
      <c r="Q731" s="116">
        <v>6.4</v>
      </c>
      <c r="R731">
        <v>773164</v>
      </c>
    </row>
    <row r="732" spans="1:18" x14ac:dyDescent="0.25">
      <c r="A732" s="170">
        <v>43077</v>
      </c>
      <c r="B732" s="116">
        <v>6.73</v>
      </c>
      <c r="C732" s="116">
        <v>6.73</v>
      </c>
      <c r="D732" s="116">
        <v>6.38</v>
      </c>
      <c r="E732" s="116">
        <v>6.38</v>
      </c>
      <c r="F732" s="116">
        <v>6.73</v>
      </c>
      <c r="G732">
        <v>503339</v>
      </c>
      <c r="H732" s="116"/>
      <c r="I732" s="116"/>
      <c r="L732" s="170">
        <v>43077</v>
      </c>
      <c r="M732" s="116">
        <v>6.7</v>
      </c>
      <c r="N732" s="116">
        <v>6.7</v>
      </c>
      <c r="O732" s="116">
        <v>6.3</v>
      </c>
      <c r="P732" s="116">
        <v>6.4</v>
      </c>
      <c r="Q732" s="116">
        <v>6.7</v>
      </c>
      <c r="R732">
        <v>857013</v>
      </c>
    </row>
    <row r="733" spans="1:18" x14ac:dyDescent="0.25">
      <c r="A733" s="170">
        <v>43080</v>
      </c>
      <c r="B733" s="116">
        <v>7.06</v>
      </c>
      <c r="C733" s="116">
        <v>7.06</v>
      </c>
      <c r="D733" s="116">
        <v>6.84</v>
      </c>
      <c r="E733" s="116">
        <v>6.84</v>
      </c>
      <c r="F733" s="116">
        <v>7.06</v>
      </c>
      <c r="G733">
        <v>282023</v>
      </c>
      <c r="H733" s="116"/>
      <c r="I733" s="116"/>
      <c r="L733" s="170">
        <v>43080</v>
      </c>
      <c r="M733" s="116">
        <v>7</v>
      </c>
      <c r="N733" s="116">
        <v>7</v>
      </c>
      <c r="O733" s="116">
        <v>6.9</v>
      </c>
      <c r="P733" s="116">
        <v>7</v>
      </c>
      <c r="Q733" s="116">
        <v>7</v>
      </c>
      <c r="R733">
        <v>421701</v>
      </c>
    </row>
    <row r="734" spans="1:18" x14ac:dyDescent="0.25">
      <c r="A734" s="170">
        <v>43081</v>
      </c>
      <c r="B734" s="116">
        <v>7.41</v>
      </c>
      <c r="C734" s="116">
        <v>7.41</v>
      </c>
      <c r="D734" s="116">
        <v>7.17</v>
      </c>
      <c r="E734" s="116">
        <v>7.17</v>
      </c>
      <c r="F734" s="116">
        <v>7.41</v>
      </c>
      <c r="G734">
        <v>927186</v>
      </c>
      <c r="H734" s="116"/>
      <c r="I734" s="116"/>
      <c r="L734" s="170">
        <v>43081</v>
      </c>
      <c r="M734" s="116">
        <v>7.35</v>
      </c>
      <c r="N734" s="116">
        <v>7.35</v>
      </c>
      <c r="O734" s="116">
        <v>7.15</v>
      </c>
      <c r="P734" s="116">
        <v>7.2</v>
      </c>
      <c r="Q734" s="116">
        <v>7.35</v>
      </c>
      <c r="R734">
        <v>729320</v>
      </c>
    </row>
    <row r="735" spans="1:18" x14ac:dyDescent="0.25">
      <c r="A735" s="170">
        <v>43082</v>
      </c>
      <c r="B735" s="116">
        <v>7.6</v>
      </c>
      <c r="C735" s="116">
        <v>7.07</v>
      </c>
      <c r="D735" s="116">
        <v>7.05</v>
      </c>
      <c r="E735" s="116">
        <v>7.42</v>
      </c>
      <c r="F735" s="116">
        <v>7.07</v>
      </c>
      <c r="G735">
        <v>551184</v>
      </c>
      <c r="H735" s="116"/>
      <c r="I735" s="116"/>
      <c r="L735" s="170">
        <v>43082</v>
      </c>
      <c r="M735" s="116">
        <v>7.15</v>
      </c>
      <c r="N735" s="116">
        <v>7.5</v>
      </c>
      <c r="O735" s="116">
        <v>7</v>
      </c>
      <c r="P735" s="116">
        <v>7.45</v>
      </c>
      <c r="Q735" s="116">
        <v>7.15</v>
      </c>
      <c r="R735">
        <v>1113124</v>
      </c>
    </row>
    <row r="736" spans="1:18" x14ac:dyDescent="0.25">
      <c r="A736" s="170">
        <v>43083</v>
      </c>
      <c r="B736" s="116">
        <v>7.14</v>
      </c>
      <c r="C736" s="116">
        <v>6.9</v>
      </c>
      <c r="D736" s="116">
        <v>6.8</v>
      </c>
      <c r="E736" s="116">
        <v>7.05</v>
      </c>
      <c r="F736" s="116">
        <v>6.9</v>
      </c>
      <c r="G736">
        <v>331304</v>
      </c>
      <c r="H736" s="116"/>
      <c r="I736" s="116"/>
      <c r="L736" s="170">
        <v>43083</v>
      </c>
      <c r="M736" s="116">
        <v>6.9</v>
      </c>
      <c r="N736" s="116">
        <v>7.15</v>
      </c>
      <c r="O736" s="116">
        <v>6.8</v>
      </c>
      <c r="P736" s="116">
        <v>6.9</v>
      </c>
      <c r="Q736" s="116">
        <v>6.9</v>
      </c>
      <c r="R736">
        <v>693442</v>
      </c>
    </row>
    <row r="737" spans="1:18" x14ac:dyDescent="0.25">
      <c r="A737" s="170">
        <v>43084</v>
      </c>
      <c r="B737" s="116">
        <v>7.2</v>
      </c>
      <c r="C737" s="116">
        <v>7.01</v>
      </c>
      <c r="D737" s="116">
        <v>6.67</v>
      </c>
      <c r="E737" s="116">
        <v>6.97</v>
      </c>
      <c r="F737" s="116">
        <v>7.01</v>
      </c>
      <c r="G737">
        <v>489056</v>
      </c>
      <c r="H737" s="116"/>
      <c r="I737" s="116"/>
      <c r="L737" s="170">
        <v>43084</v>
      </c>
      <c r="M737" s="116">
        <v>7</v>
      </c>
      <c r="N737" s="116">
        <v>7.1</v>
      </c>
      <c r="O737" s="116">
        <v>6.65</v>
      </c>
      <c r="P737" s="116">
        <v>7</v>
      </c>
      <c r="Q737" s="116">
        <v>7</v>
      </c>
      <c r="R737">
        <v>965500</v>
      </c>
    </row>
    <row r="738" spans="1:18" x14ac:dyDescent="0.25">
      <c r="A738" s="170">
        <v>43087</v>
      </c>
      <c r="B738" s="116">
        <v>7.1</v>
      </c>
      <c r="C738" s="116">
        <v>6.88</v>
      </c>
      <c r="D738" s="116">
        <v>6.7</v>
      </c>
      <c r="E738" s="116">
        <v>7.1</v>
      </c>
      <c r="F738" s="116">
        <v>6.88</v>
      </c>
      <c r="G738">
        <v>269366</v>
      </c>
      <c r="H738" s="116"/>
      <c r="I738" s="116"/>
      <c r="L738" s="170">
        <v>43087</v>
      </c>
      <c r="M738" s="116">
        <v>6.9</v>
      </c>
      <c r="N738" s="116">
        <v>7.2</v>
      </c>
      <c r="O738" s="116">
        <v>6.75</v>
      </c>
      <c r="P738" s="116">
        <v>7.1</v>
      </c>
      <c r="Q738" s="116">
        <v>6.9</v>
      </c>
      <c r="R738">
        <v>589459</v>
      </c>
    </row>
    <row r="739" spans="1:18" x14ac:dyDescent="0.25">
      <c r="A739" s="170">
        <v>43088</v>
      </c>
      <c r="B739" s="116">
        <v>7.18</v>
      </c>
      <c r="C739" s="116">
        <v>7.11</v>
      </c>
      <c r="D739" s="116">
        <v>6.91</v>
      </c>
      <c r="E739" s="116">
        <v>6.91</v>
      </c>
      <c r="F739" s="116">
        <v>7.11</v>
      </c>
      <c r="G739">
        <v>349643</v>
      </c>
      <c r="H739" s="116"/>
      <c r="I739" s="116"/>
      <c r="L739" s="170">
        <v>43088</v>
      </c>
      <c r="M739" s="116">
        <v>7.1</v>
      </c>
      <c r="N739" s="116">
        <v>7.2</v>
      </c>
      <c r="O739" s="116">
        <v>6.85</v>
      </c>
      <c r="P739" s="116">
        <v>6.9</v>
      </c>
      <c r="Q739" s="116">
        <v>7.1</v>
      </c>
      <c r="R739">
        <v>927691</v>
      </c>
    </row>
    <row r="740" spans="1:18" x14ac:dyDescent="0.25">
      <c r="A740" s="170">
        <v>43089</v>
      </c>
      <c r="B740" s="116">
        <v>7.4</v>
      </c>
      <c r="C740" s="116">
        <v>7</v>
      </c>
      <c r="D740" s="116">
        <v>6.8</v>
      </c>
      <c r="E740" s="116">
        <v>7.12</v>
      </c>
      <c r="F740" s="116">
        <v>7</v>
      </c>
      <c r="G740">
        <v>678059</v>
      </c>
      <c r="H740" s="116"/>
      <c r="I740" s="116"/>
      <c r="L740" s="170">
        <v>43089</v>
      </c>
      <c r="M740" s="116">
        <v>7</v>
      </c>
      <c r="N740" s="116">
        <v>7.4</v>
      </c>
      <c r="O740" s="116">
        <v>6.85</v>
      </c>
      <c r="P740" s="116">
        <v>7.05</v>
      </c>
      <c r="Q740" s="116">
        <v>7</v>
      </c>
      <c r="R740">
        <v>2019072</v>
      </c>
    </row>
    <row r="741" spans="1:18" x14ac:dyDescent="0.25">
      <c r="A741" s="170">
        <v>43090</v>
      </c>
      <c r="B741" s="116">
        <v>7.3</v>
      </c>
      <c r="C741" s="116">
        <v>6.95</v>
      </c>
      <c r="D741" s="116">
        <v>6.75</v>
      </c>
      <c r="E741" s="116">
        <v>7.02</v>
      </c>
      <c r="F741" s="116">
        <v>6.95</v>
      </c>
      <c r="G741">
        <v>712440</v>
      </c>
      <c r="H741" s="116"/>
      <c r="I741" s="116"/>
      <c r="L741" s="170">
        <v>43090</v>
      </c>
      <c r="M741" s="116">
        <v>6.95</v>
      </c>
      <c r="N741" s="116">
        <v>7.2</v>
      </c>
      <c r="O741" s="116">
        <v>6.75</v>
      </c>
      <c r="P741" s="116">
        <v>7</v>
      </c>
      <c r="Q741" s="116">
        <v>6.95</v>
      </c>
      <c r="R741">
        <v>1643526</v>
      </c>
    </row>
    <row r="742" spans="1:18" x14ac:dyDescent="0.25">
      <c r="A742" s="170">
        <v>43091</v>
      </c>
      <c r="B742" s="116">
        <v>7.1</v>
      </c>
      <c r="C742" s="116">
        <v>6.84</v>
      </c>
      <c r="D742" s="116">
        <v>6.8</v>
      </c>
      <c r="E742" s="116">
        <v>7</v>
      </c>
      <c r="F742" s="116">
        <v>6.84</v>
      </c>
      <c r="G742">
        <v>371885</v>
      </c>
      <c r="H742" s="116"/>
      <c r="I742" s="116"/>
      <c r="L742" s="170">
        <v>43091</v>
      </c>
      <c r="M742" s="116">
        <v>6.9</v>
      </c>
      <c r="N742" s="116">
        <v>7.05</v>
      </c>
      <c r="O742" s="116">
        <v>6.8</v>
      </c>
      <c r="P742" s="116">
        <v>7.05</v>
      </c>
      <c r="Q742" s="116">
        <v>6.9</v>
      </c>
      <c r="R742">
        <v>1106147</v>
      </c>
    </row>
    <row r="743" spans="1:18" x14ac:dyDescent="0.25">
      <c r="A743" s="170">
        <v>43095</v>
      </c>
      <c r="B743" s="116">
        <v>7.05</v>
      </c>
      <c r="C743" s="116">
        <v>6.94</v>
      </c>
      <c r="D743" s="116">
        <v>6.67</v>
      </c>
      <c r="E743" s="116">
        <v>6.84</v>
      </c>
      <c r="F743" s="116">
        <v>6.94</v>
      </c>
      <c r="G743">
        <v>354523</v>
      </c>
      <c r="H743" s="116"/>
      <c r="I743" s="116"/>
      <c r="L743" s="170">
        <v>43095</v>
      </c>
      <c r="M743" s="116">
        <v>6.95</v>
      </c>
      <c r="N743" s="116">
        <v>7.05</v>
      </c>
      <c r="O743" s="116">
        <v>6.65</v>
      </c>
      <c r="P743" s="116">
        <v>6.9</v>
      </c>
      <c r="Q743" s="116">
        <v>6.95</v>
      </c>
      <c r="R743">
        <v>1516931</v>
      </c>
    </row>
    <row r="744" spans="1:18" x14ac:dyDescent="0.25">
      <c r="A744" s="170">
        <v>43096</v>
      </c>
      <c r="B744" s="116">
        <v>7.25</v>
      </c>
      <c r="C744" s="116">
        <v>7.06</v>
      </c>
      <c r="D744" s="116">
        <v>6.85</v>
      </c>
      <c r="E744" s="116">
        <v>7.1</v>
      </c>
      <c r="F744" s="116">
        <v>7.06</v>
      </c>
      <c r="G744">
        <v>633635</v>
      </c>
      <c r="H744" s="116"/>
      <c r="I744" s="116"/>
      <c r="L744" s="170">
        <v>43096</v>
      </c>
      <c r="M744" s="116">
        <v>7.05</v>
      </c>
      <c r="N744" s="116">
        <v>7.25</v>
      </c>
      <c r="O744" s="116">
        <v>6.8</v>
      </c>
      <c r="P744" s="116">
        <v>6.95</v>
      </c>
      <c r="Q744" s="116">
        <v>7.05</v>
      </c>
      <c r="R744">
        <v>2070341</v>
      </c>
    </row>
    <row r="745" spans="1:18" x14ac:dyDescent="0.25">
      <c r="A745" s="170">
        <v>43097</v>
      </c>
      <c r="B745" s="116">
        <v>7.38</v>
      </c>
      <c r="C745" s="116">
        <v>6.97</v>
      </c>
      <c r="D745" s="116">
        <v>6.9</v>
      </c>
      <c r="E745" s="116">
        <v>7.25</v>
      </c>
      <c r="F745" s="116">
        <v>6.97</v>
      </c>
      <c r="G745">
        <v>402246</v>
      </c>
      <c r="H745" s="116"/>
      <c r="I745" s="116"/>
      <c r="L745" s="170">
        <v>43097</v>
      </c>
      <c r="M745" s="116">
        <v>6.95</v>
      </c>
      <c r="N745" s="116">
        <v>7.15</v>
      </c>
      <c r="O745" s="116">
        <v>6.85</v>
      </c>
      <c r="P745" s="116">
        <v>7.1</v>
      </c>
      <c r="Q745" s="116">
        <v>6.95</v>
      </c>
      <c r="R745">
        <v>1117190</v>
      </c>
    </row>
    <row r="746" spans="1:18" x14ac:dyDescent="0.25">
      <c r="A746" s="170">
        <v>43098</v>
      </c>
      <c r="B746" s="116">
        <v>7.15</v>
      </c>
      <c r="C746" s="116">
        <v>7.06</v>
      </c>
      <c r="D746" s="116">
        <v>6.8</v>
      </c>
      <c r="E746" s="116">
        <v>6.9</v>
      </c>
      <c r="F746" s="116">
        <v>7.06</v>
      </c>
      <c r="G746">
        <v>552435</v>
      </c>
      <c r="H746" s="116"/>
      <c r="I746" s="116"/>
      <c r="L746" s="170">
        <v>43098</v>
      </c>
      <c r="M746" s="116">
        <v>7.05</v>
      </c>
      <c r="N746" s="116">
        <v>7.15</v>
      </c>
      <c r="O746" s="116">
        <v>6.85</v>
      </c>
      <c r="P746" s="116">
        <v>6.9</v>
      </c>
      <c r="Q746" s="116">
        <v>7.05</v>
      </c>
      <c r="R746">
        <v>1565529</v>
      </c>
    </row>
    <row r="747" spans="1:18" x14ac:dyDescent="0.25">
      <c r="A747" s="170">
        <v>43101</v>
      </c>
      <c r="B747" s="116">
        <v>7.39</v>
      </c>
      <c r="C747" s="116">
        <v>7.33</v>
      </c>
      <c r="D747" s="116">
        <v>6.9</v>
      </c>
      <c r="E747" s="116">
        <v>7.15</v>
      </c>
      <c r="F747" s="116">
        <v>7.33</v>
      </c>
      <c r="G747">
        <v>760645</v>
      </c>
      <c r="H747" s="116"/>
      <c r="I747" s="116"/>
      <c r="L747" s="170">
        <v>43101</v>
      </c>
      <c r="M747" s="116">
        <v>7.35</v>
      </c>
      <c r="N747" s="116">
        <v>7.4</v>
      </c>
      <c r="O747" s="116">
        <v>6.85</v>
      </c>
      <c r="P747" s="116">
        <v>6.9</v>
      </c>
      <c r="Q747" s="116">
        <v>7.35</v>
      </c>
      <c r="R747">
        <v>2395963</v>
      </c>
    </row>
    <row r="748" spans="1:18" x14ac:dyDescent="0.25">
      <c r="A748" s="170">
        <v>43102</v>
      </c>
      <c r="B748" s="116">
        <v>7.65</v>
      </c>
      <c r="C748" s="116">
        <v>7.2</v>
      </c>
      <c r="D748" s="116">
        <v>7.11</v>
      </c>
      <c r="E748" s="116">
        <v>7.4</v>
      </c>
      <c r="F748" s="116">
        <v>7.2</v>
      </c>
      <c r="G748">
        <v>487699</v>
      </c>
      <c r="H748" s="116"/>
      <c r="I748" s="116"/>
      <c r="L748" s="170">
        <v>43102</v>
      </c>
      <c r="M748" s="116">
        <v>7.2</v>
      </c>
      <c r="N748" s="116">
        <v>7.6</v>
      </c>
      <c r="O748" s="116">
        <v>7.05</v>
      </c>
      <c r="P748" s="116">
        <v>7.5</v>
      </c>
      <c r="Q748" s="116">
        <v>7.2</v>
      </c>
      <c r="R748">
        <v>1667587</v>
      </c>
    </row>
    <row r="749" spans="1:18" x14ac:dyDescent="0.25">
      <c r="A749" s="170">
        <v>43103</v>
      </c>
      <c r="B749" s="116">
        <v>7.33</v>
      </c>
      <c r="C749" s="116">
        <v>7.09</v>
      </c>
      <c r="D749" s="116">
        <v>7.06</v>
      </c>
      <c r="E749" s="116">
        <v>7.21</v>
      </c>
      <c r="F749" s="116">
        <v>7.09</v>
      </c>
      <c r="G749">
        <v>273327</v>
      </c>
      <c r="H749" s="116"/>
      <c r="I749" s="116"/>
      <c r="L749" s="170">
        <v>43103</v>
      </c>
      <c r="M749" s="116">
        <v>7.05</v>
      </c>
      <c r="N749" s="116">
        <v>7.3</v>
      </c>
      <c r="O749" s="116">
        <v>7</v>
      </c>
      <c r="P749" s="116">
        <v>7.2</v>
      </c>
      <c r="Q749" s="116">
        <v>7.05</v>
      </c>
      <c r="R749">
        <v>659557</v>
      </c>
    </row>
    <row r="750" spans="1:18" x14ac:dyDescent="0.25">
      <c r="A750" s="170">
        <v>43104</v>
      </c>
      <c r="B750" s="116">
        <v>7.2</v>
      </c>
      <c r="C750" s="116">
        <v>7.09</v>
      </c>
      <c r="D750" s="116">
        <v>6.95</v>
      </c>
      <c r="E750" s="116">
        <v>7.05</v>
      </c>
      <c r="F750" s="116">
        <v>7.09</v>
      </c>
      <c r="G750">
        <v>265033</v>
      </c>
      <c r="H750" s="116"/>
      <c r="I750" s="116"/>
      <c r="L750" s="170">
        <v>43104</v>
      </c>
      <c r="M750" s="116">
        <v>7</v>
      </c>
      <c r="N750" s="116">
        <v>7.2</v>
      </c>
      <c r="O750" s="116">
        <v>7</v>
      </c>
      <c r="P750" s="116">
        <v>7.2</v>
      </c>
      <c r="Q750" s="116">
        <v>7</v>
      </c>
      <c r="R750">
        <v>709727</v>
      </c>
    </row>
    <row r="751" spans="1:18" x14ac:dyDescent="0.25">
      <c r="A751" s="170">
        <v>43105</v>
      </c>
      <c r="B751" s="116">
        <v>7.16</v>
      </c>
      <c r="C751" s="116">
        <v>7.01</v>
      </c>
      <c r="D751" s="116">
        <v>6.9</v>
      </c>
      <c r="E751" s="116">
        <v>7.04</v>
      </c>
      <c r="F751" s="116">
        <v>7.01</v>
      </c>
      <c r="G751">
        <v>587930</v>
      </c>
      <c r="H751" s="116"/>
      <c r="I751" s="116"/>
      <c r="L751" s="170">
        <v>43105</v>
      </c>
      <c r="M751" s="116">
        <v>7</v>
      </c>
      <c r="N751" s="116">
        <v>7.15</v>
      </c>
      <c r="O751" s="116">
        <v>6.95</v>
      </c>
      <c r="P751" s="116">
        <v>7.15</v>
      </c>
      <c r="Q751" s="116">
        <v>7</v>
      </c>
      <c r="R751">
        <v>1283136</v>
      </c>
    </row>
    <row r="752" spans="1:18" x14ac:dyDescent="0.25">
      <c r="A752" s="170">
        <v>43108</v>
      </c>
      <c r="B752" s="116">
        <v>7.2</v>
      </c>
      <c r="C752" s="116">
        <v>7.04</v>
      </c>
      <c r="D752" s="116">
        <v>6.66</v>
      </c>
      <c r="E752" s="116">
        <v>7.17</v>
      </c>
      <c r="F752" s="116">
        <v>7.04</v>
      </c>
      <c r="G752">
        <v>456589</v>
      </c>
      <c r="H752" s="116"/>
      <c r="I752" s="116"/>
      <c r="L752" s="170">
        <v>43108</v>
      </c>
      <c r="M752" s="116">
        <v>7.05</v>
      </c>
      <c r="N752" s="116">
        <v>7.1</v>
      </c>
      <c r="O752" s="116">
        <v>6.95</v>
      </c>
      <c r="P752" s="116">
        <v>6.95</v>
      </c>
      <c r="Q752" s="116">
        <v>7.05</v>
      </c>
      <c r="R752">
        <v>798047</v>
      </c>
    </row>
    <row r="753" spans="1:18" x14ac:dyDescent="0.25">
      <c r="A753" s="170">
        <v>43109</v>
      </c>
      <c r="B753" s="116">
        <v>7.09</v>
      </c>
      <c r="C753" s="116">
        <v>6.96</v>
      </c>
      <c r="D753" s="116">
        <v>6.95</v>
      </c>
      <c r="E753" s="116">
        <v>7.04</v>
      </c>
      <c r="F753" s="116">
        <v>6.96</v>
      </c>
      <c r="G753">
        <v>245557</v>
      </c>
      <c r="H753" s="116"/>
      <c r="I753" s="116"/>
      <c r="L753" s="170">
        <v>43109</v>
      </c>
      <c r="M753" s="116">
        <v>6.95</v>
      </c>
      <c r="N753" s="116">
        <v>7.05</v>
      </c>
      <c r="O753" s="116">
        <v>6.95</v>
      </c>
      <c r="P753" s="116">
        <v>7</v>
      </c>
      <c r="Q753" s="116">
        <v>6.95</v>
      </c>
      <c r="R753">
        <v>617491</v>
      </c>
    </row>
    <row r="754" spans="1:18" x14ac:dyDescent="0.25">
      <c r="A754" s="170">
        <v>43110</v>
      </c>
      <c r="B754" s="116">
        <v>7.12</v>
      </c>
      <c r="C754" s="116">
        <v>6.96</v>
      </c>
      <c r="D754" s="116">
        <v>6.93</v>
      </c>
      <c r="E754" s="116">
        <v>7.09</v>
      </c>
      <c r="F754" s="116">
        <v>6.96</v>
      </c>
      <c r="G754">
        <v>280109</v>
      </c>
      <c r="H754" s="116"/>
      <c r="I754" s="116"/>
      <c r="L754" s="170">
        <v>43110</v>
      </c>
      <c r="M754" s="116">
        <v>6.95</v>
      </c>
      <c r="N754" s="116">
        <v>7.1</v>
      </c>
      <c r="O754" s="116">
        <v>6.9</v>
      </c>
      <c r="P754" s="116">
        <v>6.95</v>
      </c>
      <c r="Q754" s="116">
        <v>6.95</v>
      </c>
      <c r="R754">
        <v>853735</v>
      </c>
    </row>
    <row r="755" spans="1:18" x14ac:dyDescent="0.25">
      <c r="A755" s="170">
        <v>43111</v>
      </c>
      <c r="B755" s="116">
        <v>7</v>
      </c>
      <c r="C755" s="116">
        <v>6.93</v>
      </c>
      <c r="D755" s="116">
        <v>6.9</v>
      </c>
      <c r="E755" s="116">
        <v>7</v>
      </c>
      <c r="F755" s="116">
        <v>6.93</v>
      </c>
      <c r="G755">
        <v>182098</v>
      </c>
      <c r="H755" s="116"/>
      <c r="I755" s="116"/>
      <c r="L755" s="170">
        <v>43111</v>
      </c>
      <c r="M755" s="116">
        <v>6.9</v>
      </c>
      <c r="N755" s="116">
        <v>7.05</v>
      </c>
      <c r="O755" s="116">
        <v>6.85</v>
      </c>
      <c r="P755" s="116">
        <v>7</v>
      </c>
      <c r="Q755" s="116">
        <v>6.9</v>
      </c>
      <c r="R755">
        <v>679203</v>
      </c>
    </row>
    <row r="756" spans="1:18" x14ac:dyDescent="0.25">
      <c r="A756" s="170">
        <v>43112</v>
      </c>
      <c r="B756" s="116">
        <v>7.27</v>
      </c>
      <c r="C756" s="116">
        <v>7.27</v>
      </c>
      <c r="D756" s="116">
        <v>7.01</v>
      </c>
      <c r="E756" s="116">
        <v>7.01</v>
      </c>
      <c r="F756" s="116">
        <v>7.27</v>
      </c>
      <c r="G756">
        <v>618903</v>
      </c>
      <c r="H756" s="116"/>
      <c r="I756" s="116"/>
      <c r="L756" s="170">
        <v>43112</v>
      </c>
      <c r="M756" s="116">
        <v>7.2</v>
      </c>
      <c r="N756" s="116">
        <v>7.2</v>
      </c>
      <c r="O756" s="116">
        <v>7.2</v>
      </c>
      <c r="P756" s="116">
        <v>7.2</v>
      </c>
      <c r="Q756" s="116">
        <v>7.2</v>
      </c>
      <c r="R756">
        <v>601359</v>
      </c>
    </row>
    <row r="757" spans="1:18" x14ac:dyDescent="0.25">
      <c r="A757" s="170">
        <v>43115</v>
      </c>
      <c r="B757" s="116">
        <v>7.63</v>
      </c>
      <c r="C757" s="116">
        <v>7.63</v>
      </c>
      <c r="D757" s="116">
        <v>7.63</v>
      </c>
      <c r="E757" s="116">
        <v>7.63</v>
      </c>
      <c r="F757" s="116">
        <v>7.63</v>
      </c>
      <c r="G757">
        <v>357782</v>
      </c>
      <c r="H757" s="116"/>
      <c r="I757" s="116"/>
      <c r="L757" s="170">
        <v>43115</v>
      </c>
      <c r="M757" s="116">
        <v>7.55</v>
      </c>
      <c r="N757" s="116">
        <v>7.55</v>
      </c>
      <c r="O757" s="116">
        <v>7.55</v>
      </c>
      <c r="P757" s="116">
        <v>7.55</v>
      </c>
      <c r="Q757" s="116">
        <v>7.55</v>
      </c>
      <c r="R757">
        <v>512622</v>
      </c>
    </row>
    <row r="758" spans="1:18" x14ac:dyDescent="0.25">
      <c r="A758" s="170">
        <v>43116</v>
      </c>
      <c r="B758" s="116">
        <v>8.01</v>
      </c>
      <c r="C758" s="116">
        <v>7.86</v>
      </c>
      <c r="D758" s="116">
        <v>7.4</v>
      </c>
      <c r="E758" s="116">
        <v>8.01</v>
      </c>
      <c r="F758" s="116">
        <v>7.86</v>
      </c>
      <c r="G758">
        <v>2540403</v>
      </c>
      <c r="H758" s="116"/>
      <c r="I758" s="116"/>
      <c r="L758" s="170">
        <v>43116</v>
      </c>
      <c r="M758" s="116">
        <v>7.85</v>
      </c>
      <c r="N758" s="116">
        <v>7.9</v>
      </c>
      <c r="O758" s="116">
        <v>7.45</v>
      </c>
      <c r="P758" s="116">
        <v>7.9</v>
      </c>
      <c r="Q758" s="116">
        <v>7.85</v>
      </c>
      <c r="R758">
        <v>4600861</v>
      </c>
    </row>
    <row r="759" spans="1:18" x14ac:dyDescent="0.25">
      <c r="A759" s="170">
        <v>43117</v>
      </c>
      <c r="B759" s="116">
        <v>7.99</v>
      </c>
      <c r="C759" s="116">
        <v>7.54</v>
      </c>
      <c r="D759" s="116">
        <v>7.47</v>
      </c>
      <c r="E759" s="116">
        <v>7.99</v>
      </c>
      <c r="F759" s="116">
        <v>7.54</v>
      </c>
      <c r="G759">
        <v>924792</v>
      </c>
      <c r="H759" s="116"/>
      <c r="I759" s="116"/>
      <c r="L759" s="170">
        <v>43117</v>
      </c>
      <c r="M759" s="116">
        <v>7.55</v>
      </c>
      <c r="N759" s="116">
        <v>7.85</v>
      </c>
      <c r="O759" s="116">
        <v>7.5</v>
      </c>
      <c r="P759" s="116">
        <v>7.85</v>
      </c>
      <c r="Q759" s="116">
        <v>7.55</v>
      </c>
      <c r="R759">
        <v>1725866</v>
      </c>
    </row>
    <row r="760" spans="1:18" x14ac:dyDescent="0.25">
      <c r="A760" s="170">
        <v>43118</v>
      </c>
      <c r="B760" s="116">
        <v>7.59</v>
      </c>
      <c r="C760" s="116">
        <v>7.17</v>
      </c>
      <c r="D760" s="116">
        <v>7.17</v>
      </c>
      <c r="E760" s="116">
        <v>7.54</v>
      </c>
      <c r="F760" s="116">
        <v>7.17</v>
      </c>
      <c r="G760">
        <v>518705</v>
      </c>
      <c r="H760" s="116"/>
      <c r="I760" s="116"/>
      <c r="L760" s="170">
        <v>43118</v>
      </c>
      <c r="M760" s="116">
        <v>7.2</v>
      </c>
      <c r="N760" s="116">
        <v>7.6</v>
      </c>
      <c r="O760" s="116">
        <v>7.2</v>
      </c>
      <c r="P760" s="116">
        <v>7.45</v>
      </c>
      <c r="Q760" s="116">
        <v>7.2</v>
      </c>
      <c r="R760">
        <v>857381</v>
      </c>
    </row>
    <row r="761" spans="1:18" x14ac:dyDescent="0.25">
      <c r="A761" s="170">
        <v>43119</v>
      </c>
      <c r="B761" s="116">
        <v>7.37</v>
      </c>
      <c r="C761" s="116">
        <v>7.06</v>
      </c>
      <c r="D761" s="116">
        <v>6.82</v>
      </c>
      <c r="E761" s="116">
        <v>7.37</v>
      </c>
      <c r="F761" s="116">
        <v>7.06</v>
      </c>
      <c r="G761">
        <v>451864</v>
      </c>
      <c r="H761" s="116"/>
      <c r="I761" s="116"/>
      <c r="L761" s="170">
        <v>43119</v>
      </c>
      <c r="M761" s="116">
        <v>7.1</v>
      </c>
      <c r="N761" s="116">
        <v>7.2</v>
      </c>
      <c r="O761" s="116">
        <v>6.85</v>
      </c>
      <c r="P761" s="116">
        <v>7</v>
      </c>
      <c r="Q761" s="116">
        <v>7.1</v>
      </c>
      <c r="R761">
        <v>962154</v>
      </c>
    </row>
    <row r="762" spans="1:18" x14ac:dyDescent="0.25">
      <c r="A762" s="170">
        <v>43122</v>
      </c>
      <c r="B762" s="116">
        <v>7.19</v>
      </c>
      <c r="C762" s="116">
        <v>7.05</v>
      </c>
      <c r="D762" s="116">
        <v>6.9</v>
      </c>
      <c r="E762" s="116">
        <v>7.11</v>
      </c>
      <c r="F762" s="116">
        <v>7.05</v>
      </c>
      <c r="G762">
        <v>245757</v>
      </c>
      <c r="H762" s="116"/>
      <c r="I762" s="116"/>
      <c r="L762" s="170">
        <v>43122</v>
      </c>
      <c r="M762" s="116">
        <v>7</v>
      </c>
      <c r="N762" s="116">
        <v>7.1</v>
      </c>
      <c r="O762" s="116">
        <v>6.9</v>
      </c>
      <c r="P762" s="116">
        <v>6.9</v>
      </c>
      <c r="Q762" s="116">
        <v>7</v>
      </c>
      <c r="R762">
        <v>500212</v>
      </c>
    </row>
    <row r="763" spans="1:18" x14ac:dyDescent="0.25">
      <c r="A763" s="170">
        <v>43123</v>
      </c>
      <c r="B763" s="116">
        <v>7.3</v>
      </c>
      <c r="C763" s="116">
        <v>6.97</v>
      </c>
      <c r="D763" s="116">
        <v>6.95</v>
      </c>
      <c r="E763" s="116">
        <v>7.05</v>
      </c>
      <c r="F763" s="116">
        <v>6.97</v>
      </c>
      <c r="G763">
        <v>339899</v>
      </c>
      <c r="H763" s="116"/>
      <c r="I763" s="116"/>
      <c r="L763" s="170">
        <v>43123</v>
      </c>
      <c r="M763" s="116">
        <v>7</v>
      </c>
      <c r="N763" s="116">
        <v>7.35</v>
      </c>
      <c r="O763" s="116">
        <v>6.95</v>
      </c>
      <c r="P763" s="116">
        <v>6.95</v>
      </c>
      <c r="Q763" s="116">
        <v>7</v>
      </c>
      <c r="R763">
        <v>812861</v>
      </c>
    </row>
    <row r="764" spans="1:18" x14ac:dyDescent="0.25">
      <c r="A764" s="170">
        <v>43124</v>
      </c>
      <c r="B764" s="116">
        <v>7</v>
      </c>
      <c r="C764" s="116">
        <v>6.93</v>
      </c>
      <c r="D764" s="116">
        <v>6.9</v>
      </c>
      <c r="E764" s="116">
        <v>6.95</v>
      </c>
      <c r="F764" s="116">
        <v>6.93</v>
      </c>
      <c r="G764">
        <v>182758</v>
      </c>
      <c r="H764" s="116"/>
      <c r="I764" s="116"/>
      <c r="L764" s="170">
        <v>43124</v>
      </c>
      <c r="M764" s="116">
        <v>6.9</v>
      </c>
      <c r="N764" s="116">
        <v>7.1</v>
      </c>
      <c r="O764" s="116">
        <v>6.85</v>
      </c>
      <c r="P764" s="116">
        <v>6.95</v>
      </c>
      <c r="Q764" s="116">
        <v>6.9</v>
      </c>
      <c r="R764">
        <v>695711</v>
      </c>
    </row>
    <row r="765" spans="1:18" x14ac:dyDescent="0.25">
      <c r="A765" s="170">
        <v>43125</v>
      </c>
      <c r="B765" s="116">
        <v>7.27</v>
      </c>
      <c r="C765" s="116">
        <v>7.18</v>
      </c>
      <c r="D765" s="116">
        <v>6.8</v>
      </c>
      <c r="E765" s="116">
        <v>6.86</v>
      </c>
      <c r="F765" s="116">
        <v>7.18</v>
      </c>
      <c r="G765">
        <v>434508</v>
      </c>
      <c r="H765" s="116"/>
      <c r="I765" s="116"/>
      <c r="L765" s="170">
        <v>43125</v>
      </c>
      <c r="M765" s="116">
        <v>7.1</v>
      </c>
      <c r="N765" s="116">
        <v>7.2</v>
      </c>
      <c r="O765" s="116">
        <v>6.8</v>
      </c>
      <c r="P765" s="116">
        <v>6.8</v>
      </c>
      <c r="Q765" s="116">
        <v>7.1</v>
      </c>
      <c r="R765">
        <v>1022841</v>
      </c>
    </row>
    <row r="766" spans="1:18" x14ac:dyDescent="0.25">
      <c r="A766" s="170">
        <v>43129</v>
      </c>
      <c r="B766" s="116">
        <v>7.51</v>
      </c>
      <c r="C766" s="116">
        <v>7.15</v>
      </c>
      <c r="D766" s="116">
        <v>7.06</v>
      </c>
      <c r="E766" s="116">
        <v>7.45</v>
      </c>
      <c r="F766" s="116">
        <v>7.15</v>
      </c>
      <c r="G766">
        <v>428400</v>
      </c>
      <c r="H766" s="116"/>
      <c r="I766" s="116"/>
      <c r="L766" s="170">
        <v>43129</v>
      </c>
      <c r="M766" s="116">
        <v>7.05</v>
      </c>
      <c r="N766" s="116">
        <v>7.45</v>
      </c>
      <c r="O766" s="116">
        <v>7.05</v>
      </c>
      <c r="P766" s="116">
        <v>7.45</v>
      </c>
      <c r="Q766" s="116">
        <v>7.05</v>
      </c>
      <c r="R766">
        <v>1313630</v>
      </c>
    </row>
    <row r="767" spans="1:18" x14ac:dyDescent="0.25">
      <c r="A767" s="170">
        <v>43130</v>
      </c>
      <c r="B767" s="116">
        <v>7.21</v>
      </c>
      <c r="C767" s="116">
        <v>7.01</v>
      </c>
      <c r="D767" s="116">
        <v>7</v>
      </c>
      <c r="E767" s="116">
        <v>7.11</v>
      </c>
      <c r="F767" s="116">
        <v>7.01</v>
      </c>
      <c r="G767">
        <v>332724</v>
      </c>
      <c r="H767" s="116"/>
      <c r="I767" s="116"/>
      <c r="L767" s="170">
        <v>43130</v>
      </c>
      <c r="M767" s="116">
        <v>7</v>
      </c>
      <c r="N767" s="116">
        <v>7.3</v>
      </c>
      <c r="O767" s="116">
        <v>6.95</v>
      </c>
      <c r="P767" s="116">
        <v>7.15</v>
      </c>
      <c r="Q767" s="116">
        <v>7</v>
      </c>
      <c r="R767">
        <v>644168</v>
      </c>
    </row>
    <row r="768" spans="1:18" x14ac:dyDescent="0.25">
      <c r="A768" s="170">
        <v>43131</v>
      </c>
      <c r="B768" s="116">
        <v>7.17</v>
      </c>
      <c r="C768" s="116">
        <v>6.93</v>
      </c>
      <c r="D768" s="116">
        <v>6.87</v>
      </c>
      <c r="E768" s="116">
        <v>6.91</v>
      </c>
      <c r="F768" s="116">
        <v>6.93</v>
      </c>
      <c r="G768">
        <v>249086</v>
      </c>
      <c r="H768" s="116"/>
      <c r="I768" s="116"/>
      <c r="L768" s="170">
        <v>43131</v>
      </c>
      <c r="M768" s="116">
        <v>6.9</v>
      </c>
      <c r="N768" s="116">
        <v>7.1</v>
      </c>
      <c r="O768" s="116">
        <v>6.9</v>
      </c>
      <c r="P768" s="116">
        <v>7.1</v>
      </c>
      <c r="Q768" s="116">
        <v>6.9</v>
      </c>
      <c r="R768">
        <v>696627</v>
      </c>
    </row>
    <row r="769" spans="1:18" x14ac:dyDescent="0.25">
      <c r="A769" s="170">
        <v>43132</v>
      </c>
      <c r="B769" s="116">
        <v>7.25</v>
      </c>
      <c r="C769" s="116">
        <v>6.96</v>
      </c>
      <c r="D769" s="116">
        <v>6.91</v>
      </c>
      <c r="E769" s="116">
        <v>7.25</v>
      </c>
      <c r="F769" s="116">
        <v>6.96</v>
      </c>
      <c r="G769">
        <v>163445</v>
      </c>
      <c r="H769" s="116"/>
      <c r="I769" s="116"/>
      <c r="L769" s="170">
        <v>43132</v>
      </c>
      <c r="M769" s="116">
        <v>6.95</v>
      </c>
      <c r="N769" s="116">
        <v>7.2</v>
      </c>
      <c r="O769" s="116">
        <v>6.9</v>
      </c>
      <c r="P769" s="116">
        <v>7.2</v>
      </c>
      <c r="Q769" s="116">
        <v>6.95</v>
      </c>
      <c r="R769">
        <v>604869</v>
      </c>
    </row>
    <row r="770" spans="1:18" x14ac:dyDescent="0.25">
      <c r="A770" s="170">
        <v>43133</v>
      </c>
      <c r="B770" s="116">
        <v>7.09</v>
      </c>
      <c r="C770" s="116">
        <v>6.79</v>
      </c>
      <c r="D770" s="116">
        <v>6.62</v>
      </c>
      <c r="E770" s="116">
        <v>7.09</v>
      </c>
      <c r="F770" s="116">
        <v>6.79</v>
      </c>
      <c r="G770">
        <v>479561</v>
      </c>
      <c r="H770" s="116"/>
      <c r="I770" s="116"/>
      <c r="L770" s="170">
        <v>43133</v>
      </c>
      <c r="M770" s="116">
        <v>6.85</v>
      </c>
      <c r="N770" s="116">
        <v>7.1</v>
      </c>
      <c r="O770" s="116">
        <v>6.65</v>
      </c>
      <c r="P770" s="116">
        <v>7.1</v>
      </c>
      <c r="Q770" s="116">
        <v>6.85</v>
      </c>
      <c r="R770">
        <v>1675219</v>
      </c>
    </row>
    <row r="771" spans="1:18" x14ac:dyDescent="0.25">
      <c r="A771" s="170">
        <v>43136</v>
      </c>
      <c r="B771" s="116">
        <v>6.74</v>
      </c>
      <c r="C771" s="116">
        <v>6.52</v>
      </c>
      <c r="D771" s="116">
        <v>6.46</v>
      </c>
      <c r="E771" s="116">
        <v>6.65</v>
      </c>
      <c r="F771" s="116">
        <v>6.52</v>
      </c>
      <c r="G771">
        <v>465967</v>
      </c>
      <c r="H771" s="116"/>
      <c r="I771" s="116"/>
      <c r="L771" s="170">
        <v>43136</v>
      </c>
      <c r="M771" s="116">
        <v>6.55</v>
      </c>
      <c r="N771" s="116">
        <v>6.8</v>
      </c>
      <c r="O771" s="116">
        <v>6.55</v>
      </c>
      <c r="P771" s="116">
        <v>6.55</v>
      </c>
      <c r="Q771" s="116">
        <v>6.55</v>
      </c>
      <c r="R771">
        <v>611933</v>
      </c>
    </row>
    <row r="772" spans="1:18" x14ac:dyDescent="0.25">
      <c r="A772" s="170">
        <v>43137</v>
      </c>
      <c r="B772" s="116">
        <v>6.38</v>
      </c>
      <c r="C772" s="116">
        <v>6.28</v>
      </c>
      <c r="D772" s="116">
        <v>6.2</v>
      </c>
      <c r="E772" s="116">
        <v>6.22</v>
      </c>
      <c r="F772" s="116">
        <v>6.28</v>
      </c>
      <c r="G772">
        <v>501508</v>
      </c>
      <c r="H772" s="116"/>
      <c r="I772" s="116"/>
      <c r="L772" s="170">
        <v>43137</v>
      </c>
      <c r="M772" s="116">
        <v>6.25</v>
      </c>
      <c r="N772" s="116">
        <v>6.5</v>
      </c>
      <c r="O772" s="116">
        <v>6.25</v>
      </c>
      <c r="P772" s="116">
        <v>6.5</v>
      </c>
      <c r="Q772" s="116">
        <v>6.25</v>
      </c>
      <c r="R772">
        <v>563827</v>
      </c>
    </row>
    <row r="773" spans="1:18" x14ac:dyDescent="0.25">
      <c r="A773" s="170">
        <v>43138</v>
      </c>
      <c r="B773" s="116">
        <v>6.54</v>
      </c>
      <c r="C773" s="116">
        <v>6.34</v>
      </c>
      <c r="D773" s="116">
        <v>6.22</v>
      </c>
      <c r="E773" s="116">
        <v>6.35</v>
      </c>
      <c r="F773" s="116">
        <v>6.34</v>
      </c>
      <c r="G773">
        <v>236302</v>
      </c>
      <c r="H773" s="116"/>
      <c r="I773" s="116"/>
      <c r="L773" s="170">
        <v>43138</v>
      </c>
      <c r="M773" s="116">
        <v>6.3</v>
      </c>
      <c r="N773" s="116">
        <v>6.55</v>
      </c>
      <c r="O773" s="116">
        <v>6.15</v>
      </c>
      <c r="P773" s="116">
        <v>6.55</v>
      </c>
      <c r="Q773" s="116">
        <v>6.3</v>
      </c>
      <c r="R773">
        <v>826888</v>
      </c>
    </row>
    <row r="774" spans="1:18" x14ac:dyDescent="0.25">
      <c r="A774" s="170">
        <v>43139</v>
      </c>
      <c r="B774" s="116">
        <v>6.65</v>
      </c>
      <c r="C774" s="116">
        <v>6.62</v>
      </c>
      <c r="D774" s="116">
        <v>6.36</v>
      </c>
      <c r="E774" s="116">
        <v>6.5</v>
      </c>
      <c r="F774" s="116">
        <v>6.62</v>
      </c>
      <c r="G774">
        <v>412614</v>
      </c>
      <c r="H774" s="116"/>
      <c r="I774" s="116"/>
      <c r="L774" s="170">
        <v>43139</v>
      </c>
      <c r="M774" s="116">
        <v>6.6</v>
      </c>
      <c r="N774" s="116">
        <v>6.6</v>
      </c>
      <c r="O774" s="116">
        <v>6.3</v>
      </c>
      <c r="P774" s="116">
        <v>6.5</v>
      </c>
      <c r="Q774" s="116">
        <v>6.6</v>
      </c>
      <c r="R774">
        <v>867176</v>
      </c>
    </row>
    <row r="775" spans="1:18" x14ac:dyDescent="0.25">
      <c r="A775" s="170">
        <v>43140</v>
      </c>
      <c r="B775" s="116">
        <v>6.57</v>
      </c>
      <c r="C775" s="116">
        <v>6.49</v>
      </c>
      <c r="D775" s="116">
        <v>6.4</v>
      </c>
      <c r="E775" s="116">
        <v>6.4</v>
      </c>
      <c r="F775" s="116">
        <v>6.49</v>
      </c>
      <c r="G775">
        <v>105371</v>
      </c>
      <c r="H775" s="116"/>
      <c r="I775" s="116"/>
      <c r="L775" s="170">
        <v>43140</v>
      </c>
      <c r="M775" s="116">
        <v>6.5</v>
      </c>
      <c r="N775" s="116">
        <v>6.55</v>
      </c>
      <c r="O775" s="116">
        <v>6.35</v>
      </c>
      <c r="P775" s="116">
        <v>6.5</v>
      </c>
      <c r="Q775" s="116">
        <v>6.5</v>
      </c>
      <c r="R775">
        <v>511487</v>
      </c>
    </row>
    <row r="776" spans="1:18" x14ac:dyDescent="0.25">
      <c r="A776" s="170">
        <v>43143</v>
      </c>
      <c r="B776" s="116">
        <v>6.7</v>
      </c>
      <c r="C776" s="116">
        <v>6.65</v>
      </c>
      <c r="D776" s="116">
        <v>6.53</v>
      </c>
      <c r="E776" s="116">
        <v>6.65</v>
      </c>
      <c r="F776" s="116">
        <v>6.65</v>
      </c>
      <c r="G776">
        <v>196419</v>
      </c>
      <c r="H776" s="116"/>
      <c r="I776" s="116"/>
      <c r="L776" s="170">
        <v>43143</v>
      </c>
      <c r="M776" s="116">
        <v>6.65</v>
      </c>
      <c r="N776" s="116">
        <v>6.7</v>
      </c>
      <c r="O776" s="116">
        <v>6.5</v>
      </c>
      <c r="P776" s="116">
        <v>6.5</v>
      </c>
      <c r="Q776" s="116">
        <v>6.65</v>
      </c>
      <c r="R776">
        <v>731413</v>
      </c>
    </row>
    <row r="777" spans="1:18" x14ac:dyDescent="0.25">
      <c r="A777" s="170">
        <v>43145</v>
      </c>
      <c r="B777" s="116">
        <v>6.95</v>
      </c>
      <c r="C777" s="116">
        <v>6.81</v>
      </c>
      <c r="D777" s="116">
        <v>6.54</v>
      </c>
      <c r="E777" s="116">
        <v>6.65</v>
      </c>
      <c r="F777" s="116">
        <v>6.81</v>
      </c>
      <c r="G777">
        <v>318475</v>
      </c>
      <c r="H777" s="116"/>
      <c r="I777" s="116"/>
      <c r="L777" s="170">
        <v>43145</v>
      </c>
      <c r="M777" s="116">
        <v>6.8</v>
      </c>
      <c r="N777" s="116">
        <v>6.95</v>
      </c>
      <c r="O777" s="116">
        <v>6.65</v>
      </c>
      <c r="P777" s="116">
        <v>6.75</v>
      </c>
      <c r="Q777" s="116">
        <v>6.8</v>
      </c>
      <c r="R777">
        <v>1203487</v>
      </c>
    </row>
    <row r="778" spans="1:18" x14ac:dyDescent="0.25">
      <c r="A778" s="170">
        <v>43146</v>
      </c>
      <c r="B778" s="116">
        <v>6.94</v>
      </c>
      <c r="C778" s="116">
        <v>6.57</v>
      </c>
      <c r="D778" s="116">
        <v>6.55</v>
      </c>
      <c r="E778" s="116">
        <v>6.94</v>
      </c>
      <c r="F778" s="116">
        <v>6.57</v>
      </c>
      <c r="G778">
        <v>229084</v>
      </c>
      <c r="H778" s="116"/>
      <c r="I778" s="116"/>
      <c r="L778" s="170">
        <v>43146</v>
      </c>
      <c r="M778" s="116">
        <v>6.55</v>
      </c>
      <c r="N778" s="116">
        <v>6.95</v>
      </c>
      <c r="O778" s="116">
        <v>6.55</v>
      </c>
      <c r="P778" s="116">
        <v>6.95</v>
      </c>
      <c r="Q778" s="116">
        <v>6.55</v>
      </c>
      <c r="R778">
        <v>608984</v>
      </c>
    </row>
    <row r="779" spans="1:18" x14ac:dyDescent="0.25">
      <c r="A779" s="170">
        <v>43147</v>
      </c>
      <c r="B779" s="116">
        <v>6.68</v>
      </c>
      <c r="C779" s="116">
        <v>6.47</v>
      </c>
      <c r="D779" s="116">
        <v>6.35</v>
      </c>
      <c r="E779" s="116">
        <v>6.55</v>
      </c>
      <c r="F779" s="116">
        <v>6.47</v>
      </c>
      <c r="G779">
        <v>148696</v>
      </c>
      <c r="H779" s="116"/>
      <c r="I779" s="116"/>
      <c r="L779" s="170">
        <v>43147</v>
      </c>
      <c r="M779" s="116">
        <v>6.45</v>
      </c>
      <c r="N779" s="116">
        <v>6.7</v>
      </c>
      <c r="O779" s="116">
        <v>6.4</v>
      </c>
      <c r="P779" s="116">
        <v>6.65</v>
      </c>
      <c r="Q779" s="116">
        <v>6.45</v>
      </c>
      <c r="R779">
        <v>590955</v>
      </c>
    </row>
    <row r="780" spans="1:18" x14ac:dyDescent="0.25">
      <c r="A780" s="170">
        <v>43150</v>
      </c>
      <c r="B780" s="116">
        <v>6.5</v>
      </c>
      <c r="C780" s="116">
        <v>6.3</v>
      </c>
      <c r="D780" s="116">
        <v>6.21</v>
      </c>
      <c r="E780" s="116">
        <v>6.5</v>
      </c>
      <c r="F780" s="116">
        <v>6.3</v>
      </c>
      <c r="G780">
        <v>209979</v>
      </c>
      <c r="H780" s="116"/>
      <c r="I780" s="116"/>
      <c r="L780" s="170">
        <v>43150</v>
      </c>
      <c r="M780" s="116">
        <v>6.35</v>
      </c>
      <c r="N780" s="116">
        <v>6.6</v>
      </c>
      <c r="O780" s="116">
        <v>6.2</v>
      </c>
      <c r="P780" s="116">
        <v>6.55</v>
      </c>
      <c r="Q780" s="116">
        <v>6.35</v>
      </c>
      <c r="R780">
        <v>1023254</v>
      </c>
    </row>
    <row r="781" spans="1:18" x14ac:dyDescent="0.25">
      <c r="A781" s="170">
        <v>43151</v>
      </c>
      <c r="B781" s="116">
        <v>6.37</v>
      </c>
      <c r="C781" s="116">
        <v>6.25</v>
      </c>
      <c r="D781" s="116">
        <v>6.21</v>
      </c>
      <c r="E781" s="116">
        <v>6.22</v>
      </c>
      <c r="F781" s="116">
        <v>6.25</v>
      </c>
      <c r="G781">
        <v>220262</v>
      </c>
      <c r="H781" s="116"/>
      <c r="I781" s="116"/>
      <c r="L781" s="170">
        <v>43151</v>
      </c>
      <c r="M781" s="116">
        <v>6.3</v>
      </c>
      <c r="N781" s="116">
        <v>6.45</v>
      </c>
      <c r="O781" s="116">
        <v>6.2</v>
      </c>
      <c r="P781" s="116">
        <v>6.45</v>
      </c>
      <c r="Q781" s="116">
        <v>6.3</v>
      </c>
      <c r="R781">
        <v>721307</v>
      </c>
    </row>
    <row r="782" spans="1:18" x14ac:dyDescent="0.25">
      <c r="A782" s="170">
        <v>43152</v>
      </c>
      <c r="B782" s="116">
        <v>6.31</v>
      </c>
      <c r="C782" s="116">
        <v>6.25</v>
      </c>
      <c r="D782" s="116">
        <v>6.2</v>
      </c>
      <c r="E782" s="116">
        <v>6.3</v>
      </c>
      <c r="F782" s="116">
        <v>6.25</v>
      </c>
      <c r="G782">
        <v>208679</v>
      </c>
      <c r="H782" s="116"/>
      <c r="I782" s="116"/>
      <c r="L782" s="170">
        <v>43152</v>
      </c>
      <c r="M782" s="116">
        <v>6.2</v>
      </c>
      <c r="N782" s="116">
        <v>6.4</v>
      </c>
      <c r="O782" s="116">
        <v>6.15</v>
      </c>
      <c r="P782" s="116">
        <v>6.4</v>
      </c>
      <c r="Q782" s="116">
        <v>6.2</v>
      </c>
      <c r="R782">
        <v>710918</v>
      </c>
    </row>
    <row r="783" spans="1:18" x14ac:dyDescent="0.25">
      <c r="A783" s="170">
        <v>43153</v>
      </c>
      <c r="B783" s="116">
        <v>6.25</v>
      </c>
      <c r="C783" s="116">
        <v>6.11</v>
      </c>
      <c r="D783" s="116">
        <v>6.01</v>
      </c>
      <c r="E783" s="116">
        <v>6.25</v>
      </c>
      <c r="F783" s="116">
        <v>6.11</v>
      </c>
      <c r="G783">
        <v>130669</v>
      </c>
      <c r="H783" s="116"/>
      <c r="I783" s="116"/>
      <c r="L783" s="170">
        <v>43153</v>
      </c>
      <c r="M783" s="116">
        <v>6.15</v>
      </c>
      <c r="N783" s="116">
        <v>6.3</v>
      </c>
      <c r="O783" s="116">
        <v>6.1</v>
      </c>
      <c r="P783" s="116">
        <v>6.3</v>
      </c>
      <c r="Q783" s="116">
        <v>6.15</v>
      </c>
      <c r="R783">
        <v>619530</v>
      </c>
    </row>
    <row r="784" spans="1:18" x14ac:dyDescent="0.25">
      <c r="A784" s="170">
        <v>43154</v>
      </c>
      <c r="B784" s="116">
        <v>6.27</v>
      </c>
      <c r="C784" s="116">
        <v>6.17</v>
      </c>
      <c r="D784" s="116">
        <v>6.1</v>
      </c>
      <c r="E784" s="116">
        <v>6.14</v>
      </c>
      <c r="F784" s="116">
        <v>6.17</v>
      </c>
      <c r="G784">
        <v>120383</v>
      </c>
      <c r="H784" s="116"/>
      <c r="I784" s="116"/>
      <c r="L784" s="170">
        <v>43154</v>
      </c>
      <c r="M784" s="116">
        <v>6.15</v>
      </c>
      <c r="N784" s="116">
        <v>6.25</v>
      </c>
      <c r="O784" s="116">
        <v>6.1</v>
      </c>
      <c r="P784" s="116">
        <v>6.1</v>
      </c>
      <c r="Q784" s="116">
        <v>6.15</v>
      </c>
      <c r="R784">
        <v>550006</v>
      </c>
    </row>
    <row r="785" spans="1:18" x14ac:dyDescent="0.25">
      <c r="A785" s="170">
        <v>43157</v>
      </c>
      <c r="B785" s="116">
        <v>6.47</v>
      </c>
      <c r="C785" s="116">
        <v>6.39</v>
      </c>
      <c r="D785" s="116">
        <v>6.1</v>
      </c>
      <c r="E785" s="116">
        <v>6.3</v>
      </c>
      <c r="F785" s="116">
        <v>6.39</v>
      </c>
      <c r="G785">
        <v>303605</v>
      </c>
      <c r="H785" s="116"/>
      <c r="I785" s="116"/>
      <c r="L785" s="170">
        <v>43157</v>
      </c>
      <c r="M785" s="116">
        <v>6.4</v>
      </c>
      <c r="N785" s="116">
        <v>6.45</v>
      </c>
      <c r="O785" s="116">
        <v>6.15</v>
      </c>
      <c r="P785" s="116">
        <v>6.3</v>
      </c>
      <c r="Q785" s="116">
        <v>6.4</v>
      </c>
      <c r="R785">
        <v>1144689</v>
      </c>
    </row>
    <row r="786" spans="1:18" x14ac:dyDescent="0.25">
      <c r="A786" s="170">
        <v>43158</v>
      </c>
      <c r="B786" s="116">
        <v>6.42</v>
      </c>
      <c r="C786" s="116">
        <v>6.24</v>
      </c>
      <c r="D786" s="116">
        <v>6.1</v>
      </c>
      <c r="E786" s="116">
        <v>6.39</v>
      </c>
      <c r="F786" s="116">
        <v>6.24</v>
      </c>
      <c r="G786">
        <v>123732</v>
      </c>
      <c r="H786" s="116"/>
      <c r="I786" s="116"/>
      <c r="L786" s="170">
        <v>43158</v>
      </c>
      <c r="M786" s="116">
        <v>6.25</v>
      </c>
      <c r="N786" s="116">
        <v>6.4</v>
      </c>
      <c r="O786" s="116">
        <v>6.2</v>
      </c>
      <c r="P786" s="116">
        <v>6.4</v>
      </c>
      <c r="Q786" s="116">
        <v>6.25</v>
      </c>
      <c r="R786">
        <v>573684</v>
      </c>
    </row>
    <row r="787" spans="1:18" x14ac:dyDescent="0.25">
      <c r="A787" s="170">
        <v>43159</v>
      </c>
      <c r="B787" s="116">
        <v>6.25</v>
      </c>
      <c r="C787" s="116">
        <v>6.21</v>
      </c>
      <c r="D787" s="116">
        <v>6.03</v>
      </c>
      <c r="E787" s="116">
        <v>6.14</v>
      </c>
      <c r="F787" s="116">
        <v>6.21</v>
      </c>
      <c r="G787">
        <v>132109</v>
      </c>
      <c r="H787" s="116"/>
      <c r="I787" s="116"/>
      <c r="L787" s="170">
        <v>43159</v>
      </c>
      <c r="M787" s="116">
        <v>6.2</v>
      </c>
      <c r="N787" s="116">
        <v>6.25</v>
      </c>
      <c r="O787" s="116">
        <v>6.1</v>
      </c>
      <c r="P787" s="116">
        <v>6.1</v>
      </c>
      <c r="Q787" s="116">
        <v>6.2</v>
      </c>
      <c r="R787">
        <v>401990</v>
      </c>
    </row>
    <row r="788" spans="1:18" x14ac:dyDescent="0.25">
      <c r="A788" s="170">
        <v>43160</v>
      </c>
      <c r="B788" s="116">
        <v>6.29</v>
      </c>
      <c r="C788" s="116">
        <v>6.18</v>
      </c>
      <c r="D788" s="116">
        <v>6.11</v>
      </c>
      <c r="E788" s="116">
        <v>6.11</v>
      </c>
      <c r="F788" s="116">
        <v>6.18</v>
      </c>
      <c r="G788">
        <v>99232</v>
      </c>
      <c r="H788" s="116"/>
      <c r="I788" s="116"/>
      <c r="L788" s="170">
        <v>43160</v>
      </c>
      <c r="M788" s="116">
        <v>6.15</v>
      </c>
      <c r="N788" s="116">
        <v>6.3</v>
      </c>
      <c r="O788" s="116">
        <v>6.1</v>
      </c>
      <c r="P788" s="116">
        <v>6.3</v>
      </c>
      <c r="Q788" s="116">
        <v>6.15</v>
      </c>
      <c r="R788">
        <v>381447</v>
      </c>
    </row>
    <row r="789" spans="1:18" x14ac:dyDescent="0.25">
      <c r="A789" s="170">
        <v>43164</v>
      </c>
      <c r="B789" s="116">
        <v>6.21</v>
      </c>
      <c r="C789" s="116">
        <v>5.9</v>
      </c>
      <c r="D789" s="116">
        <v>5.89</v>
      </c>
      <c r="E789" s="116">
        <v>6.15</v>
      </c>
      <c r="F789" s="116">
        <v>5.9</v>
      </c>
      <c r="G789">
        <v>350763</v>
      </c>
      <c r="H789" s="116"/>
      <c r="I789" s="116"/>
      <c r="L789" s="170">
        <v>43164</v>
      </c>
      <c r="M789" s="116">
        <v>5.9</v>
      </c>
      <c r="N789" s="116">
        <v>6.2</v>
      </c>
      <c r="O789" s="116">
        <v>5.85</v>
      </c>
      <c r="P789" s="116">
        <v>6.15</v>
      </c>
      <c r="Q789" s="116">
        <v>5.9</v>
      </c>
      <c r="R789">
        <v>1401514</v>
      </c>
    </row>
    <row r="790" spans="1:18" x14ac:dyDescent="0.25">
      <c r="A790" s="170">
        <v>43165</v>
      </c>
      <c r="B790" s="116">
        <v>6.05</v>
      </c>
      <c r="C790" s="116">
        <v>5.83</v>
      </c>
      <c r="D790" s="116">
        <v>5.8</v>
      </c>
      <c r="E790" s="116">
        <v>6</v>
      </c>
      <c r="F790" s="116">
        <v>5.83</v>
      </c>
      <c r="G790">
        <v>136218</v>
      </c>
      <c r="H790" s="116"/>
      <c r="I790" s="116"/>
      <c r="L790" s="170">
        <v>43165</v>
      </c>
      <c r="M790" s="116">
        <v>5.8</v>
      </c>
      <c r="N790" s="116">
        <v>6.05</v>
      </c>
      <c r="O790" s="116">
        <v>5.8</v>
      </c>
      <c r="P790" s="116">
        <v>6</v>
      </c>
      <c r="Q790" s="116">
        <v>5.8</v>
      </c>
      <c r="R790">
        <v>433629</v>
      </c>
    </row>
    <row r="791" spans="1:18" x14ac:dyDescent="0.25">
      <c r="A791" s="170">
        <v>43166</v>
      </c>
      <c r="B791" s="116">
        <v>5.9</v>
      </c>
      <c r="C791" s="116">
        <v>5.61</v>
      </c>
      <c r="D791" s="116">
        <v>5.55</v>
      </c>
      <c r="E791" s="116">
        <v>5.85</v>
      </c>
      <c r="F791" s="116">
        <v>5.61</v>
      </c>
      <c r="G791">
        <v>295924</v>
      </c>
      <c r="H791" s="116"/>
      <c r="I791" s="116"/>
      <c r="L791" s="170">
        <v>43166</v>
      </c>
      <c r="M791" s="116">
        <v>5.6</v>
      </c>
      <c r="N791" s="116">
        <v>5.9</v>
      </c>
      <c r="O791" s="116">
        <v>5.55</v>
      </c>
      <c r="P791" s="116">
        <v>5.8</v>
      </c>
      <c r="Q791" s="116">
        <v>5.6</v>
      </c>
      <c r="R791">
        <v>1071370</v>
      </c>
    </row>
    <row r="792" spans="1:18" x14ac:dyDescent="0.25">
      <c r="A792" s="170">
        <v>43167</v>
      </c>
      <c r="B792" s="116">
        <v>5.89</v>
      </c>
      <c r="C792" s="116">
        <v>5.76</v>
      </c>
      <c r="D792" s="116">
        <v>5.65</v>
      </c>
      <c r="E792" s="116">
        <v>5.65</v>
      </c>
      <c r="F792" s="116">
        <v>5.76</v>
      </c>
      <c r="G792">
        <v>271203</v>
      </c>
      <c r="H792" s="116"/>
      <c r="I792" s="116"/>
      <c r="L792" s="170">
        <v>43167</v>
      </c>
      <c r="M792" s="116">
        <v>5.75</v>
      </c>
      <c r="N792" s="116">
        <v>5.85</v>
      </c>
      <c r="O792" s="116">
        <v>5.65</v>
      </c>
      <c r="P792" s="116">
        <v>5.7</v>
      </c>
      <c r="Q792" s="116">
        <v>5.75</v>
      </c>
      <c r="R792">
        <v>1157053</v>
      </c>
    </row>
    <row r="793" spans="1:18" x14ac:dyDescent="0.25">
      <c r="A793" s="170">
        <v>43168</v>
      </c>
      <c r="B793" s="116">
        <v>5.9</v>
      </c>
      <c r="C793" s="116">
        <v>5.72</v>
      </c>
      <c r="D793" s="116">
        <v>5.62</v>
      </c>
      <c r="E793" s="116">
        <v>5.62</v>
      </c>
      <c r="F793" s="116">
        <v>5.72</v>
      </c>
      <c r="G793">
        <v>184615</v>
      </c>
      <c r="H793" s="116"/>
      <c r="I793" s="116"/>
      <c r="L793" s="170">
        <v>43168</v>
      </c>
      <c r="M793" s="116">
        <v>5.75</v>
      </c>
      <c r="N793" s="116">
        <v>5.9</v>
      </c>
      <c r="O793" s="116">
        <v>5.75</v>
      </c>
      <c r="P793" s="116">
        <v>5.85</v>
      </c>
      <c r="Q793" s="116">
        <v>5.75</v>
      </c>
      <c r="R793">
        <v>587639</v>
      </c>
    </row>
    <row r="794" spans="1:18" x14ac:dyDescent="0.25">
      <c r="A794" s="170">
        <v>43171</v>
      </c>
      <c r="B794" s="116">
        <v>5.77</v>
      </c>
      <c r="C794" s="116">
        <v>5.56</v>
      </c>
      <c r="D794" s="116">
        <v>5.46</v>
      </c>
      <c r="E794" s="116">
        <v>5.75</v>
      </c>
      <c r="F794" s="116">
        <v>5.56</v>
      </c>
      <c r="G794">
        <v>485774</v>
      </c>
      <c r="H794" s="116"/>
      <c r="I794" s="116"/>
      <c r="L794" s="170">
        <v>43171</v>
      </c>
      <c r="M794" s="116">
        <v>5.6</v>
      </c>
      <c r="N794" s="116">
        <v>5.85</v>
      </c>
      <c r="O794" s="116">
        <v>5.55</v>
      </c>
      <c r="P794" s="116">
        <v>5.75</v>
      </c>
      <c r="Q794" s="116">
        <v>5.6</v>
      </c>
      <c r="R794">
        <v>746224</v>
      </c>
    </row>
    <row r="795" spans="1:18" x14ac:dyDescent="0.25">
      <c r="A795" s="170">
        <v>43172</v>
      </c>
      <c r="B795" s="116">
        <v>5.83</v>
      </c>
      <c r="C795" s="116">
        <v>5.83</v>
      </c>
      <c r="D795" s="116">
        <v>5.65</v>
      </c>
      <c r="E795" s="116">
        <v>5.65</v>
      </c>
      <c r="F795" s="116">
        <v>5.83</v>
      </c>
      <c r="G795">
        <v>83766</v>
      </c>
      <c r="H795" s="116"/>
      <c r="I795" s="116"/>
      <c r="L795" s="170">
        <v>43172</v>
      </c>
      <c r="M795" s="116">
        <v>5.85</v>
      </c>
      <c r="N795" s="116">
        <v>5.85</v>
      </c>
      <c r="O795" s="116">
        <v>5.65</v>
      </c>
      <c r="P795" s="116">
        <v>5.65</v>
      </c>
      <c r="Q795" s="116">
        <v>5.85</v>
      </c>
      <c r="R795">
        <v>605107</v>
      </c>
    </row>
    <row r="796" spans="1:18" x14ac:dyDescent="0.25">
      <c r="A796" s="170">
        <v>43173</v>
      </c>
      <c r="B796" s="116">
        <v>6.12</v>
      </c>
      <c r="C796" s="116">
        <v>6.12</v>
      </c>
      <c r="D796" s="116">
        <v>5.83</v>
      </c>
      <c r="E796" s="116">
        <v>6</v>
      </c>
      <c r="F796" s="116">
        <v>6.12</v>
      </c>
      <c r="G796">
        <v>225911</v>
      </c>
      <c r="H796" s="116"/>
      <c r="I796" s="116"/>
      <c r="L796" s="170">
        <v>43173</v>
      </c>
      <c r="M796" s="116">
        <v>6.1</v>
      </c>
      <c r="N796" s="116">
        <v>6.1</v>
      </c>
      <c r="O796" s="116">
        <v>5.95</v>
      </c>
      <c r="P796" s="116">
        <v>5.95</v>
      </c>
      <c r="Q796" s="116">
        <v>6.1</v>
      </c>
      <c r="R796">
        <v>596862</v>
      </c>
    </row>
    <row r="797" spans="1:18" x14ac:dyDescent="0.25">
      <c r="A797" s="170">
        <v>43174</v>
      </c>
      <c r="B797" s="116">
        <v>6.42</v>
      </c>
      <c r="C797" s="116">
        <v>6.42</v>
      </c>
      <c r="D797" s="116">
        <v>6.1</v>
      </c>
      <c r="E797" s="116">
        <v>6.38</v>
      </c>
      <c r="F797" s="116">
        <v>6.42</v>
      </c>
      <c r="G797">
        <v>563312</v>
      </c>
      <c r="H797" s="116"/>
      <c r="I797" s="116"/>
      <c r="L797" s="170">
        <v>43174</v>
      </c>
      <c r="M797" s="116">
        <v>6.4</v>
      </c>
      <c r="N797" s="116">
        <v>6.4</v>
      </c>
      <c r="O797" s="116">
        <v>6.2</v>
      </c>
      <c r="P797" s="116">
        <v>6.4</v>
      </c>
      <c r="Q797" s="116">
        <v>6.4</v>
      </c>
      <c r="R797">
        <v>1086669</v>
      </c>
    </row>
    <row r="798" spans="1:18" x14ac:dyDescent="0.25">
      <c r="A798" s="170">
        <v>43175</v>
      </c>
      <c r="B798" s="116">
        <v>6.74</v>
      </c>
      <c r="C798" s="116">
        <v>6.74</v>
      </c>
      <c r="D798" s="116">
        <v>6.55</v>
      </c>
      <c r="E798" s="116">
        <v>6.72</v>
      </c>
      <c r="F798" s="116">
        <v>6.74</v>
      </c>
      <c r="G798">
        <v>1029805</v>
      </c>
      <c r="H798" s="116"/>
      <c r="I798" s="116"/>
      <c r="L798" s="170">
        <v>43175</v>
      </c>
      <c r="M798" s="116">
        <v>6.7</v>
      </c>
      <c r="N798" s="116">
        <v>6.7</v>
      </c>
      <c r="O798" s="116">
        <v>6.5</v>
      </c>
      <c r="P798" s="116">
        <v>6.7</v>
      </c>
      <c r="Q798" s="116">
        <v>6.7</v>
      </c>
      <c r="R798">
        <v>1265398</v>
      </c>
    </row>
    <row r="799" spans="1:18" x14ac:dyDescent="0.25">
      <c r="A799" s="170">
        <v>43178</v>
      </c>
      <c r="B799" s="116">
        <v>7.04</v>
      </c>
      <c r="C799" s="116">
        <v>6.41</v>
      </c>
      <c r="D799" s="116">
        <v>6.41</v>
      </c>
      <c r="E799" s="116">
        <v>7.04</v>
      </c>
      <c r="F799" s="116">
        <v>6.41</v>
      </c>
      <c r="G799">
        <v>200706</v>
      </c>
      <c r="H799" s="116"/>
      <c r="I799" s="116"/>
      <c r="L799" s="170">
        <v>43178</v>
      </c>
      <c r="M799" s="116">
        <v>6.4</v>
      </c>
      <c r="N799" s="116">
        <v>6.95</v>
      </c>
      <c r="O799" s="116">
        <v>6.4</v>
      </c>
      <c r="P799" s="116">
        <v>6.8</v>
      </c>
      <c r="Q799" s="116">
        <v>6.4</v>
      </c>
      <c r="R799">
        <v>816541</v>
      </c>
    </row>
    <row r="800" spans="1:18" x14ac:dyDescent="0.25">
      <c r="A800" s="170">
        <v>43179</v>
      </c>
      <c r="B800" s="116">
        <v>6.6</v>
      </c>
      <c r="C800" s="116">
        <v>6.24</v>
      </c>
      <c r="D800" s="116">
        <v>6.09</v>
      </c>
      <c r="E800" s="116">
        <v>6.39</v>
      </c>
      <c r="F800" s="116">
        <v>6.24</v>
      </c>
      <c r="G800">
        <v>441527</v>
      </c>
      <c r="H800" s="116"/>
      <c r="I800" s="116"/>
      <c r="L800" s="170">
        <v>43179</v>
      </c>
      <c r="M800" s="116">
        <v>6.25</v>
      </c>
      <c r="N800" s="116">
        <v>6.6</v>
      </c>
      <c r="O800" s="116">
        <v>6.1</v>
      </c>
      <c r="P800" s="116">
        <v>6.15</v>
      </c>
      <c r="Q800" s="116">
        <v>6.25</v>
      </c>
      <c r="R800">
        <v>1036260</v>
      </c>
    </row>
    <row r="801" spans="1:18" x14ac:dyDescent="0.25">
      <c r="A801" s="170">
        <v>43180</v>
      </c>
      <c r="B801" s="116">
        <v>6.32</v>
      </c>
      <c r="C801" s="116">
        <v>6.03</v>
      </c>
      <c r="D801" s="116">
        <v>6.01</v>
      </c>
      <c r="E801" s="116">
        <v>6.3</v>
      </c>
      <c r="F801" s="116">
        <v>6.03</v>
      </c>
      <c r="G801">
        <v>212377</v>
      </c>
      <c r="H801" s="116"/>
      <c r="I801" s="116"/>
      <c r="L801" s="170">
        <v>43180</v>
      </c>
      <c r="M801" s="116">
        <v>6</v>
      </c>
      <c r="N801" s="116">
        <v>6.4</v>
      </c>
      <c r="O801" s="116">
        <v>6</v>
      </c>
      <c r="P801" s="116">
        <v>6.4</v>
      </c>
      <c r="Q801" s="116">
        <v>6</v>
      </c>
      <c r="R801">
        <v>1342568</v>
      </c>
    </row>
    <row r="802" spans="1:18" x14ac:dyDescent="0.25">
      <c r="A802" s="170">
        <v>43181</v>
      </c>
      <c r="B802" s="116">
        <v>6.14</v>
      </c>
      <c r="C802" s="116">
        <v>5.87</v>
      </c>
      <c r="D802" s="116">
        <v>5.82</v>
      </c>
      <c r="E802" s="116">
        <v>6</v>
      </c>
      <c r="F802" s="116">
        <v>5.87</v>
      </c>
      <c r="G802">
        <v>155854</v>
      </c>
      <c r="H802" s="116"/>
      <c r="I802" s="116"/>
      <c r="L802" s="170">
        <v>43181</v>
      </c>
      <c r="M802" s="116">
        <v>5.9</v>
      </c>
      <c r="N802" s="116">
        <v>6.15</v>
      </c>
      <c r="O802" s="116">
        <v>5.8</v>
      </c>
      <c r="P802" s="116">
        <v>6</v>
      </c>
      <c r="Q802" s="116">
        <v>5.9</v>
      </c>
      <c r="R802">
        <v>696545</v>
      </c>
    </row>
    <row r="803" spans="1:18" x14ac:dyDescent="0.25">
      <c r="A803" s="170">
        <v>43182</v>
      </c>
      <c r="B803" s="116">
        <v>5.88</v>
      </c>
      <c r="C803" s="116">
        <v>5.71</v>
      </c>
      <c r="D803" s="116">
        <v>5.6</v>
      </c>
      <c r="E803" s="116">
        <v>5.88</v>
      </c>
      <c r="F803" s="116">
        <v>5.71</v>
      </c>
      <c r="G803">
        <v>276947</v>
      </c>
      <c r="H803" s="116"/>
      <c r="I803" s="116"/>
      <c r="L803" s="170">
        <v>43182</v>
      </c>
      <c r="M803" s="116">
        <v>5.7</v>
      </c>
      <c r="N803" s="116">
        <v>5.9</v>
      </c>
      <c r="O803" s="116">
        <v>5.65</v>
      </c>
      <c r="P803" s="116">
        <v>5.7</v>
      </c>
      <c r="Q803" s="116">
        <v>5.7</v>
      </c>
      <c r="R803">
        <v>1308701</v>
      </c>
    </row>
    <row r="804" spans="1:18" x14ac:dyDescent="0.25">
      <c r="A804" s="170">
        <v>43185</v>
      </c>
      <c r="B804" s="116">
        <v>5.85</v>
      </c>
      <c r="C804" s="116">
        <v>5.6</v>
      </c>
      <c r="D804" s="116">
        <v>5.45</v>
      </c>
      <c r="E804" s="116">
        <v>5.59</v>
      </c>
      <c r="F804" s="116">
        <v>5.6</v>
      </c>
      <c r="G804">
        <v>442966</v>
      </c>
      <c r="H804" s="116"/>
      <c r="I804" s="116"/>
      <c r="L804" s="170">
        <v>43185</v>
      </c>
      <c r="M804" s="116">
        <v>5.6</v>
      </c>
      <c r="N804" s="116">
        <v>5.9</v>
      </c>
      <c r="O804" s="116">
        <v>5.45</v>
      </c>
      <c r="P804" s="116">
        <v>5.65</v>
      </c>
      <c r="Q804" s="116">
        <v>5.6</v>
      </c>
      <c r="R804">
        <v>1607244</v>
      </c>
    </row>
    <row r="805" spans="1:18" x14ac:dyDescent="0.25">
      <c r="A805" s="170">
        <v>43186</v>
      </c>
      <c r="B805" s="116">
        <v>5.84</v>
      </c>
      <c r="C805" s="116">
        <v>5.63</v>
      </c>
      <c r="D805" s="116">
        <v>5.57</v>
      </c>
      <c r="E805" s="116">
        <v>5.57</v>
      </c>
      <c r="F805" s="116">
        <v>5.63</v>
      </c>
      <c r="G805">
        <v>156428</v>
      </c>
      <c r="H805" s="116"/>
      <c r="I805" s="116"/>
      <c r="L805" s="170">
        <v>43186</v>
      </c>
      <c r="M805" s="116">
        <v>5.65</v>
      </c>
      <c r="N805" s="116">
        <v>5.8</v>
      </c>
      <c r="O805" s="116">
        <v>5.6</v>
      </c>
      <c r="P805" s="116">
        <v>5.7</v>
      </c>
      <c r="Q805" s="116">
        <v>5.65</v>
      </c>
      <c r="R805">
        <v>675621</v>
      </c>
    </row>
    <row r="806" spans="1:18" x14ac:dyDescent="0.25">
      <c r="A806" s="170">
        <v>43187</v>
      </c>
      <c r="B806" s="116">
        <v>5.74</v>
      </c>
      <c r="C806" s="116">
        <v>5.51</v>
      </c>
      <c r="D806" s="116">
        <v>5.4</v>
      </c>
      <c r="E806" s="116">
        <v>5.52</v>
      </c>
      <c r="F806" s="116">
        <v>5.51</v>
      </c>
      <c r="G806">
        <v>227986</v>
      </c>
      <c r="H806" s="116"/>
      <c r="I806" s="116"/>
      <c r="L806" s="170">
        <v>43187</v>
      </c>
      <c r="M806" s="116">
        <v>5.55</v>
      </c>
      <c r="N806" s="116">
        <v>5.8</v>
      </c>
      <c r="O806" s="116">
        <v>5.5</v>
      </c>
      <c r="P806" s="116">
        <v>5.8</v>
      </c>
      <c r="Q806" s="116">
        <v>5.55</v>
      </c>
      <c r="R806">
        <v>590714</v>
      </c>
    </row>
    <row r="807" spans="1:18" x14ac:dyDescent="0.25">
      <c r="A807" s="170">
        <v>43192</v>
      </c>
      <c r="B807" s="116">
        <v>5.73</v>
      </c>
      <c r="C807" s="116">
        <v>5.63</v>
      </c>
      <c r="D807" s="116">
        <v>5.5</v>
      </c>
      <c r="E807" s="116">
        <v>5.55</v>
      </c>
      <c r="F807" s="116">
        <v>5.63</v>
      </c>
      <c r="G807">
        <v>118888</v>
      </c>
      <c r="H807" s="116"/>
      <c r="I807" s="116"/>
      <c r="L807" s="170">
        <v>43192</v>
      </c>
      <c r="M807" s="116">
        <v>5.65</v>
      </c>
      <c r="N807" s="116">
        <v>5.7</v>
      </c>
      <c r="O807" s="116">
        <v>5.5</v>
      </c>
      <c r="P807" s="116">
        <v>5.5</v>
      </c>
      <c r="Q807" s="116">
        <v>5.65</v>
      </c>
      <c r="R807">
        <v>511072</v>
      </c>
    </row>
    <row r="808" spans="1:18" x14ac:dyDescent="0.25">
      <c r="A808" s="170">
        <v>43193</v>
      </c>
      <c r="B808" s="116">
        <v>5.75</v>
      </c>
      <c r="C808" s="116">
        <v>5.72</v>
      </c>
      <c r="D808" s="116">
        <v>5.6</v>
      </c>
      <c r="E808" s="116">
        <v>5.6</v>
      </c>
      <c r="F808" s="116">
        <v>5.72</v>
      </c>
      <c r="G808">
        <v>108912</v>
      </c>
      <c r="H808" s="116"/>
      <c r="I808" s="116"/>
      <c r="L808" s="170">
        <v>43193</v>
      </c>
      <c r="M808" s="116">
        <v>5.7</v>
      </c>
      <c r="N808" s="116">
        <v>5.8</v>
      </c>
      <c r="O808" s="116">
        <v>5.65</v>
      </c>
      <c r="P808" s="116">
        <v>5.75</v>
      </c>
      <c r="Q808" s="116">
        <v>5.7</v>
      </c>
      <c r="R808">
        <v>350957</v>
      </c>
    </row>
    <row r="809" spans="1:18" x14ac:dyDescent="0.25">
      <c r="A809" s="170">
        <v>43194</v>
      </c>
      <c r="B809" s="116">
        <v>5.99</v>
      </c>
      <c r="C809" s="116">
        <v>5.81</v>
      </c>
      <c r="D809" s="116">
        <v>5.71</v>
      </c>
      <c r="E809" s="116">
        <v>5.71</v>
      </c>
      <c r="F809" s="116">
        <v>5.81</v>
      </c>
      <c r="G809">
        <v>245717</v>
      </c>
      <c r="H809" s="116"/>
      <c r="I809" s="116"/>
      <c r="L809" s="170">
        <v>43194</v>
      </c>
      <c r="M809" s="116">
        <v>5.8</v>
      </c>
      <c r="N809" s="116">
        <v>5.95</v>
      </c>
      <c r="O809" s="116">
        <v>5.7</v>
      </c>
      <c r="P809" s="116">
        <v>5.8</v>
      </c>
      <c r="Q809" s="116">
        <v>5.8</v>
      </c>
      <c r="R809">
        <v>657927</v>
      </c>
    </row>
    <row r="810" spans="1:18" x14ac:dyDescent="0.25">
      <c r="A810" s="170">
        <v>43195</v>
      </c>
      <c r="B810" s="116">
        <v>5.98</v>
      </c>
      <c r="C810" s="116">
        <v>5.92</v>
      </c>
      <c r="D810" s="116">
        <v>5.8</v>
      </c>
      <c r="E810" s="116">
        <v>5.85</v>
      </c>
      <c r="F810" s="116">
        <v>5.92</v>
      </c>
      <c r="G810">
        <v>277849</v>
      </c>
      <c r="H810" s="116"/>
      <c r="I810" s="116"/>
      <c r="L810" s="170">
        <v>43195</v>
      </c>
      <c r="M810" s="116">
        <v>5.95</v>
      </c>
      <c r="N810" s="116">
        <v>6.05</v>
      </c>
      <c r="O810" s="116">
        <v>5.8</v>
      </c>
      <c r="P810" s="116">
        <v>5.95</v>
      </c>
      <c r="Q810" s="116">
        <v>5.95</v>
      </c>
      <c r="R810">
        <v>691256</v>
      </c>
    </row>
    <row r="811" spans="1:18" x14ac:dyDescent="0.25">
      <c r="A811" s="170">
        <v>43196</v>
      </c>
      <c r="B811" s="116">
        <v>6.45</v>
      </c>
      <c r="C811" s="116">
        <v>6.37</v>
      </c>
      <c r="D811" s="116">
        <v>5.71</v>
      </c>
      <c r="E811" s="116">
        <v>5.71</v>
      </c>
      <c r="F811" s="116">
        <v>6.37</v>
      </c>
      <c r="G811">
        <v>372586</v>
      </c>
      <c r="H811" s="116"/>
      <c r="I811" s="116"/>
      <c r="L811" s="170">
        <v>43196</v>
      </c>
      <c r="M811" s="116">
        <v>6.35</v>
      </c>
      <c r="N811" s="116">
        <v>6.5</v>
      </c>
      <c r="O811" s="116">
        <v>5.85</v>
      </c>
      <c r="P811" s="116">
        <v>5.95</v>
      </c>
      <c r="Q811" s="116">
        <v>6.35</v>
      </c>
      <c r="R811">
        <v>1446590</v>
      </c>
    </row>
    <row r="812" spans="1:18" x14ac:dyDescent="0.25">
      <c r="A812" s="170">
        <v>43199</v>
      </c>
      <c r="B812" s="116">
        <v>6.69</v>
      </c>
      <c r="C812" s="116">
        <v>6.45</v>
      </c>
      <c r="D812" s="116">
        <v>5.82</v>
      </c>
      <c r="E812" s="116">
        <v>6.53</v>
      </c>
      <c r="F812" s="116">
        <v>6.45</v>
      </c>
      <c r="G812">
        <v>228763</v>
      </c>
      <c r="H812" s="116"/>
      <c r="I812" s="116"/>
      <c r="L812" s="170">
        <v>43199</v>
      </c>
      <c r="M812" s="116">
        <v>6.45</v>
      </c>
      <c r="N812" s="116">
        <v>6.85</v>
      </c>
      <c r="O812" s="116">
        <v>6.25</v>
      </c>
      <c r="P812" s="116">
        <v>6.85</v>
      </c>
      <c r="Q812" s="116">
        <v>6.45</v>
      </c>
      <c r="R812">
        <v>1572964</v>
      </c>
    </row>
    <row r="813" spans="1:18" x14ac:dyDescent="0.25">
      <c r="A813" s="170">
        <v>43200</v>
      </c>
      <c r="B813" s="116">
        <v>6.6</v>
      </c>
      <c r="C813" s="116">
        <v>6.45</v>
      </c>
      <c r="D813" s="116">
        <v>6.37</v>
      </c>
      <c r="E813" s="116">
        <v>6.5</v>
      </c>
      <c r="F813" s="116">
        <v>6.45</v>
      </c>
      <c r="G813">
        <v>151641</v>
      </c>
      <c r="H813" s="116"/>
      <c r="I813" s="116"/>
      <c r="L813" s="170">
        <v>43200</v>
      </c>
      <c r="M813" s="116">
        <v>6.45</v>
      </c>
      <c r="N813" s="116">
        <v>6.65</v>
      </c>
      <c r="O813" s="116">
        <v>6.35</v>
      </c>
      <c r="P813" s="116">
        <v>6.5</v>
      </c>
      <c r="Q813" s="116">
        <v>6.45</v>
      </c>
      <c r="R813">
        <v>723597</v>
      </c>
    </row>
    <row r="814" spans="1:18" x14ac:dyDescent="0.25">
      <c r="A814" s="170">
        <v>43201</v>
      </c>
      <c r="B814" s="116">
        <v>6.59</v>
      </c>
      <c r="C814" s="116">
        <v>6.37</v>
      </c>
      <c r="D814" s="116">
        <v>6.26</v>
      </c>
      <c r="E814" s="116">
        <v>6.59</v>
      </c>
      <c r="F814" s="116">
        <v>6.37</v>
      </c>
      <c r="G814">
        <v>65886</v>
      </c>
      <c r="H814" s="116"/>
      <c r="I814" s="116"/>
      <c r="L814" s="170">
        <v>43201</v>
      </c>
      <c r="M814" s="116">
        <v>6.35</v>
      </c>
      <c r="N814" s="116">
        <v>6.55</v>
      </c>
      <c r="O814" s="116">
        <v>6.3</v>
      </c>
      <c r="P814" s="116">
        <v>6.5</v>
      </c>
      <c r="Q814" s="116">
        <v>6.35</v>
      </c>
      <c r="R814">
        <v>404984</v>
      </c>
    </row>
    <row r="815" spans="1:18" x14ac:dyDescent="0.25">
      <c r="A815" s="170">
        <v>43202</v>
      </c>
      <c r="B815" s="116">
        <v>6.54</v>
      </c>
      <c r="C815" s="116">
        <v>6.14</v>
      </c>
      <c r="D815" s="116">
        <v>6.1</v>
      </c>
      <c r="E815" s="116">
        <v>6.54</v>
      </c>
      <c r="F815" s="116">
        <v>6.14</v>
      </c>
      <c r="G815">
        <v>122437</v>
      </c>
      <c r="H815" s="116"/>
      <c r="I815" s="116"/>
      <c r="L815" s="170">
        <v>43202</v>
      </c>
      <c r="M815" s="116">
        <v>6.1</v>
      </c>
      <c r="N815" s="116">
        <v>6.4</v>
      </c>
      <c r="O815" s="116">
        <v>6.05</v>
      </c>
      <c r="P815" s="116">
        <v>6.4</v>
      </c>
      <c r="Q815" s="116">
        <v>6.1</v>
      </c>
      <c r="R815">
        <v>761624</v>
      </c>
    </row>
    <row r="816" spans="1:18" x14ac:dyDescent="0.25">
      <c r="A816" s="170">
        <v>43203</v>
      </c>
      <c r="B816" s="116">
        <v>6.34</v>
      </c>
      <c r="C816" s="116">
        <v>5.96</v>
      </c>
      <c r="D816" s="116">
        <v>5.93</v>
      </c>
      <c r="E816" s="116">
        <v>6.34</v>
      </c>
      <c r="F816" s="116">
        <v>5.96</v>
      </c>
      <c r="G816">
        <v>212578</v>
      </c>
      <c r="H816" s="116"/>
      <c r="I816" s="116"/>
      <c r="L816" s="170">
        <v>43203</v>
      </c>
      <c r="M816" s="116">
        <v>5.9</v>
      </c>
      <c r="N816" s="116">
        <v>6.25</v>
      </c>
      <c r="O816" s="116">
        <v>5.9</v>
      </c>
      <c r="P816" s="116">
        <v>6.25</v>
      </c>
      <c r="Q816" s="116">
        <v>5.9</v>
      </c>
      <c r="R816">
        <v>731161</v>
      </c>
    </row>
    <row r="817" spans="1:18" x14ac:dyDescent="0.25">
      <c r="A817" s="170">
        <v>43206</v>
      </c>
      <c r="B817" s="116">
        <v>6.39</v>
      </c>
      <c r="C817" s="116">
        <v>5.95</v>
      </c>
      <c r="D817" s="116">
        <v>5.8</v>
      </c>
      <c r="E817" s="116">
        <v>5.9</v>
      </c>
      <c r="F817" s="116">
        <v>5.95</v>
      </c>
      <c r="G817">
        <v>69759</v>
      </c>
      <c r="H817" s="116"/>
      <c r="I817" s="116"/>
      <c r="L817" s="170">
        <v>43206</v>
      </c>
      <c r="M817" s="116">
        <v>6</v>
      </c>
      <c r="N817" s="116">
        <v>6.15</v>
      </c>
      <c r="O817" s="116">
        <v>5.8</v>
      </c>
      <c r="P817" s="116">
        <v>5.9</v>
      </c>
      <c r="Q817" s="116">
        <v>6</v>
      </c>
      <c r="R817">
        <v>389730</v>
      </c>
    </row>
    <row r="818" spans="1:18" x14ac:dyDescent="0.25">
      <c r="A818" s="170">
        <v>43207</v>
      </c>
      <c r="B818" s="116">
        <v>6.03</v>
      </c>
      <c r="C818" s="116">
        <v>5.75</v>
      </c>
      <c r="D818" s="116">
        <v>5.67</v>
      </c>
      <c r="E818" s="116">
        <v>6</v>
      </c>
      <c r="F818" s="116">
        <v>5.75</v>
      </c>
      <c r="G818">
        <v>181404</v>
      </c>
      <c r="H818" s="116"/>
      <c r="I818" s="116"/>
      <c r="L818" s="170">
        <v>43207</v>
      </c>
      <c r="M818" s="116">
        <v>5.8</v>
      </c>
      <c r="N818" s="116">
        <v>6</v>
      </c>
      <c r="O818" s="116">
        <v>5.6</v>
      </c>
      <c r="P818" s="116">
        <v>5.9</v>
      </c>
      <c r="Q818" s="116">
        <v>5.8</v>
      </c>
      <c r="R818">
        <v>1210667</v>
      </c>
    </row>
    <row r="819" spans="1:18" x14ac:dyDescent="0.25">
      <c r="A819" s="170">
        <v>43208</v>
      </c>
      <c r="B819" s="116">
        <v>5.99</v>
      </c>
      <c r="C819" s="116">
        <v>5.78</v>
      </c>
      <c r="D819" s="116">
        <v>5.52</v>
      </c>
      <c r="E819" s="116">
        <v>5.99</v>
      </c>
      <c r="F819" s="116">
        <v>5.78</v>
      </c>
      <c r="G819">
        <v>222121</v>
      </c>
      <c r="H819" s="116"/>
      <c r="I819" s="116"/>
      <c r="L819" s="170">
        <v>43208</v>
      </c>
      <c r="M819" s="116">
        <v>5.75</v>
      </c>
      <c r="N819" s="116">
        <v>5.9</v>
      </c>
      <c r="O819" s="116">
        <v>5.3</v>
      </c>
      <c r="P819" s="116">
        <v>5.75</v>
      </c>
      <c r="Q819" s="116">
        <v>5.75</v>
      </c>
      <c r="R819">
        <v>1236965</v>
      </c>
    </row>
    <row r="820" spans="1:18" x14ac:dyDescent="0.25">
      <c r="A820" s="170">
        <v>43209</v>
      </c>
      <c r="B820" s="116">
        <v>5.93</v>
      </c>
      <c r="C820" s="116">
        <v>5.78</v>
      </c>
      <c r="D820" s="116">
        <v>5.61</v>
      </c>
      <c r="E820" s="116">
        <v>5.67</v>
      </c>
      <c r="F820" s="116">
        <v>5.78</v>
      </c>
      <c r="G820">
        <v>238447</v>
      </c>
      <c r="H820" s="116"/>
      <c r="I820" s="116"/>
      <c r="L820" s="170">
        <v>43209</v>
      </c>
      <c r="M820" s="116">
        <v>5.75</v>
      </c>
      <c r="N820" s="116">
        <v>5.9</v>
      </c>
      <c r="O820" s="116">
        <v>5.65</v>
      </c>
      <c r="P820" s="116">
        <v>5.9</v>
      </c>
      <c r="Q820" s="116">
        <v>5.75</v>
      </c>
      <c r="R820">
        <v>743877</v>
      </c>
    </row>
    <row r="821" spans="1:18" x14ac:dyDescent="0.25">
      <c r="A821" s="170">
        <v>43210</v>
      </c>
      <c r="B821" s="116">
        <v>5.85</v>
      </c>
      <c r="C821" s="116">
        <v>5.64</v>
      </c>
      <c r="D821" s="116">
        <v>5.6</v>
      </c>
      <c r="E821" s="116">
        <v>5.78</v>
      </c>
      <c r="F821" s="116">
        <v>5.64</v>
      </c>
      <c r="G821">
        <v>276118</v>
      </c>
      <c r="H821" s="116"/>
      <c r="I821" s="116"/>
      <c r="L821" s="170">
        <v>43210</v>
      </c>
      <c r="M821" s="116">
        <v>5.7</v>
      </c>
      <c r="N821" s="116">
        <v>5.85</v>
      </c>
      <c r="O821" s="116">
        <v>5.65</v>
      </c>
      <c r="P821" s="116">
        <v>5.75</v>
      </c>
      <c r="Q821" s="116">
        <v>5.7</v>
      </c>
      <c r="R821">
        <v>617299</v>
      </c>
    </row>
    <row r="822" spans="1:18" x14ac:dyDescent="0.25">
      <c r="A822" s="170">
        <v>43213</v>
      </c>
      <c r="B822" s="116">
        <v>5.94</v>
      </c>
      <c r="C822" s="116">
        <v>5.65</v>
      </c>
      <c r="D822" s="116">
        <v>5.5</v>
      </c>
      <c r="E822" s="116">
        <v>5.67</v>
      </c>
      <c r="F822" s="116">
        <v>5.65</v>
      </c>
      <c r="G822">
        <v>160088</v>
      </c>
      <c r="H822" s="116"/>
      <c r="I822" s="116"/>
      <c r="L822" s="170">
        <v>43213</v>
      </c>
      <c r="M822" s="116">
        <v>5.65</v>
      </c>
      <c r="N822" s="116">
        <v>5.7</v>
      </c>
      <c r="O822" s="116">
        <v>5.55</v>
      </c>
      <c r="P822" s="116">
        <v>5.65</v>
      </c>
      <c r="Q822" s="116">
        <v>5.65</v>
      </c>
      <c r="R822">
        <v>510237</v>
      </c>
    </row>
    <row r="823" spans="1:18" x14ac:dyDescent="0.25">
      <c r="A823" s="170">
        <v>43214</v>
      </c>
      <c r="B823" s="116">
        <v>5.7</v>
      </c>
      <c r="C823" s="116">
        <v>5.53</v>
      </c>
      <c r="D823" s="116">
        <v>5.51</v>
      </c>
      <c r="E823" s="116">
        <v>5.65</v>
      </c>
      <c r="F823" s="116">
        <v>5.53</v>
      </c>
      <c r="G823">
        <v>163128</v>
      </c>
      <c r="H823" s="116"/>
      <c r="I823" s="116"/>
      <c r="L823" s="170">
        <v>43214</v>
      </c>
      <c r="M823" s="116">
        <v>5.55</v>
      </c>
      <c r="N823" s="116">
        <v>5.7</v>
      </c>
      <c r="O823" s="116">
        <v>5.5</v>
      </c>
      <c r="P823" s="116">
        <v>5.7</v>
      </c>
      <c r="Q823" s="116">
        <v>5.55</v>
      </c>
      <c r="R823">
        <v>592253</v>
      </c>
    </row>
    <row r="824" spans="1:18" x14ac:dyDescent="0.25">
      <c r="A824" s="170">
        <v>43215</v>
      </c>
      <c r="B824" s="116">
        <v>5.54</v>
      </c>
      <c r="C824" s="116">
        <v>5.35</v>
      </c>
      <c r="D824" s="116">
        <v>5.3</v>
      </c>
      <c r="E824" s="116">
        <v>5.54</v>
      </c>
      <c r="F824" s="116">
        <v>5.35</v>
      </c>
      <c r="G824">
        <v>245490</v>
      </c>
      <c r="H824" s="116"/>
      <c r="I824" s="116"/>
      <c r="L824" s="170">
        <v>43215</v>
      </c>
      <c r="M824" s="116">
        <v>5.35</v>
      </c>
      <c r="N824" s="116">
        <v>5.6</v>
      </c>
      <c r="O824" s="116">
        <v>5.3</v>
      </c>
      <c r="P824" s="116">
        <v>5.5</v>
      </c>
      <c r="Q824" s="116">
        <v>5.35</v>
      </c>
      <c r="R824">
        <v>1398029</v>
      </c>
    </row>
    <row r="825" spans="1:18" x14ac:dyDescent="0.25">
      <c r="A825" s="170">
        <v>43216</v>
      </c>
      <c r="B825" s="116">
        <v>5.88</v>
      </c>
      <c r="C825" s="116">
        <v>5.88</v>
      </c>
      <c r="D825" s="116">
        <v>5.31</v>
      </c>
      <c r="E825" s="116">
        <v>5.35</v>
      </c>
      <c r="F825" s="116">
        <v>5.88</v>
      </c>
      <c r="G825">
        <v>830080</v>
      </c>
      <c r="H825" s="116"/>
      <c r="I825" s="116"/>
      <c r="L825" s="170">
        <v>43216</v>
      </c>
      <c r="M825" s="116">
        <v>5.85</v>
      </c>
      <c r="N825" s="116">
        <v>5.85</v>
      </c>
      <c r="O825" s="116">
        <v>5.3</v>
      </c>
      <c r="P825" s="116">
        <v>5.5</v>
      </c>
      <c r="Q825" s="116">
        <v>5.85</v>
      </c>
      <c r="R825">
        <v>2850945</v>
      </c>
    </row>
    <row r="826" spans="1:18" x14ac:dyDescent="0.25">
      <c r="A826" s="170">
        <v>43217</v>
      </c>
      <c r="B826" s="116">
        <v>6.14</v>
      </c>
      <c r="C826" s="116">
        <v>5.77</v>
      </c>
      <c r="D826" s="116">
        <v>5.74</v>
      </c>
      <c r="E826" s="116">
        <v>6</v>
      </c>
      <c r="F826" s="116">
        <v>5.77</v>
      </c>
      <c r="G826">
        <v>527969</v>
      </c>
      <c r="H826" s="116"/>
      <c r="I826" s="116"/>
      <c r="L826" s="170">
        <v>43217</v>
      </c>
      <c r="M826" s="116">
        <v>5.8</v>
      </c>
      <c r="N826" s="116">
        <v>6.15</v>
      </c>
      <c r="O826" s="116">
        <v>5.75</v>
      </c>
      <c r="P826" s="116">
        <v>5.95</v>
      </c>
      <c r="Q826" s="116">
        <v>5.8</v>
      </c>
      <c r="R826">
        <v>1309850</v>
      </c>
    </row>
    <row r="827" spans="1:18" x14ac:dyDescent="0.25">
      <c r="A827" s="170">
        <v>43220</v>
      </c>
      <c r="B827" s="116">
        <v>5.85</v>
      </c>
      <c r="C827" s="116">
        <v>5.66</v>
      </c>
      <c r="D827" s="116">
        <v>5.4</v>
      </c>
      <c r="E827" s="116">
        <v>5.76</v>
      </c>
      <c r="F827" s="116">
        <v>5.66</v>
      </c>
      <c r="G827">
        <v>223238</v>
      </c>
      <c r="H827" s="116"/>
      <c r="I827" s="116"/>
      <c r="L827" s="170">
        <v>43220</v>
      </c>
      <c r="M827" s="116">
        <v>5.65</v>
      </c>
      <c r="N827" s="116">
        <v>5.9</v>
      </c>
      <c r="O827" s="116">
        <v>5.35</v>
      </c>
      <c r="P827" s="116">
        <v>5.9</v>
      </c>
      <c r="Q827" s="116">
        <v>5.65</v>
      </c>
      <c r="R827">
        <v>1089358</v>
      </c>
    </row>
    <row r="828" spans="1:18" x14ac:dyDescent="0.25">
      <c r="A828" s="170">
        <v>43222</v>
      </c>
      <c r="B828" s="116">
        <v>5.84</v>
      </c>
      <c r="C828" s="116">
        <v>5.57</v>
      </c>
      <c r="D828" s="116">
        <v>5.53</v>
      </c>
      <c r="E828" s="116">
        <v>5.58</v>
      </c>
      <c r="F828" s="116">
        <v>5.57</v>
      </c>
      <c r="G828">
        <v>135280</v>
      </c>
      <c r="H828" s="116"/>
      <c r="I828" s="116"/>
      <c r="L828" s="170">
        <v>43222</v>
      </c>
      <c r="M828" s="116">
        <v>5.55</v>
      </c>
      <c r="N828" s="116">
        <v>5.9</v>
      </c>
      <c r="O828" s="116">
        <v>5.5</v>
      </c>
      <c r="P828" s="116">
        <v>5.55</v>
      </c>
      <c r="Q828" s="116">
        <v>5.55</v>
      </c>
      <c r="R828">
        <v>823333</v>
      </c>
    </row>
    <row r="829" spans="1:18" x14ac:dyDescent="0.25">
      <c r="A829" s="170">
        <v>43223</v>
      </c>
      <c r="B829" s="116">
        <v>5.8</v>
      </c>
      <c r="C829" s="116">
        <v>5.7</v>
      </c>
      <c r="D829" s="116">
        <v>5.42</v>
      </c>
      <c r="E829" s="116">
        <v>5.53</v>
      </c>
      <c r="F829" s="116">
        <v>5.7</v>
      </c>
      <c r="G829">
        <v>222596</v>
      </c>
      <c r="H829" s="116"/>
      <c r="I829" s="116"/>
      <c r="L829" s="170">
        <v>43223</v>
      </c>
      <c r="M829" s="116">
        <v>5.65</v>
      </c>
      <c r="N829" s="116">
        <v>5.8</v>
      </c>
      <c r="O829" s="116">
        <v>5.4</v>
      </c>
      <c r="P829" s="116">
        <v>5.5</v>
      </c>
      <c r="Q829" s="116">
        <v>5.65</v>
      </c>
      <c r="R829">
        <v>1543701</v>
      </c>
    </row>
    <row r="830" spans="1:18" x14ac:dyDescent="0.25">
      <c r="A830" s="170">
        <v>43224</v>
      </c>
      <c r="B830" s="116">
        <v>5.68</v>
      </c>
      <c r="C830" s="116">
        <v>5.59</v>
      </c>
      <c r="D830" s="116">
        <v>5.5</v>
      </c>
      <c r="E830" s="116">
        <v>5.62</v>
      </c>
      <c r="F830" s="116">
        <v>5.59</v>
      </c>
      <c r="G830">
        <v>89448</v>
      </c>
      <c r="H830" s="116"/>
      <c r="I830" s="116"/>
      <c r="L830" s="170">
        <v>43224</v>
      </c>
      <c r="M830" s="116">
        <v>5.6</v>
      </c>
      <c r="N830" s="116">
        <v>5.75</v>
      </c>
      <c r="O830" s="116">
        <v>5.5</v>
      </c>
      <c r="P830" s="116">
        <v>5.75</v>
      </c>
      <c r="Q830" s="116">
        <v>5.6</v>
      </c>
      <c r="R830">
        <v>1120284</v>
      </c>
    </row>
    <row r="831" spans="1:18" x14ac:dyDescent="0.25">
      <c r="A831" s="170">
        <v>43227</v>
      </c>
      <c r="B831" s="116">
        <v>5.7</v>
      </c>
      <c r="C831" s="116">
        <v>5.56</v>
      </c>
      <c r="D831" s="116">
        <v>5.52</v>
      </c>
      <c r="E831" s="116">
        <v>5.69</v>
      </c>
      <c r="F831" s="116">
        <v>5.56</v>
      </c>
      <c r="G831">
        <v>119541</v>
      </c>
      <c r="H831" s="116"/>
      <c r="I831" s="116"/>
      <c r="L831" s="170">
        <v>43227</v>
      </c>
      <c r="M831" s="116">
        <v>5.6</v>
      </c>
      <c r="N831" s="116">
        <v>5.7</v>
      </c>
      <c r="O831" s="116">
        <v>5.5</v>
      </c>
      <c r="P831" s="116">
        <v>5.6</v>
      </c>
      <c r="Q831" s="116">
        <v>5.6</v>
      </c>
      <c r="R831">
        <v>1331617</v>
      </c>
    </row>
    <row r="832" spans="1:18" x14ac:dyDescent="0.25">
      <c r="A832" s="170">
        <v>43228</v>
      </c>
      <c r="B832" s="116">
        <v>5.68</v>
      </c>
      <c r="C832" s="116">
        <v>5.51</v>
      </c>
      <c r="D832" s="116">
        <v>5.5</v>
      </c>
      <c r="E832" s="116">
        <v>5.52</v>
      </c>
      <c r="F832" s="116">
        <v>5.51</v>
      </c>
      <c r="G832">
        <v>161782</v>
      </c>
      <c r="H832" s="116"/>
      <c r="I832" s="116"/>
      <c r="L832" s="170">
        <v>43228</v>
      </c>
      <c r="M832" s="116">
        <v>5.5</v>
      </c>
      <c r="N832" s="116">
        <v>5.65</v>
      </c>
      <c r="O832" s="116">
        <v>5.5</v>
      </c>
      <c r="P832" s="116">
        <v>5.6</v>
      </c>
      <c r="Q832" s="116">
        <v>5.5</v>
      </c>
      <c r="R832">
        <v>598121</v>
      </c>
    </row>
    <row r="833" spans="1:18" x14ac:dyDescent="0.25">
      <c r="A833" s="170">
        <v>43229</v>
      </c>
      <c r="B833" s="116">
        <v>5.75</v>
      </c>
      <c r="C833" s="116">
        <v>5.5</v>
      </c>
      <c r="D833" s="116">
        <v>5.41</v>
      </c>
      <c r="E833" s="116">
        <v>5.55</v>
      </c>
      <c r="F833" s="116">
        <v>5.5</v>
      </c>
      <c r="G833">
        <v>228952</v>
      </c>
      <c r="H833" s="116"/>
      <c r="I833" s="116"/>
      <c r="L833" s="170">
        <v>43229</v>
      </c>
      <c r="M833" s="116">
        <v>5.5</v>
      </c>
      <c r="N833" s="116">
        <v>5.7</v>
      </c>
      <c r="O833" s="116">
        <v>5.45</v>
      </c>
      <c r="P833" s="116">
        <v>5.6</v>
      </c>
      <c r="Q833" s="116">
        <v>5.5</v>
      </c>
      <c r="R833">
        <v>1202171</v>
      </c>
    </row>
    <row r="834" spans="1:18" x14ac:dyDescent="0.25">
      <c r="A834" s="170">
        <v>43230</v>
      </c>
      <c r="B834" s="116">
        <v>5.57</v>
      </c>
      <c r="C834" s="116">
        <v>5.4</v>
      </c>
      <c r="D834" s="116">
        <v>5.38</v>
      </c>
      <c r="E834" s="116">
        <v>5.5</v>
      </c>
      <c r="F834" s="116">
        <v>5.4</v>
      </c>
      <c r="G834">
        <v>132347</v>
      </c>
      <c r="H834" s="116"/>
      <c r="I834" s="116"/>
      <c r="L834" s="170">
        <v>43230</v>
      </c>
      <c r="M834" s="116">
        <v>5.4</v>
      </c>
      <c r="N834" s="116">
        <v>5.6</v>
      </c>
      <c r="O834" s="116">
        <v>5.35</v>
      </c>
      <c r="P834" s="116">
        <v>5.5</v>
      </c>
      <c r="Q834" s="116">
        <v>5.4</v>
      </c>
      <c r="R834">
        <v>801530</v>
      </c>
    </row>
    <row r="835" spans="1:18" x14ac:dyDescent="0.25">
      <c r="A835" s="170">
        <v>43231</v>
      </c>
      <c r="B835" s="116">
        <v>5.55</v>
      </c>
      <c r="C835" s="116">
        <v>5.27</v>
      </c>
      <c r="D835" s="116">
        <v>5.01</v>
      </c>
      <c r="E835" s="116">
        <v>5.55</v>
      </c>
      <c r="F835" s="116">
        <v>5.27</v>
      </c>
      <c r="G835">
        <v>291729</v>
      </c>
      <c r="H835" s="116"/>
      <c r="I835" s="116"/>
      <c r="L835" s="170">
        <v>43231</v>
      </c>
      <c r="M835" s="116">
        <v>5.25</v>
      </c>
      <c r="N835" s="116">
        <v>5.45</v>
      </c>
      <c r="O835" s="116">
        <v>5</v>
      </c>
      <c r="P835" s="116">
        <v>5.4</v>
      </c>
      <c r="Q835" s="116">
        <v>5.25</v>
      </c>
      <c r="R835">
        <v>1387218</v>
      </c>
    </row>
    <row r="836" spans="1:18" x14ac:dyDescent="0.25">
      <c r="A836" s="170">
        <v>43234</v>
      </c>
      <c r="B836" s="116">
        <v>5.27</v>
      </c>
      <c r="C836" s="116">
        <v>5.16</v>
      </c>
      <c r="D836" s="116">
        <v>5.15</v>
      </c>
      <c r="E836" s="116">
        <v>5.15</v>
      </c>
      <c r="F836" s="116">
        <v>5.16</v>
      </c>
      <c r="G836">
        <v>151042</v>
      </c>
      <c r="H836" s="116"/>
      <c r="I836" s="116"/>
      <c r="L836" s="170">
        <v>43234</v>
      </c>
      <c r="M836" s="116">
        <v>5.2</v>
      </c>
      <c r="N836" s="116">
        <v>5.25</v>
      </c>
      <c r="O836" s="116">
        <v>5.15</v>
      </c>
      <c r="P836" s="116">
        <v>5.2</v>
      </c>
      <c r="Q836" s="116">
        <v>5.2</v>
      </c>
      <c r="R836">
        <v>562553</v>
      </c>
    </row>
    <row r="837" spans="1:18" x14ac:dyDescent="0.25">
      <c r="A837" s="170">
        <v>43235</v>
      </c>
      <c r="B837" s="116">
        <v>5.49</v>
      </c>
      <c r="C837" s="116">
        <v>5.36</v>
      </c>
      <c r="D837" s="116">
        <v>5.09</v>
      </c>
      <c r="E837" s="116">
        <v>5.09</v>
      </c>
      <c r="F837" s="116">
        <v>5.36</v>
      </c>
      <c r="G837">
        <v>252870</v>
      </c>
      <c r="H837" s="116"/>
      <c r="I837" s="116"/>
      <c r="L837" s="170">
        <v>43235</v>
      </c>
      <c r="M837" s="116">
        <v>5.3</v>
      </c>
      <c r="N837" s="116">
        <v>5.5</v>
      </c>
      <c r="O837" s="116">
        <v>5.0999999999999996</v>
      </c>
      <c r="P837" s="116">
        <v>5.25</v>
      </c>
      <c r="Q837" s="116">
        <v>5.3</v>
      </c>
      <c r="R837">
        <v>910610</v>
      </c>
    </row>
    <row r="838" spans="1:18" x14ac:dyDescent="0.25">
      <c r="A838" s="170">
        <v>43236</v>
      </c>
      <c r="B838" s="116">
        <v>5.33</v>
      </c>
      <c r="C838" s="116">
        <v>5.12</v>
      </c>
      <c r="D838" s="116">
        <v>5.09</v>
      </c>
      <c r="E838" s="116">
        <v>5.33</v>
      </c>
      <c r="F838" s="116">
        <v>5.12</v>
      </c>
      <c r="G838">
        <v>292093</v>
      </c>
      <c r="H838" s="116"/>
      <c r="I838" s="116"/>
      <c r="L838" s="170">
        <v>43236</v>
      </c>
      <c r="M838" s="116">
        <v>5.0999999999999996</v>
      </c>
      <c r="N838" s="116">
        <v>5.4</v>
      </c>
      <c r="O838" s="116">
        <v>5.05</v>
      </c>
      <c r="P838" s="116">
        <v>5.25</v>
      </c>
      <c r="Q838" s="116">
        <v>5.0999999999999996</v>
      </c>
      <c r="R838">
        <v>796648</v>
      </c>
    </row>
    <row r="839" spans="1:18" x14ac:dyDescent="0.25">
      <c r="A839" s="170">
        <v>43237</v>
      </c>
      <c r="B839" s="116">
        <v>5.19</v>
      </c>
      <c r="C839" s="116">
        <v>5.09</v>
      </c>
      <c r="D839" s="116">
        <v>5.04</v>
      </c>
      <c r="E839" s="116">
        <v>5.0999999999999996</v>
      </c>
      <c r="F839" s="116">
        <v>5.09</v>
      </c>
      <c r="G839">
        <v>113843</v>
      </c>
      <c r="H839" s="116"/>
      <c r="I839" s="116"/>
      <c r="L839" s="170">
        <v>43237</v>
      </c>
      <c r="M839" s="116">
        <v>5.0999999999999996</v>
      </c>
      <c r="N839" s="116">
        <v>5.25</v>
      </c>
      <c r="O839" s="116">
        <v>5</v>
      </c>
      <c r="P839" s="116">
        <v>5.0999999999999996</v>
      </c>
      <c r="Q839" s="116">
        <v>5.0999999999999996</v>
      </c>
      <c r="R839">
        <v>723751</v>
      </c>
    </row>
    <row r="840" spans="1:18" x14ac:dyDescent="0.25">
      <c r="A840" s="170">
        <v>43238</v>
      </c>
      <c r="B840" s="116">
        <v>5.2</v>
      </c>
      <c r="C840" s="116">
        <v>5</v>
      </c>
      <c r="D840" s="116">
        <v>4.9000000000000004</v>
      </c>
      <c r="E840" s="116">
        <v>5.0999999999999996</v>
      </c>
      <c r="F840" s="116">
        <v>5</v>
      </c>
      <c r="G840">
        <v>408143</v>
      </c>
      <c r="H840" s="116"/>
      <c r="I840" s="116"/>
      <c r="L840" s="170">
        <v>43238</v>
      </c>
      <c r="M840" s="116">
        <v>5</v>
      </c>
      <c r="N840" s="116">
        <v>5.2</v>
      </c>
      <c r="O840" s="116">
        <v>4.95</v>
      </c>
      <c r="P840" s="116">
        <v>5.15</v>
      </c>
      <c r="Q840" s="116">
        <v>5</v>
      </c>
      <c r="R840">
        <v>910165</v>
      </c>
    </row>
    <row r="841" spans="1:18" x14ac:dyDescent="0.25">
      <c r="A841" s="170">
        <v>43241</v>
      </c>
      <c r="B841" s="116">
        <v>5.0999999999999996</v>
      </c>
      <c r="C841" s="116">
        <v>4.87</v>
      </c>
      <c r="D841" s="116">
        <v>4.8</v>
      </c>
      <c r="E841" s="116">
        <v>4.8</v>
      </c>
      <c r="F841" s="116">
        <v>4.87</v>
      </c>
      <c r="G841">
        <v>128713</v>
      </c>
      <c r="H841" s="116"/>
      <c r="I841" s="116"/>
      <c r="L841" s="170">
        <v>43241</v>
      </c>
      <c r="M841" s="116">
        <v>4.8499999999999996</v>
      </c>
      <c r="N841" s="116">
        <v>5.05</v>
      </c>
      <c r="O841" s="116">
        <v>4.8</v>
      </c>
      <c r="P841" s="116">
        <v>4.8499999999999996</v>
      </c>
      <c r="Q841" s="116">
        <v>4.8499999999999996</v>
      </c>
      <c r="R841">
        <v>639013</v>
      </c>
    </row>
    <row r="842" spans="1:18" x14ac:dyDescent="0.25">
      <c r="A842" s="170">
        <v>43242</v>
      </c>
      <c r="B842" s="116">
        <v>5.09</v>
      </c>
      <c r="C842" s="116">
        <v>4.84</v>
      </c>
      <c r="D842" s="116">
        <v>4.75</v>
      </c>
      <c r="E842" s="116">
        <v>4.75</v>
      </c>
      <c r="F842" s="116">
        <v>4.84</v>
      </c>
      <c r="G842">
        <v>161039</v>
      </c>
      <c r="H842" s="116"/>
      <c r="I842" s="116"/>
      <c r="L842" s="170">
        <v>43242</v>
      </c>
      <c r="M842" s="116">
        <v>4.8499999999999996</v>
      </c>
      <c r="N842" s="116">
        <v>5.05</v>
      </c>
      <c r="O842" s="116">
        <v>4.7</v>
      </c>
      <c r="P842" s="116">
        <v>4.95</v>
      </c>
      <c r="Q842" s="116">
        <v>4.8499999999999996</v>
      </c>
      <c r="R842">
        <v>1080358</v>
      </c>
    </row>
    <row r="843" spans="1:18" x14ac:dyDescent="0.25">
      <c r="A843" s="170">
        <v>43243</v>
      </c>
      <c r="B843" s="116">
        <v>4.97</v>
      </c>
      <c r="C843" s="116">
        <v>4.8499999999999996</v>
      </c>
      <c r="D843" s="116">
        <v>4.76</v>
      </c>
      <c r="E843" s="116">
        <v>4.8499999999999996</v>
      </c>
      <c r="F843" s="116">
        <v>4.8499999999999996</v>
      </c>
      <c r="G843">
        <v>97315</v>
      </c>
      <c r="H843" s="116"/>
      <c r="I843" s="116"/>
      <c r="L843" s="170">
        <v>43243</v>
      </c>
      <c r="M843" s="116">
        <v>4.8499999999999996</v>
      </c>
      <c r="N843" s="116">
        <v>4.95</v>
      </c>
      <c r="O843" s="116">
        <v>4.8</v>
      </c>
      <c r="P843" s="116">
        <v>4.8499999999999996</v>
      </c>
      <c r="Q843" s="116">
        <v>4.8499999999999996</v>
      </c>
      <c r="R843">
        <v>447642</v>
      </c>
    </row>
    <row r="844" spans="1:18" x14ac:dyDescent="0.25">
      <c r="A844" s="170">
        <v>43244</v>
      </c>
      <c r="B844" s="116">
        <v>5.0999999999999996</v>
      </c>
      <c r="C844" s="116">
        <v>5.03</v>
      </c>
      <c r="D844" s="116">
        <v>4.91</v>
      </c>
      <c r="E844" s="116">
        <v>4.91</v>
      </c>
      <c r="F844" s="116">
        <v>5.03</v>
      </c>
      <c r="G844">
        <v>123461</v>
      </c>
      <c r="H844" s="116"/>
      <c r="I844" s="116"/>
      <c r="L844" s="170">
        <v>43244</v>
      </c>
      <c r="M844" s="116">
        <v>5</v>
      </c>
      <c r="N844" s="116">
        <v>5.0999999999999996</v>
      </c>
      <c r="O844" s="116">
        <v>4.95</v>
      </c>
      <c r="P844" s="116">
        <v>5</v>
      </c>
      <c r="Q844" s="116">
        <v>5</v>
      </c>
      <c r="R844">
        <v>747189</v>
      </c>
    </row>
    <row r="845" spans="1:18" x14ac:dyDescent="0.25">
      <c r="A845" s="170">
        <v>43245</v>
      </c>
      <c r="B845" s="116">
        <v>5.48</v>
      </c>
      <c r="C845" s="116">
        <v>5.33</v>
      </c>
      <c r="D845" s="116">
        <v>5.05</v>
      </c>
      <c r="E845" s="116">
        <v>5.05</v>
      </c>
      <c r="F845" s="116">
        <v>5.33</v>
      </c>
      <c r="G845">
        <v>263122</v>
      </c>
      <c r="H845" s="116"/>
      <c r="I845" s="116"/>
      <c r="L845" s="170">
        <v>43245</v>
      </c>
      <c r="M845" s="116">
        <v>5.35</v>
      </c>
      <c r="N845" s="116">
        <v>5.5</v>
      </c>
      <c r="O845" s="116">
        <v>5</v>
      </c>
      <c r="P845" s="116">
        <v>5</v>
      </c>
      <c r="Q845" s="116">
        <v>5.35</v>
      </c>
      <c r="R845">
        <v>1366207</v>
      </c>
    </row>
    <row r="846" spans="1:18" x14ac:dyDescent="0.25">
      <c r="A846" s="170">
        <v>43248</v>
      </c>
      <c r="B846" s="116">
        <v>5.44</v>
      </c>
      <c r="C846" s="116">
        <v>5.37</v>
      </c>
      <c r="D846" s="116">
        <v>5.0599999999999996</v>
      </c>
      <c r="E846" s="116">
        <v>5.4</v>
      </c>
      <c r="F846" s="116">
        <v>5.37</v>
      </c>
      <c r="G846">
        <v>208265</v>
      </c>
      <c r="H846" s="116"/>
      <c r="I846" s="116"/>
      <c r="L846" s="170">
        <v>43248</v>
      </c>
      <c r="M846" s="116">
        <v>5.4</v>
      </c>
      <c r="N846" s="116">
        <v>5.5</v>
      </c>
      <c r="O846" s="116">
        <v>5.25</v>
      </c>
      <c r="P846" s="116">
        <v>5.4</v>
      </c>
      <c r="Q846" s="116">
        <v>5.4</v>
      </c>
      <c r="R846">
        <v>927292</v>
      </c>
    </row>
    <row r="847" spans="1:18" x14ac:dyDescent="0.25">
      <c r="A847" s="170">
        <v>43249</v>
      </c>
      <c r="B847" s="116">
        <v>5.8</v>
      </c>
      <c r="C847" s="116">
        <v>5.51</v>
      </c>
      <c r="D847" s="116">
        <v>5.28</v>
      </c>
      <c r="E847" s="116">
        <v>5.28</v>
      </c>
      <c r="F847" s="116">
        <v>5.51</v>
      </c>
      <c r="G847">
        <v>432139</v>
      </c>
      <c r="H847" s="116"/>
      <c r="I847" s="116"/>
      <c r="L847" s="170">
        <v>43249</v>
      </c>
      <c r="M847" s="116">
        <v>5.5</v>
      </c>
      <c r="N847" s="116">
        <v>5.8</v>
      </c>
      <c r="O847" s="116">
        <v>5.3</v>
      </c>
      <c r="P847" s="116">
        <v>5.4</v>
      </c>
      <c r="Q847" s="116">
        <v>5.5</v>
      </c>
      <c r="R847">
        <v>1299423</v>
      </c>
    </row>
    <row r="848" spans="1:18" x14ac:dyDescent="0.25">
      <c r="A848" s="170">
        <v>43250</v>
      </c>
      <c r="B848" s="116">
        <v>5.67</v>
      </c>
      <c r="C848" s="116">
        <v>5.55</v>
      </c>
      <c r="D848" s="116">
        <v>5.46</v>
      </c>
      <c r="E848" s="116">
        <v>5.48</v>
      </c>
      <c r="F848" s="116">
        <v>5.55</v>
      </c>
      <c r="G848">
        <v>265564</v>
      </c>
      <c r="H848" s="116"/>
      <c r="I848" s="116"/>
      <c r="L848" s="170">
        <v>43250</v>
      </c>
      <c r="M848" s="116">
        <v>5.55</v>
      </c>
      <c r="N848" s="116">
        <v>5.7</v>
      </c>
      <c r="O848" s="116">
        <v>5.45</v>
      </c>
      <c r="P848" s="116">
        <v>5.5</v>
      </c>
      <c r="Q848" s="116">
        <v>5.55</v>
      </c>
      <c r="R848">
        <v>931768</v>
      </c>
    </row>
    <row r="849" spans="1:18" x14ac:dyDescent="0.25">
      <c r="A849" s="170">
        <v>43251</v>
      </c>
      <c r="B849" s="116">
        <v>5.45</v>
      </c>
      <c r="C849" s="116">
        <v>5.28</v>
      </c>
      <c r="D849" s="116">
        <v>5.21</v>
      </c>
      <c r="E849" s="116">
        <v>5.45</v>
      </c>
      <c r="F849" s="116">
        <v>5.28</v>
      </c>
      <c r="G849">
        <v>224600</v>
      </c>
      <c r="H849" s="116"/>
      <c r="I849" s="116"/>
      <c r="L849" s="170">
        <v>43251</v>
      </c>
      <c r="M849" s="116">
        <v>5.3</v>
      </c>
      <c r="N849" s="116">
        <v>5.4</v>
      </c>
      <c r="O849" s="116">
        <v>5.2</v>
      </c>
      <c r="P849" s="116">
        <v>5.35</v>
      </c>
      <c r="Q849" s="116">
        <v>5.3</v>
      </c>
      <c r="R849">
        <v>733945</v>
      </c>
    </row>
    <row r="850" spans="1:18" x14ac:dyDescent="0.25">
      <c r="A850" s="170">
        <v>43252</v>
      </c>
      <c r="B850" s="116">
        <v>5.35</v>
      </c>
      <c r="C850" s="116">
        <v>5.12</v>
      </c>
      <c r="D850" s="116">
        <v>5.0999999999999996</v>
      </c>
      <c r="E850" s="116">
        <v>5.3</v>
      </c>
      <c r="F850" s="116">
        <v>5.12</v>
      </c>
      <c r="G850">
        <v>81763</v>
      </c>
      <c r="H850" s="116"/>
      <c r="I850" s="116"/>
      <c r="L850" s="170">
        <v>43252</v>
      </c>
      <c r="M850" s="116">
        <v>5.15</v>
      </c>
      <c r="N850" s="116">
        <v>5.3</v>
      </c>
      <c r="O850" s="116">
        <v>5.0999999999999996</v>
      </c>
      <c r="P850" s="116">
        <v>5.2</v>
      </c>
      <c r="Q850" s="116">
        <v>5.15</v>
      </c>
      <c r="R850">
        <v>755478</v>
      </c>
    </row>
    <row r="851" spans="1:18" x14ac:dyDescent="0.25">
      <c r="A851" s="170">
        <v>43255</v>
      </c>
      <c r="B851" s="116">
        <v>5.2</v>
      </c>
      <c r="C851" s="116">
        <v>4.9800000000000004</v>
      </c>
      <c r="D851" s="116">
        <v>4.9000000000000004</v>
      </c>
      <c r="E851" s="116">
        <v>5.2</v>
      </c>
      <c r="F851" s="116">
        <v>4.9800000000000004</v>
      </c>
      <c r="G851">
        <v>114810</v>
      </c>
      <c r="H851" s="116"/>
      <c r="I851" s="116"/>
      <c r="L851" s="170">
        <v>43255</v>
      </c>
      <c r="M851" s="116">
        <v>4.95</v>
      </c>
      <c r="N851" s="116">
        <v>5.2</v>
      </c>
      <c r="O851" s="116">
        <v>4.9000000000000004</v>
      </c>
      <c r="P851" s="116">
        <v>5.15</v>
      </c>
      <c r="Q851" s="116">
        <v>4.95</v>
      </c>
      <c r="R851">
        <v>771379</v>
      </c>
    </row>
    <row r="852" spans="1:18" x14ac:dyDescent="0.25">
      <c r="A852" s="170">
        <v>43256</v>
      </c>
      <c r="B852" s="116">
        <v>5.09</v>
      </c>
      <c r="C852" s="116">
        <v>4.91</v>
      </c>
      <c r="D852" s="116">
        <v>4.8</v>
      </c>
      <c r="E852" s="116">
        <v>5.09</v>
      </c>
      <c r="F852" s="116">
        <v>4.91</v>
      </c>
      <c r="G852">
        <v>149781</v>
      </c>
      <c r="H852" s="116"/>
      <c r="I852" s="116"/>
      <c r="L852" s="170">
        <v>43256</v>
      </c>
      <c r="M852" s="116">
        <v>4.9000000000000004</v>
      </c>
      <c r="N852" s="116">
        <v>5.0999999999999996</v>
      </c>
      <c r="O852" s="116">
        <v>4.8</v>
      </c>
      <c r="P852" s="116">
        <v>5.0999999999999996</v>
      </c>
      <c r="Q852" s="116">
        <v>4.9000000000000004</v>
      </c>
      <c r="R852">
        <v>994077</v>
      </c>
    </row>
    <row r="853" spans="1:18" x14ac:dyDescent="0.25">
      <c r="A853" s="170">
        <v>43257</v>
      </c>
      <c r="B853" s="116">
        <v>4.95</v>
      </c>
      <c r="C853" s="116">
        <v>4.9000000000000004</v>
      </c>
      <c r="D853" s="116">
        <v>4.8</v>
      </c>
      <c r="E853" s="116">
        <v>4.8899999999999997</v>
      </c>
      <c r="F853" s="116">
        <v>4.9000000000000004</v>
      </c>
      <c r="G853">
        <v>167223</v>
      </c>
      <c r="H853" s="116"/>
      <c r="I853" s="116"/>
      <c r="L853" s="170">
        <v>43257</v>
      </c>
      <c r="M853" s="116">
        <v>4.8499999999999996</v>
      </c>
      <c r="N853" s="116">
        <v>5</v>
      </c>
      <c r="O853" s="116">
        <v>4.8</v>
      </c>
      <c r="P853" s="116">
        <v>5</v>
      </c>
      <c r="Q853" s="116">
        <v>4.8499999999999996</v>
      </c>
      <c r="R853">
        <v>762925</v>
      </c>
    </row>
    <row r="854" spans="1:18" x14ac:dyDescent="0.25">
      <c r="A854" s="170">
        <v>43258</v>
      </c>
      <c r="B854" s="116">
        <v>5.0999999999999996</v>
      </c>
      <c r="C854" s="116">
        <v>4.96</v>
      </c>
      <c r="D854" s="116">
        <v>4.91</v>
      </c>
      <c r="E854" s="116">
        <v>5</v>
      </c>
      <c r="F854" s="116">
        <v>4.96</v>
      </c>
      <c r="G854">
        <v>80856</v>
      </c>
      <c r="H854" s="116"/>
      <c r="I854" s="116"/>
      <c r="L854" s="170">
        <v>43258</v>
      </c>
      <c r="M854" s="116">
        <v>4.95</v>
      </c>
      <c r="N854" s="116">
        <v>5.15</v>
      </c>
      <c r="O854" s="116">
        <v>4.9000000000000004</v>
      </c>
      <c r="P854" s="116">
        <v>5</v>
      </c>
      <c r="Q854" s="116">
        <v>4.95</v>
      </c>
      <c r="R854">
        <v>431136</v>
      </c>
    </row>
    <row r="855" spans="1:18" x14ac:dyDescent="0.25">
      <c r="A855" s="170">
        <v>43259</v>
      </c>
      <c r="B855" s="116">
        <v>5.12</v>
      </c>
      <c r="C855" s="116">
        <v>5.03</v>
      </c>
      <c r="D855" s="116">
        <v>4.9000000000000004</v>
      </c>
      <c r="E855" s="116">
        <v>4.9000000000000004</v>
      </c>
      <c r="F855" s="116">
        <v>5.03</v>
      </c>
      <c r="G855">
        <v>202633</v>
      </c>
      <c r="H855" s="116"/>
      <c r="I855" s="116"/>
      <c r="L855" s="170">
        <v>43259</v>
      </c>
      <c r="M855" s="116">
        <v>5</v>
      </c>
      <c r="N855" s="116">
        <v>5.0999999999999996</v>
      </c>
      <c r="O855" s="116">
        <v>4.8499999999999996</v>
      </c>
      <c r="P855" s="116">
        <v>5</v>
      </c>
      <c r="Q855" s="116">
        <v>5</v>
      </c>
      <c r="R855">
        <v>631130</v>
      </c>
    </row>
    <row r="856" spans="1:18" x14ac:dyDescent="0.25">
      <c r="A856" s="170">
        <v>43262</v>
      </c>
      <c r="B856" s="116">
        <v>5.19</v>
      </c>
      <c r="C856" s="116">
        <v>5.0999999999999996</v>
      </c>
      <c r="D856" s="116">
        <v>5</v>
      </c>
      <c r="E856" s="116">
        <v>5</v>
      </c>
      <c r="F856" s="116">
        <v>5.0999999999999996</v>
      </c>
      <c r="G856">
        <v>133194</v>
      </c>
      <c r="H856" s="116"/>
      <c r="I856" s="116"/>
      <c r="L856" s="170">
        <v>43262</v>
      </c>
      <c r="M856" s="116">
        <v>5.0999999999999996</v>
      </c>
      <c r="N856" s="116">
        <v>5.3</v>
      </c>
      <c r="O856" s="116">
        <v>5</v>
      </c>
      <c r="P856" s="116">
        <v>5</v>
      </c>
      <c r="Q856" s="116">
        <v>5.0999999999999996</v>
      </c>
      <c r="R856">
        <v>477836</v>
      </c>
    </row>
    <row r="857" spans="1:18" x14ac:dyDescent="0.25">
      <c r="A857" s="170">
        <v>43263</v>
      </c>
      <c r="B857" s="116">
        <v>5.15</v>
      </c>
      <c r="C857" s="116">
        <v>5.03</v>
      </c>
      <c r="D857" s="116">
        <v>5.01</v>
      </c>
      <c r="E857" s="116">
        <v>5.15</v>
      </c>
      <c r="F857" s="116">
        <v>5.03</v>
      </c>
      <c r="G857">
        <v>58127</v>
      </c>
      <c r="H857" s="116"/>
      <c r="I857" s="116"/>
      <c r="L857" s="170">
        <v>43263</v>
      </c>
      <c r="M857" s="116">
        <v>5</v>
      </c>
      <c r="N857" s="116">
        <v>5.15</v>
      </c>
      <c r="O857" s="116">
        <v>5</v>
      </c>
      <c r="P857" s="116">
        <v>5.0999999999999996</v>
      </c>
      <c r="Q857" s="116">
        <v>5</v>
      </c>
      <c r="R857">
        <v>460753</v>
      </c>
    </row>
    <row r="858" spans="1:18" x14ac:dyDescent="0.25">
      <c r="A858" s="170">
        <v>43264</v>
      </c>
      <c r="B858" s="116">
        <v>5.0999999999999996</v>
      </c>
      <c r="C858" s="116">
        <v>4.97</v>
      </c>
      <c r="D858" s="116">
        <v>4.95</v>
      </c>
      <c r="E858" s="116">
        <v>5.0999999999999996</v>
      </c>
      <c r="F858" s="116">
        <v>4.97</v>
      </c>
      <c r="G858">
        <v>99520</v>
      </c>
      <c r="H858" s="116"/>
      <c r="I858" s="116"/>
      <c r="L858" s="170">
        <v>43264</v>
      </c>
      <c r="M858" s="116">
        <v>4.95</v>
      </c>
      <c r="N858" s="116">
        <v>5.0999999999999996</v>
      </c>
      <c r="O858" s="116">
        <v>4.95</v>
      </c>
      <c r="P858" s="116">
        <v>5.05</v>
      </c>
      <c r="Q858" s="116">
        <v>4.95</v>
      </c>
      <c r="R858">
        <v>496780</v>
      </c>
    </row>
    <row r="859" spans="1:18" x14ac:dyDescent="0.25">
      <c r="A859" s="170">
        <v>43265</v>
      </c>
      <c r="B859" s="116">
        <v>5.08</v>
      </c>
      <c r="C859" s="116">
        <v>5.0199999999999996</v>
      </c>
      <c r="D859" s="116">
        <v>4.9000000000000004</v>
      </c>
      <c r="E859" s="116">
        <v>5.05</v>
      </c>
      <c r="F859" s="116">
        <v>5.0199999999999996</v>
      </c>
      <c r="G859">
        <v>81201</v>
      </c>
      <c r="H859" s="116"/>
      <c r="I859" s="116"/>
      <c r="L859" s="170">
        <v>43265</v>
      </c>
      <c r="M859" s="116">
        <v>5</v>
      </c>
      <c r="N859" s="116">
        <v>5.0999999999999996</v>
      </c>
      <c r="O859" s="116">
        <v>4.8499999999999996</v>
      </c>
      <c r="P859" s="116">
        <v>5.0999999999999996</v>
      </c>
      <c r="Q859" s="116">
        <v>5</v>
      </c>
      <c r="R859">
        <v>477549</v>
      </c>
    </row>
    <row r="860" spans="1:18" x14ac:dyDescent="0.25">
      <c r="A860" s="170">
        <v>43266</v>
      </c>
      <c r="B860" s="116">
        <v>5.05</v>
      </c>
      <c r="C860" s="116">
        <v>4.95</v>
      </c>
      <c r="D860" s="116">
        <v>4.9000000000000004</v>
      </c>
      <c r="E860" s="116">
        <v>5.04</v>
      </c>
      <c r="F860" s="116">
        <v>4.95</v>
      </c>
      <c r="G860">
        <v>69830</v>
      </c>
      <c r="H860" s="116"/>
      <c r="I860" s="116"/>
      <c r="L860" s="170">
        <v>43266</v>
      </c>
      <c r="M860" s="116">
        <v>4.95</v>
      </c>
      <c r="N860" s="116">
        <v>5.05</v>
      </c>
      <c r="O860" s="116">
        <v>4.9000000000000004</v>
      </c>
      <c r="P860" s="116">
        <v>4.95</v>
      </c>
      <c r="Q860" s="116">
        <v>4.95</v>
      </c>
      <c r="R860">
        <v>442949</v>
      </c>
    </row>
    <row r="861" spans="1:18" x14ac:dyDescent="0.25">
      <c r="A861" s="170">
        <v>43269</v>
      </c>
      <c r="B861" s="116">
        <v>4.99</v>
      </c>
      <c r="C861" s="116">
        <v>4.9400000000000004</v>
      </c>
      <c r="D861" s="116">
        <v>4.9000000000000004</v>
      </c>
      <c r="E861" s="116">
        <v>4.99</v>
      </c>
      <c r="F861" s="116">
        <v>4.9400000000000004</v>
      </c>
      <c r="G861">
        <v>76949</v>
      </c>
      <c r="H861" s="116"/>
      <c r="I861" s="116"/>
      <c r="L861" s="170">
        <v>43269</v>
      </c>
      <c r="M861" s="116">
        <v>4.9000000000000004</v>
      </c>
      <c r="N861" s="116">
        <v>5</v>
      </c>
      <c r="O861" s="116">
        <v>4.9000000000000004</v>
      </c>
      <c r="P861" s="116">
        <v>4.95</v>
      </c>
      <c r="Q861" s="116">
        <v>4.9000000000000004</v>
      </c>
      <c r="R861">
        <v>291702</v>
      </c>
    </row>
    <row r="862" spans="1:18" x14ac:dyDescent="0.25">
      <c r="A862" s="170">
        <v>43270</v>
      </c>
      <c r="B862" s="116">
        <v>5.04</v>
      </c>
      <c r="C862" s="116">
        <v>4.87</v>
      </c>
      <c r="D862" s="116">
        <v>4.8099999999999996</v>
      </c>
      <c r="E862" s="116">
        <v>4.9800000000000004</v>
      </c>
      <c r="F862" s="116">
        <v>4.87</v>
      </c>
      <c r="G862">
        <v>119772</v>
      </c>
      <c r="H862" s="116"/>
      <c r="I862" s="116"/>
      <c r="L862" s="170">
        <v>43270</v>
      </c>
      <c r="M862" s="116">
        <v>4.9000000000000004</v>
      </c>
      <c r="N862" s="116">
        <v>5.05</v>
      </c>
      <c r="O862" s="116">
        <v>4.8499999999999996</v>
      </c>
      <c r="P862" s="116">
        <v>4.9000000000000004</v>
      </c>
      <c r="Q862" s="116">
        <v>4.9000000000000004</v>
      </c>
      <c r="R862">
        <v>626202</v>
      </c>
    </row>
    <row r="863" spans="1:18" x14ac:dyDescent="0.25">
      <c r="A863" s="170">
        <v>43271</v>
      </c>
      <c r="B863" s="116">
        <v>4.91</v>
      </c>
      <c r="C863" s="116">
        <v>4.82</v>
      </c>
      <c r="D863" s="116">
        <v>4.8</v>
      </c>
      <c r="E863" s="116">
        <v>4.9000000000000004</v>
      </c>
      <c r="F863" s="116">
        <v>4.82</v>
      </c>
      <c r="G863">
        <v>160230</v>
      </c>
      <c r="H863" s="116"/>
      <c r="I863" s="116"/>
      <c r="L863" s="170">
        <v>43271</v>
      </c>
      <c r="M863" s="116">
        <v>4.8499999999999996</v>
      </c>
      <c r="N863" s="116">
        <v>4.95</v>
      </c>
      <c r="O863" s="116">
        <v>4.8</v>
      </c>
      <c r="P863" s="116">
        <v>4.9000000000000004</v>
      </c>
      <c r="Q863" s="116">
        <v>4.8499999999999996</v>
      </c>
      <c r="R863">
        <v>789024</v>
      </c>
    </row>
    <row r="864" spans="1:18" x14ac:dyDescent="0.25">
      <c r="A864" s="170">
        <v>43272</v>
      </c>
      <c r="B864" s="116">
        <v>4.9400000000000004</v>
      </c>
      <c r="C864" s="116">
        <v>4.75</v>
      </c>
      <c r="D864" s="116">
        <v>4.75</v>
      </c>
      <c r="E864" s="116">
        <v>4.82</v>
      </c>
      <c r="F864" s="116">
        <v>4.75</v>
      </c>
      <c r="G864">
        <v>139665</v>
      </c>
      <c r="H864" s="116"/>
      <c r="I864" s="116"/>
      <c r="L864" s="170">
        <v>43272</v>
      </c>
      <c r="M864" s="116">
        <v>4.8</v>
      </c>
      <c r="N864" s="116">
        <v>4.9000000000000004</v>
      </c>
      <c r="O864" s="116">
        <v>4.75</v>
      </c>
      <c r="P864" s="116">
        <v>4.8499999999999996</v>
      </c>
      <c r="Q864" s="116">
        <v>4.8</v>
      </c>
      <c r="R864">
        <v>872285</v>
      </c>
    </row>
    <row r="865" spans="1:18" x14ac:dyDescent="0.25">
      <c r="A865" s="170">
        <v>43273</v>
      </c>
      <c r="B865" s="116">
        <v>4.99</v>
      </c>
      <c r="C865" s="116">
        <v>4.7</v>
      </c>
      <c r="D865" s="116">
        <v>4.68</v>
      </c>
      <c r="E865" s="116">
        <v>4.99</v>
      </c>
      <c r="F865" s="116">
        <v>4.7</v>
      </c>
      <c r="G865">
        <v>114382</v>
      </c>
      <c r="H865" s="116"/>
      <c r="I865" s="116"/>
      <c r="L865" s="170">
        <v>43273</v>
      </c>
      <c r="M865" s="116">
        <v>4.7</v>
      </c>
      <c r="N865" s="116">
        <v>4.9000000000000004</v>
      </c>
      <c r="O865" s="116">
        <v>4.6500000000000004</v>
      </c>
      <c r="P865" s="116">
        <v>4.8499999999999996</v>
      </c>
      <c r="Q865" s="116">
        <v>4.7</v>
      </c>
      <c r="R865">
        <v>942389</v>
      </c>
    </row>
    <row r="866" spans="1:18" x14ac:dyDescent="0.25">
      <c r="A866" s="170">
        <v>43276</v>
      </c>
      <c r="B866" s="116">
        <v>4.9400000000000004</v>
      </c>
      <c r="C866" s="116">
        <v>4.84</v>
      </c>
      <c r="D866" s="116">
        <v>4.79</v>
      </c>
      <c r="E866" s="116">
        <v>4.88</v>
      </c>
      <c r="F866" s="116">
        <v>4.84</v>
      </c>
      <c r="G866">
        <v>155345</v>
      </c>
      <c r="H866" s="116"/>
      <c r="I866" s="116"/>
      <c r="L866" s="170">
        <v>43276</v>
      </c>
      <c r="M866" s="116">
        <v>4.8499999999999996</v>
      </c>
      <c r="N866" s="116">
        <v>5</v>
      </c>
      <c r="O866" s="116">
        <v>4.7</v>
      </c>
      <c r="P866" s="116">
        <v>4.7</v>
      </c>
      <c r="Q866" s="116">
        <v>4.8499999999999996</v>
      </c>
      <c r="R866">
        <v>850656</v>
      </c>
    </row>
    <row r="867" spans="1:18" x14ac:dyDescent="0.25">
      <c r="A867" s="170">
        <v>43277</v>
      </c>
      <c r="B867" s="116">
        <v>4.99</v>
      </c>
      <c r="C867" s="116">
        <v>4.84</v>
      </c>
      <c r="D867" s="116">
        <v>4.75</v>
      </c>
      <c r="E867" s="116">
        <v>4.8899999999999997</v>
      </c>
      <c r="F867" s="116">
        <v>4.84</v>
      </c>
      <c r="G867">
        <v>145318</v>
      </c>
      <c r="H867" s="116"/>
      <c r="I867" s="116"/>
      <c r="L867" s="170">
        <v>43277</v>
      </c>
      <c r="M867" s="116">
        <v>4.8</v>
      </c>
      <c r="N867" s="116">
        <v>5</v>
      </c>
      <c r="O867" s="116">
        <v>4.75</v>
      </c>
      <c r="P867" s="116">
        <v>4.8499999999999996</v>
      </c>
      <c r="Q867" s="116">
        <v>4.8</v>
      </c>
      <c r="R867">
        <v>905984</v>
      </c>
    </row>
    <row r="868" spans="1:18" x14ac:dyDescent="0.25">
      <c r="A868" s="170">
        <v>43278</v>
      </c>
      <c r="B868" s="116">
        <v>4.9000000000000004</v>
      </c>
      <c r="C868" s="116">
        <v>4.6399999999999997</v>
      </c>
      <c r="D868" s="116">
        <v>4.5999999999999996</v>
      </c>
      <c r="E868" s="116">
        <v>4.8899999999999997</v>
      </c>
      <c r="F868" s="116">
        <v>4.6399999999999997</v>
      </c>
      <c r="G868">
        <v>137292</v>
      </c>
      <c r="H868" s="116"/>
      <c r="I868" s="116"/>
      <c r="L868" s="170">
        <v>43278</v>
      </c>
      <c r="M868" s="116">
        <v>4.7</v>
      </c>
      <c r="N868" s="116">
        <v>4.9000000000000004</v>
      </c>
      <c r="O868" s="116">
        <v>4.6500000000000004</v>
      </c>
      <c r="P868" s="116">
        <v>4.8</v>
      </c>
      <c r="Q868" s="116">
        <v>4.7</v>
      </c>
      <c r="R868">
        <v>517380</v>
      </c>
    </row>
    <row r="869" spans="1:18" x14ac:dyDescent="0.25">
      <c r="A869" s="170">
        <v>43279</v>
      </c>
      <c r="B869" s="116">
        <v>4.7300000000000004</v>
      </c>
      <c r="C869" s="116">
        <v>4.54</v>
      </c>
      <c r="D869" s="116">
        <v>4.51</v>
      </c>
      <c r="E869" s="116">
        <v>4.6500000000000004</v>
      </c>
      <c r="F869" s="116">
        <v>4.54</v>
      </c>
      <c r="G869">
        <v>141582</v>
      </c>
      <c r="H869" s="116"/>
      <c r="I869" s="116"/>
      <c r="L869" s="170">
        <v>43279</v>
      </c>
      <c r="M869" s="116">
        <v>4.55</v>
      </c>
      <c r="N869" s="116">
        <v>4.7</v>
      </c>
      <c r="O869" s="116">
        <v>4.55</v>
      </c>
      <c r="P869" s="116">
        <v>4.6500000000000004</v>
      </c>
      <c r="Q869" s="116">
        <v>4.55</v>
      </c>
      <c r="R869">
        <v>603960</v>
      </c>
    </row>
    <row r="870" spans="1:18" x14ac:dyDescent="0.25">
      <c r="A870" s="170">
        <v>43280</v>
      </c>
      <c r="B870" s="116">
        <v>4.7300000000000004</v>
      </c>
      <c r="C870" s="116">
        <v>4.57</v>
      </c>
      <c r="D870" s="116">
        <v>4.5599999999999996</v>
      </c>
      <c r="E870" s="116">
        <v>4.5599999999999996</v>
      </c>
      <c r="F870" s="116">
        <v>4.57</v>
      </c>
      <c r="G870">
        <v>111685</v>
      </c>
      <c r="H870" s="116"/>
      <c r="I870" s="116"/>
      <c r="L870" s="170">
        <v>43280</v>
      </c>
      <c r="M870" s="116">
        <v>4.55</v>
      </c>
      <c r="N870" s="116">
        <v>4.8</v>
      </c>
      <c r="O870" s="116">
        <v>4.55</v>
      </c>
      <c r="P870" s="116">
        <v>4.5999999999999996</v>
      </c>
      <c r="Q870" s="116">
        <v>4.55</v>
      </c>
      <c r="R870">
        <v>643878</v>
      </c>
    </row>
    <row r="871" spans="1:18" x14ac:dyDescent="0.25">
      <c r="A871" s="170">
        <v>43283</v>
      </c>
      <c r="B871" s="116">
        <v>4.62</v>
      </c>
      <c r="C871" s="116">
        <v>4.41</v>
      </c>
      <c r="D871" s="116">
        <v>4.4000000000000004</v>
      </c>
      <c r="E871" s="116">
        <v>4.57</v>
      </c>
      <c r="F871" s="116">
        <v>4.41</v>
      </c>
      <c r="G871">
        <v>186877</v>
      </c>
      <c r="H871" s="116"/>
      <c r="I871" s="116"/>
      <c r="L871" s="170">
        <v>43283</v>
      </c>
      <c r="M871" s="116">
        <v>4.4000000000000004</v>
      </c>
      <c r="N871" s="116">
        <v>4.6500000000000004</v>
      </c>
      <c r="O871" s="116">
        <v>4.4000000000000004</v>
      </c>
      <c r="P871" s="116">
        <v>4.5999999999999996</v>
      </c>
      <c r="Q871" s="116">
        <v>4.4000000000000004</v>
      </c>
      <c r="R871">
        <v>786139</v>
      </c>
    </row>
    <row r="872" spans="1:18" x14ac:dyDescent="0.25">
      <c r="A872" s="170">
        <v>43284</v>
      </c>
      <c r="B872" s="116">
        <v>4.54</v>
      </c>
      <c r="C872" s="116">
        <v>4.42</v>
      </c>
      <c r="D872" s="116">
        <v>4.4000000000000004</v>
      </c>
      <c r="E872" s="116">
        <v>4.47</v>
      </c>
      <c r="F872" s="116">
        <v>4.42</v>
      </c>
      <c r="G872">
        <v>121664</v>
      </c>
      <c r="H872" s="116"/>
      <c r="I872" s="116"/>
      <c r="L872" s="170">
        <v>43284</v>
      </c>
      <c r="M872" s="116">
        <v>4.4000000000000004</v>
      </c>
      <c r="N872" s="116">
        <v>4.5</v>
      </c>
      <c r="O872" s="116">
        <v>4.4000000000000004</v>
      </c>
      <c r="P872" s="116">
        <v>4.45</v>
      </c>
      <c r="Q872" s="116">
        <v>4.4000000000000004</v>
      </c>
      <c r="R872">
        <v>520074</v>
      </c>
    </row>
    <row r="873" spans="1:18" x14ac:dyDescent="0.25">
      <c r="A873" s="170">
        <v>43285</v>
      </c>
      <c r="B873" s="116">
        <v>4.5999999999999996</v>
      </c>
      <c r="C873" s="116">
        <v>4.5</v>
      </c>
      <c r="D873" s="116">
        <v>4.3899999999999997</v>
      </c>
      <c r="E873" s="116">
        <v>4.3899999999999997</v>
      </c>
      <c r="F873" s="116">
        <v>4.5</v>
      </c>
      <c r="G873">
        <v>77289</v>
      </c>
      <c r="H873" s="116"/>
      <c r="I873" s="116"/>
      <c r="L873" s="170">
        <v>43285</v>
      </c>
      <c r="M873" s="116">
        <v>4.55</v>
      </c>
      <c r="N873" s="116">
        <v>4.6500000000000004</v>
      </c>
      <c r="O873" s="116">
        <v>4.3499999999999996</v>
      </c>
      <c r="P873" s="116">
        <v>4.45</v>
      </c>
      <c r="Q873" s="116">
        <v>4.55</v>
      </c>
      <c r="R873">
        <v>558223</v>
      </c>
    </row>
    <row r="874" spans="1:18" x14ac:dyDescent="0.25">
      <c r="A874" s="170">
        <v>43286</v>
      </c>
      <c r="B874" s="116">
        <v>4.62</v>
      </c>
      <c r="C874" s="116">
        <v>4.41</v>
      </c>
      <c r="D874" s="116">
        <v>4.4000000000000004</v>
      </c>
      <c r="E874" s="116">
        <v>4.5999999999999996</v>
      </c>
      <c r="F874" s="116">
        <v>4.41</v>
      </c>
      <c r="G874">
        <v>98592</v>
      </c>
      <c r="H874" s="116"/>
      <c r="I874" s="116"/>
      <c r="L874" s="170">
        <v>43286</v>
      </c>
      <c r="M874" s="116">
        <v>4.4000000000000004</v>
      </c>
      <c r="N874" s="116">
        <v>4.6500000000000004</v>
      </c>
      <c r="O874" s="116">
        <v>4.4000000000000004</v>
      </c>
      <c r="P874" s="116">
        <v>4.55</v>
      </c>
      <c r="Q874" s="116">
        <v>4.4000000000000004</v>
      </c>
      <c r="R874">
        <v>433712</v>
      </c>
    </row>
    <row r="875" spans="1:18" x14ac:dyDescent="0.25">
      <c r="A875" s="170">
        <v>43287</v>
      </c>
      <c r="B875" s="116">
        <v>4.5199999999999996</v>
      </c>
      <c r="C875" s="116">
        <v>4.47</v>
      </c>
      <c r="D875" s="116">
        <v>4.4000000000000004</v>
      </c>
      <c r="E875" s="116">
        <v>4.41</v>
      </c>
      <c r="F875" s="116">
        <v>4.47</v>
      </c>
      <c r="G875">
        <v>74407</v>
      </c>
      <c r="H875" s="116"/>
      <c r="I875" s="116"/>
      <c r="L875" s="170">
        <v>43287</v>
      </c>
      <c r="M875" s="116">
        <v>4.45</v>
      </c>
      <c r="N875" s="116">
        <v>4.55</v>
      </c>
      <c r="O875" s="116">
        <v>4.4000000000000004</v>
      </c>
      <c r="P875" s="116">
        <v>4.4000000000000004</v>
      </c>
      <c r="Q875" s="116">
        <v>4.45</v>
      </c>
      <c r="R875">
        <v>331471</v>
      </c>
    </row>
    <row r="876" spans="1:18" x14ac:dyDescent="0.25">
      <c r="A876" s="170">
        <v>43290</v>
      </c>
      <c r="B876" s="116">
        <v>4.5999999999999996</v>
      </c>
      <c r="C876" s="116">
        <v>4.51</v>
      </c>
      <c r="D876" s="116">
        <v>4.4000000000000004</v>
      </c>
      <c r="E876" s="116">
        <v>4.4000000000000004</v>
      </c>
      <c r="F876" s="116">
        <v>4.51</v>
      </c>
      <c r="G876">
        <v>78071</v>
      </c>
      <c r="H876" s="116"/>
      <c r="I876" s="116"/>
      <c r="L876" s="170">
        <v>43290</v>
      </c>
      <c r="M876" s="116">
        <v>4.45</v>
      </c>
      <c r="N876" s="116">
        <v>4.5999999999999996</v>
      </c>
      <c r="O876" s="116">
        <v>4.45</v>
      </c>
      <c r="P876" s="116">
        <v>4.5</v>
      </c>
      <c r="Q876" s="116">
        <v>4.45</v>
      </c>
      <c r="R876">
        <v>509199</v>
      </c>
    </row>
    <row r="877" spans="1:18" x14ac:dyDescent="0.25">
      <c r="A877" s="170">
        <v>43291</v>
      </c>
      <c r="B877" s="116">
        <v>4.58</v>
      </c>
      <c r="C877" s="116">
        <v>4.54</v>
      </c>
      <c r="D877" s="116">
        <v>4.46</v>
      </c>
      <c r="E877" s="116">
        <v>4.57</v>
      </c>
      <c r="F877" s="116">
        <v>4.54</v>
      </c>
      <c r="G877">
        <v>84002</v>
      </c>
      <c r="H877" s="116"/>
      <c r="I877" s="116"/>
      <c r="L877" s="170">
        <v>43291</v>
      </c>
      <c r="M877" s="116">
        <v>4.5</v>
      </c>
      <c r="N877" s="116">
        <v>4.55</v>
      </c>
      <c r="O877" s="116">
        <v>4.45</v>
      </c>
      <c r="P877" s="116">
        <v>4.45</v>
      </c>
      <c r="Q877" s="116">
        <v>4.5</v>
      </c>
      <c r="R877">
        <v>330225</v>
      </c>
    </row>
    <row r="878" spans="1:18" x14ac:dyDescent="0.25">
      <c r="A878" s="170">
        <v>43292</v>
      </c>
      <c r="B878" s="116">
        <v>4.58</v>
      </c>
      <c r="C878" s="116">
        <v>4.4400000000000004</v>
      </c>
      <c r="D878" s="116">
        <v>4.42</v>
      </c>
      <c r="E878" s="116">
        <v>4.46</v>
      </c>
      <c r="F878" s="116">
        <v>4.4400000000000004</v>
      </c>
      <c r="G878">
        <v>75549</v>
      </c>
      <c r="H878" s="116"/>
      <c r="I878" s="116"/>
      <c r="L878" s="170">
        <v>43292</v>
      </c>
      <c r="M878" s="116">
        <v>4.4000000000000004</v>
      </c>
      <c r="N878" s="116">
        <v>4.55</v>
      </c>
      <c r="O878" s="116">
        <v>4.4000000000000004</v>
      </c>
      <c r="P878" s="116">
        <v>4.55</v>
      </c>
      <c r="Q878" s="116">
        <v>4.4000000000000004</v>
      </c>
      <c r="R878">
        <v>359722</v>
      </c>
    </row>
    <row r="879" spans="1:18" x14ac:dyDescent="0.25">
      <c r="A879" s="170">
        <v>43293</v>
      </c>
      <c r="B879" s="116">
        <v>4.53</v>
      </c>
      <c r="C879" s="116">
        <v>4.41</v>
      </c>
      <c r="D879" s="116">
        <v>4.4000000000000004</v>
      </c>
      <c r="E879" s="116">
        <v>4.4800000000000004</v>
      </c>
      <c r="F879" s="116">
        <v>4.41</v>
      </c>
      <c r="G879">
        <v>48998</v>
      </c>
      <c r="H879" s="116"/>
      <c r="I879" s="116"/>
      <c r="L879" s="170">
        <v>43293</v>
      </c>
      <c r="M879" s="116">
        <v>4.4000000000000004</v>
      </c>
      <c r="N879" s="116">
        <v>4.55</v>
      </c>
      <c r="O879" s="116">
        <v>4.4000000000000004</v>
      </c>
      <c r="P879" s="116">
        <v>4.45</v>
      </c>
      <c r="Q879" s="116">
        <v>4.4000000000000004</v>
      </c>
      <c r="R879">
        <v>464526</v>
      </c>
    </row>
    <row r="880" spans="1:18" x14ac:dyDescent="0.25">
      <c r="A880" s="170">
        <v>43294</v>
      </c>
      <c r="B880" s="116">
        <v>4.47</v>
      </c>
      <c r="C880" s="116">
        <v>4.34</v>
      </c>
      <c r="D880" s="116">
        <v>4.3099999999999996</v>
      </c>
      <c r="E880" s="116">
        <v>4.41</v>
      </c>
      <c r="F880" s="116">
        <v>4.34</v>
      </c>
      <c r="G880">
        <v>103525</v>
      </c>
      <c r="H880" s="116"/>
      <c r="I880" s="116"/>
      <c r="L880" s="170">
        <v>43294</v>
      </c>
      <c r="M880" s="116">
        <v>4.3</v>
      </c>
      <c r="N880" s="116">
        <v>4.5</v>
      </c>
      <c r="O880" s="116">
        <v>4.3</v>
      </c>
      <c r="P880" s="116">
        <v>4.45</v>
      </c>
      <c r="Q880" s="116">
        <v>4.3</v>
      </c>
      <c r="R880">
        <v>433453</v>
      </c>
    </row>
    <row r="881" spans="1:18" x14ac:dyDescent="0.25">
      <c r="A881" s="170">
        <v>43297</v>
      </c>
      <c r="B881" s="116">
        <v>4.3</v>
      </c>
      <c r="C881" s="116">
        <v>3.99</v>
      </c>
      <c r="D881" s="116">
        <v>3.97</v>
      </c>
      <c r="E881" s="116">
        <v>4.3</v>
      </c>
      <c r="F881" s="116">
        <v>3.99</v>
      </c>
      <c r="G881">
        <v>172486</v>
      </c>
      <c r="H881" s="116"/>
      <c r="I881" s="116"/>
      <c r="L881" s="170">
        <v>43297</v>
      </c>
      <c r="M881" s="116">
        <v>4</v>
      </c>
      <c r="N881" s="116">
        <v>4.3499999999999996</v>
      </c>
      <c r="O881" s="116">
        <v>3.95</v>
      </c>
      <c r="P881" s="116">
        <v>4.25</v>
      </c>
      <c r="Q881" s="116">
        <v>4</v>
      </c>
      <c r="R881">
        <v>1348739</v>
      </c>
    </row>
    <row r="882" spans="1:18" x14ac:dyDescent="0.25">
      <c r="A882" s="170">
        <v>43298</v>
      </c>
      <c r="B882" s="116">
        <v>4.3499999999999996</v>
      </c>
      <c r="C882" s="116">
        <v>4.22</v>
      </c>
      <c r="D882" s="116">
        <v>3.91</v>
      </c>
      <c r="E882" s="116">
        <v>3.91</v>
      </c>
      <c r="F882" s="116">
        <v>4.22</v>
      </c>
      <c r="G882">
        <v>174743</v>
      </c>
      <c r="H882" s="116"/>
      <c r="I882" s="116"/>
      <c r="L882" s="170">
        <v>43298</v>
      </c>
      <c r="M882" s="116">
        <v>4.1500000000000004</v>
      </c>
      <c r="N882" s="116">
        <v>4.3</v>
      </c>
      <c r="O882" s="116">
        <v>4</v>
      </c>
      <c r="P882" s="116">
        <v>4</v>
      </c>
      <c r="Q882" s="116">
        <v>4.1500000000000004</v>
      </c>
      <c r="R882">
        <v>484133</v>
      </c>
    </row>
    <row r="883" spans="1:18" x14ac:dyDescent="0.25">
      <c r="A883" s="170">
        <v>43299</v>
      </c>
      <c r="B883" s="116">
        <v>4.29</v>
      </c>
      <c r="C883" s="116">
        <v>4.04</v>
      </c>
      <c r="D883" s="116">
        <v>4</v>
      </c>
      <c r="E883" s="116">
        <v>4.29</v>
      </c>
      <c r="F883" s="116">
        <v>4.04</v>
      </c>
      <c r="G883">
        <v>91727</v>
      </c>
      <c r="H883" s="116"/>
      <c r="I883" s="116"/>
      <c r="L883" s="170">
        <v>43299</v>
      </c>
      <c r="M883" s="116">
        <v>4</v>
      </c>
      <c r="N883" s="116">
        <v>4.25</v>
      </c>
      <c r="O883" s="116">
        <v>4</v>
      </c>
      <c r="P883" s="116">
        <v>4.1500000000000004</v>
      </c>
      <c r="Q883" s="116">
        <v>4</v>
      </c>
      <c r="R883">
        <v>531210</v>
      </c>
    </row>
    <row r="884" spans="1:18" x14ac:dyDescent="0.25">
      <c r="A884" s="170">
        <v>43300</v>
      </c>
      <c r="B884" s="116">
        <v>4.13</v>
      </c>
      <c r="C884" s="116">
        <v>4.01</v>
      </c>
      <c r="D884" s="116">
        <v>4</v>
      </c>
      <c r="E884" s="116">
        <v>4.01</v>
      </c>
      <c r="F884" s="116">
        <v>4.01</v>
      </c>
      <c r="G884">
        <v>48534</v>
      </c>
      <c r="H884" s="116"/>
      <c r="I884" s="116"/>
      <c r="L884" s="170">
        <v>43300</v>
      </c>
      <c r="M884" s="116">
        <v>4</v>
      </c>
      <c r="N884" s="116">
        <v>4.1500000000000004</v>
      </c>
      <c r="O884" s="116">
        <v>4</v>
      </c>
      <c r="P884" s="116">
        <v>4.0999999999999996</v>
      </c>
      <c r="Q884" s="116">
        <v>4</v>
      </c>
      <c r="R884">
        <v>386102</v>
      </c>
    </row>
    <row r="885" spans="1:18" x14ac:dyDescent="0.25">
      <c r="A885" s="170">
        <v>43301</v>
      </c>
      <c r="B885" s="116">
        <v>4.07</v>
      </c>
      <c r="C885" s="116">
        <v>3.99</v>
      </c>
      <c r="D885" s="116">
        <v>3.95</v>
      </c>
      <c r="E885" s="116">
        <v>4</v>
      </c>
      <c r="F885" s="116">
        <v>3.99</v>
      </c>
      <c r="G885">
        <v>151465</v>
      </c>
      <c r="H885" s="116"/>
      <c r="I885" s="116"/>
      <c r="L885" s="170">
        <v>43301</v>
      </c>
      <c r="M885" s="116">
        <v>3.95</v>
      </c>
      <c r="N885" s="116">
        <v>4.0999999999999996</v>
      </c>
      <c r="O885" s="116">
        <v>3.95</v>
      </c>
      <c r="P885" s="116">
        <v>4</v>
      </c>
      <c r="Q885" s="116">
        <v>3.95</v>
      </c>
      <c r="R885">
        <v>525465</v>
      </c>
    </row>
    <row r="886" spans="1:18" x14ac:dyDescent="0.25">
      <c r="A886" s="170">
        <v>43304</v>
      </c>
      <c r="B886" s="116">
        <v>4.3499999999999996</v>
      </c>
      <c r="C886" s="116">
        <v>4.1100000000000003</v>
      </c>
      <c r="D886" s="116">
        <v>3.99</v>
      </c>
      <c r="E886" s="116">
        <v>3.99</v>
      </c>
      <c r="F886" s="116">
        <v>4.1100000000000003</v>
      </c>
      <c r="G886">
        <v>136654</v>
      </c>
      <c r="H886" s="116"/>
      <c r="I886" s="116"/>
      <c r="L886" s="170">
        <v>43304</v>
      </c>
      <c r="M886" s="116">
        <v>4.0999999999999996</v>
      </c>
      <c r="N886" s="116">
        <v>4.25</v>
      </c>
      <c r="O886" s="116">
        <v>4</v>
      </c>
      <c r="P886" s="116">
        <v>4</v>
      </c>
      <c r="Q886" s="116">
        <v>4.0999999999999996</v>
      </c>
      <c r="R886">
        <v>755115</v>
      </c>
    </row>
    <row r="887" spans="1:18" x14ac:dyDescent="0.25">
      <c r="A887" s="170">
        <v>43305</v>
      </c>
      <c r="B887" s="116">
        <v>4.4400000000000004</v>
      </c>
      <c r="C887" s="116">
        <v>4.41</v>
      </c>
      <c r="D887" s="116">
        <v>4.0599999999999996</v>
      </c>
      <c r="E887" s="116">
        <v>4.0599999999999996</v>
      </c>
      <c r="F887" s="116">
        <v>4.41</v>
      </c>
      <c r="G887">
        <v>270578</v>
      </c>
      <c r="H887" s="116"/>
      <c r="I887" s="116"/>
      <c r="L887" s="170">
        <v>43305</v>
      </c>
      <c r="M887" s="116">
        <v>4.4000000000000004</v>
      </c>
      <c r="N887" s="116">
        <v>4.45</v>
      </c>
      <c r="O887" s="116">
        <v>4.0999999999999996</v>
      </c>
      <c r="P887" s="116">
        <v>4.0999999999999996</v>
      </c>
      <c r="Q887" s="116">
        <v>4.4000000000000004</v>
      </c>
      <c r="R887">
        <v>1337740</v>
      </c>
    </row>
    <row r="888" spans="1:18" x14ac:dyDescent="0.25">
      <c r="A888" s="170">
        <v>43306</v>
      </c>
      <c r="B888" s="116">
        <v>4.75</v>
      </c>
      <c r="C888" s="116">
        <v>4.37</v>
      </c>
      <c r="D888" s="116">
        <v>4.3499999999999996</v>
      </c>
      <c r="E888" s="116">
        <v>4.5</v>
      </c>
      <c r="F888" s="116">
        <v>4.37</v>
      </c>
      <c r="G888">
        <v>357087</v>
      </c>
      <c r="H888" s="116"/>
      <c r="I888" s="116"/>
      <c r="L888" s="170">
        <v>43306</v>
      </c>
      <c r="M888" s="116">
        <v>4.3499999999999996</v>
      </c>
      <c r="N888" s="116">
        <v>4.7</v>
      </c>
      <c r="O888" s="116">
        <v>4.3</v>
      </c>
      <c r="P888" s="116">
        <v>4.55</v>
      </c>
      <c r="Q888" s="116">
        <v>4.3499999999999996</v>
      </c>
      <c r="R888">
        <v>1245297</v>
      </c>
    </row>
    <row r="889" spans="1:18" x14ac:dyDescent="0.25">
      <c r="A889" s="170">
        <v>43307</v>
      </c>
      <c r="B889" s="116">
        <v>5.24</v>
      </c>
      <c r="C889" s="116">
        <v>5.24</v>
      </c>
      <c r="D889" s="116">
        <v>4.12</v>
      </c>
      <c r="E889" s="116">
        <v>4.37</v>
      </c>
      <c r="F889" s="116">
        <v>5.24</v>
      </c>
      <c r="G889">
        <v>1902907</v>
      </c>
      <c r="H889" s="116"/>
      <c r="I889" s="116"/>
      <c r="L889" s="170">
        <v>43307</v>
      </c>
      <c r="M889" s="116">
        <v>5.2</v>
      </c>
      <c r="N889" s="116">
        <v>5.2</v>
      </c>
      <c r="O889" s="116">
        <v>4.3499999999999996</v>
      </c>
      <c r="P889" s="116">
        <v>4.4000000000000004</v>
      </c>
      <c r="Q889" s="116">
        <v>5.2</v>
      </c>
      <c r="R889">
        <v>5967243</v>
      </c>
    </row>
    <row r="890" spans="1:18" x14ac:dyDescent="0.25">
      <c r="A890" s="170">
        <v>43308</v>
      </c>
      <c r="B890" s="116">
        <v>5.87</v>
      </c>
      <c r="C890" s="116">
        <v>5.4</v>
      </c>
      <c r="D890" s="116">
        <v>5.0999999999999996</v>
      </c>
      <c r="E890" s="116">
        <v>5.3</v>
      </c>
      <c r="F890" s="116">
        <v>5.4</v>
      </c>
      <c r="G890">
        <v>1456295</v>
      </c>
      <c r="H890" s="116"/>
      <c r="I890" s="116"/>
      <c r="L890" s="170">
        <v>43308</v>
      </c>
      <c r="M890" s="116">
        <v>5.4</v>
      </c>
      <c r="N890" s="116">
        <v>5.85</v>
      </c>
      <c r="O890" s="116">
        <v>5.15</v>
      </c>
      <c r="P890" s="116">
        <v>5.4</v>
      </c>
      <c r="Q890" s="116">
        <v>5.4</v>
      </c>
      <c r="R890">
        <v>6254158</v>
      </c>
    </row>
    <row r="891" spans="1:18" x14ac:dyDescent="0.25">
      <c r="A891" s="170">
        <v>43311</v>
      </c>
      <c r="B891" s="116">
        <v>5.41</v>
      </c>
      <c r="C891" s="116">
        <v>5.14</v>
      </c>
      <c r="D891" s="116">
        <v>5.0999999999999996</v>
      </c>
      <c r="E891" s="116">
        <v>5.35</v>
      </c>
      <c r="F891" s="116">
        <v>5.14</v>
      </c>
      <c r="G891">
        <v>173377</v>
      </c>
      <c r="H891" s="116"/>
      <c r="I891" s="116"/>
      <c r="L891" s="170">
        <v>43311</v>
      </c>
      <c r="M891" s="116">
        <v>5.2</v>
      </c>
      <c r="N891" s="116">
        <v>5.4</v>
      </c>
      <c r="O891" s="116">
        <v>5.0999999999999996</v>
      </c>
      <c r="P891" s="116">
        <v>5.3</v>
      </c>
      <c r="Q891" s="116">
        <v>5.2</v>
      </c>
      <c r="R891">
        <v>1117181</v>
      </c>
    </row>
    <row r="892" spans="1:18" x14ac:dyDescent="0.25">
      <c r="A892" s="170">
        <v>43312</v>
      </c>
      <c r="B892" s="116">
        <v>5.19</v>
      </c>
      <c r="C892" s="116">
        <v>4.96</v>
      </c>
      <c r="D892" s="116">
        <v>4.9000000000000004</v>
      </c>
      <c r="E892" s="116">
        <v>5.13</v>
      </c>
      <c r="F892" s="116">
        <v>4.96</v>
      </c>
      <c r="G892">
        <v>297616</v>
      </c>
      <c r="H892" s="116"/>
      <c r="I892" s="116"/>
      <c r="L892" s="170">
        <v>43312</v>
      </c>
      <c r="M892" s="116">
        <v>4.95</v>
      </c>
      <c r="N892" s="116">
        <v>5.3</v>
      </c>
      <c r="O892" s="116">
        <v>4.9000000000000004</v>
      </c>
      <c r="P892" s="116">
        <v>5.0999999999999996</v>
      </c>
      <c r="Q892" s="116">
        <v>4.95</v>
      </c>
      <c r="R892">
        <v>913402</v>
      </c>
    </row>
    <row r="893" spans="1:18" x14ac:dyDescent="0.25">
      <c r="A893" s="170">
        <v>43313</v>
      </c>
      <c r="B893" s="116">
        <v>5.05</v>
      </c>
      <c r="C893" s="116">
        <v>4.92</v>
      </c>
      <c r="D893" s="116">
        <v>4.9000000000000004</v>
      </c>
      <c r="E893" s="116">
        <v>4.91</v>
      </c>
      <c r="F893" s="116">
        <v>4.92</v>
      </c>
      <c r="G893">
        <v>136854</v>
      </c>
      <c r="H893" s="116"/>
      <c r="I893" s="116"/>
      <c r="L893" s="170">
        <v>43313</v>
      </c>
      <c r="M893" s="116">
        <v>4.95</v>
      </c>
      <c r="N893" s="116">
        <v>5.05</v>
      </c>
      <c r="O893" s="116">
        <v>4.8499999999999996</v>
      </c>
      <c r="P893" s="116">
        <v>4.9000000000000004</v>
      </c>
      <c r="Q893" s="116">
        <v>4.95</v>
      </c>
      <c r="R893">
        <v>399948</v>
      </c>
    </row>
    <row r="894" spans="1:18" x14ac:dyDescent="0.25">
      <c r="A894" s="170">
        <v>43314</v>
      </c>
      <c r="B894" s="116">
        <v>5</v>
      </c>
      <c r="C894" s="116">
        <v>4.87</v>
      </c>
      <c r="D894" s="116">
        <v>4.7</v>
      </c>
      <c r="E894" s="116">
        <v>4.9000000000000004</v>
      </c>
      <c r="F894" s="116">
        <v>4.87</v>
      </c>
      <c r="G894">
        <v>301398</v>
      </c>
      <c r="H894" s="116"/>
      <c r="I894" s="116"/>
      <c r="L894" s="170">
        <v>43314</v>
      </c>
      <c r="M894" s="116">
        <v>4.8499999999999996</v>
      </c>
      <c r="N894" s="116">
        <v>5</v>
      </c>
      <c r="O894" s="116">
        <v>4.75</v>
      </c>
      <c r="P894" s="116">
        <v>4.95</v>
      </c>
      <c r="Q894" s="116">
        <v>4.8499999999999996</v>
      </c>
      <c r="R894">
        <v>675090</v>
      </c>
    </row>
    <row r="895" spans="1:18" x14ac:dyDescent="0.25">
      <c r="A895" s="170">
        <v>43315</v>
      </c>
      <c r="B895" s="116">
        <v>5.49</v>
      </c>
      <c r="C895" s="116">
        <v>5.1100000000000003</v>
      </c>
      <c r="D895" s="116">
        <v>5</v>
      </c>
      <c r="E895" s="116">
        <v>5</v>
      </c>
      <c r="F895" s="116">
        <v>5.1100000000000003</v>
      </c>
      <c r="G895">
        <v>405227</v>
      </c>
      <c r="H895" s="116"/>
      <c r="I895" s="116"/>
      <c r="L895" s="170">
        <v>43315</v>
      </c>
      <c r="M895" s="116">
        <v>5.05</v>
      </c>
      <c r="N895" s="116">
        <v>5.5</v>
      </c>
      <c r="O895" s="116">
        <v>4.95</v>
      </c>
      <c r="P895" s="116">
        <v>5</v>
      </c>
      <c r="Q895" s="116">
        <v>5.05</v>
      </c>
      <c r="R895">
        <v>1900549</v>
      </c>
    </row>
    <row r="896" spans="1:18" x14ac:dyDescent="0.25">
      <c r="A896" s="170">
        <v>43318</v>
      </c>
      <c r="B896" s="116">
        <v>5.4</v>
      </c>
      <c r="C896" s="116">
        <v>5.14</v>
      </c>
      <c r="D896" s="116">
        <v>5.12</v>
      </c>
      <c r="E896" s="116">
        <v>5.24</v>
      </c>
      <c r="F896" s="116">
        <v>5.14</v>
      </c>
      <c r="G896">
        <v>260565</v>
      </c>
      <c r="H896" s="116"/>
      <c r="I896" s="116"/>
      <c r="L896" s="170">
        <v>43318</v>
      </c>
      <c r="M896" s="116">
        <v>5.15</v>
      </c>
      <c r="N896" s="116">
        <v>5.3</v>
      </c>
      <c r="O896" s="116">
        <v>5.0999999999999996</v>
      </c>
      <c r="P896" s="116">
        <v>5.15</v>
      </c>
      <c r="Q896" s="116">
        <v>5.15</v>
      </c>
      <c r="R896">
        <v>889295</v>
      </c>
    </row>
    <row r="897" spans="1:18" x14ac:dyDescent="0.25">
      <c r="A897" s="170">
        <v>43319</v>
      </c>
      <c r="B897" s="116">
        <v>5.27</v>
      </c>
      <c r="C897" s="116">
        <v>5.05</v>
      </c>
      <c r="D897" s="116">
        <v>5.03</v>
      </c>
      <c r="E897" s="116">
        <v>5.15</v>
      </c>
      <c r="F897" s="116">
        <v>5.05</v>
      </c>
      <c r="G897">
        <v>207803</v>
      </c>
      <c r="H897" s="116"/>
      <c r="I897" s="116"/>
      <c r="L897" s="170">
        <v>43319</v>
      </c>
      <c r="M897" s="116">
        <v>5.05</v>
      </c>
      <c r="N897" s="116">
        <v>5.3</v>
      </c>
      <c r="O897" s="116">
        <v>5</v>
      </c>
      <c r="P897" s="116">
        <v>5.2</v>
      </c>
      <c r="Q897" s="116">
        <v>5.05</v>
      </c>
      <c r="R897">
        <v>1468250</v>
      </c>
    </row>
    <row r="898" spans="1:18" x14ac:dyDescent="0.25">
      <c r="A898" s="170">
        <v>43320</v>
      </c>
      <c r="B898" s="116">
        <v>5.29</v>
      </c>
      <c r="C898" s="116">
        <v>5.15</v>
      </c>
      <c r="D898" s="116">
        <v>5.05</v>
      </c>
      <c r="E898" s="116">
        <v>5.05</v>
      </c>
      <c r="F898" s="116">
        <v>5.15</v>
      </c>
      <c r="G898">
        <v>149755</v>
      </c>
      <c r="H898" s="116"/>
      <c r="I898" s="116"/>
      <c r="L898" s="170">
        <v>43320</v>
      </c>
      <c r="M898" s="116">
        <v>5.15</v>
      </c>
      <c r="N898" s="116">
        <v>5.35</v>
      </c>
      <c r="O898" s="116">
        <v>5.0999999999999996</v>
      </c>
      <c r="P898" s="116">
        <v>5.0999999999999996</v>
      </c>
      <c r="Q898" s="116">
        <v>5.15</v>
      </c>
      <c r="R898">
        <v>865102</v>
      </c>
    </row>
    <row r="899" spans="1:18" x14ac:dyDescent="0.25">
      <c r="A899" s="170">
        <v>43321</v>
      </c>
      <c r="B899" s="116">
        <v>5.25</v>
      </c>
      <c r="C899" s="116">
        <v>5.15</v>
      </c>
      <c r="D899" s="116">
        <v>5.07</v>
      </c>
      <c r="E899" s="116">
        <v>5.15</v>
      </c>
      <c r="F899" s="116">
        <v>5.15</v>
      </c>
      <c r="G899">
        <v>120398</v>
      </c>
      <c r="H899" s="116"/>
      <c r="I899" s="116"/>
      <c r="L899" s="170">
        <v>43321</v>
      </c>
      <c r="M899" s="116">
        <v>5.15</v>
      </c>
      <c r="N899" s="116">
        <v>5.2</v>
      </c>
      <c r="O899" s="116">
        <v>5.05</v>
      </c>
      <c r="P899" s="116">
        <v>5.2</v>
      </c>
      <c r="Q899" s="116">
        <v>5.15</v>
      </c>
      <c r="R899">
        <v>735111</v>
      </c>
    </row>
    <row r="900" spans="1:18" x14ac:dyDescent="0.25">
      <c r="A900" s="170">
        <v>43322</v>
      </c>
      <c r="B900" s="116">
        <v>5.4</v>
      </c>
      <c r="C900" s="116">
        <v>5.22</v>
      </c>
      <c r="D900" s="116">
        <v>5.16</v>
      </c>
      <c r="E900" s="116">
        <v>5.16</v>
      </c>
      <c r="F900" s="116">
        <v>5.22</v>
      </c>
      <c r="G900">
        <v>264720</v>
      </c>
      <c r="H900" s="116"/>
      <c r="I900" s="116"/>
      <c r="L900" s="170">
        <v>43322</v>
      </c>
      <c r="M900" s="116">
        <v>5.25</v>
      </c>
      <c r="N900" s="116">
        <v>5.35</v>
      </c>
      <c r="O900" s="116">
        <v>5.15</v>
      </c>
      <c r="P900" s="116">
        <v>5.2</v>
      </c>
      <c r="Q900" s="116">
        <v>5.25</v>
      </c>
      <c r="R900">
        <v>1006612</v>
      </c>
    </row>
    <row r="901" spans="1:18" x14ac:dyDescent="0.25">
      <c r="A901" s="170">
        <v>43325</v>
      </c>
      <c r="B901" s="116">
        <v>5.4</v>
      </c>
      <c r="C901" s="116">
        <v>5.19</v>
      </c>
      <c r="D901" s="116">
        <v>5.14</v>
      </c>
      <c r="E901" s="116">
        <v>5.25</v>
      </c>
      <c r="F901" s="116">
        <v>5.19</v>
      </c>
      <c r="G901">
        <v>123119</v>
      </c>
      <c r="H901" s="116"/>
      <c r="I901" s="116"/>
      <c r="L901" s="170">
        <v>43325</v>
      </c>
      <c r="M901" s="116">
        <v>5.2</v>
      </c>
      <c r="N901" s="116">
        <v>5.3</v>
      </c>
      <c r="O901" s="116">
        <v>5.15</v>
      </c>
      <c r="P901" s="116">
        <v>5.3</v>
      </c>
      <c r="Q901" s="116">
        <v>5.2</v>
      </c>
      <c r="R901">
        <v>574491</v>
      </c>
    </row>
    <row r="902" spans="1:18" x14ac:dyDescent="0.25">
      <c r="A902" s="170">
        <v>43326</v>
      </c>
      <c r="B902" s="116">
        <v>5.27</v>
      </c>
      <c r="C902" s="116">
        <v>5.0999999999999996</v>
      </c>
      <c r="D902" s="116">
        <v>5.0599999999999996</v>
      </c>
      <c r="E902" s="116">
        <v>5.16</v>
      </c>
      <c r="F902" s="116">
        <v>5.0999999999999996</v>
      </c>
      <c r="G902">
        <v>109188</v>
      </c>
      <c r="H902" s="116"/>
      <c r="I902" s="116"/>
      <c r="L902" s="170">
        <v>43326</v>
      </c>
      <c r="M902" s="116">
        <v>5.05</v>
      </c>
      <c r="N902" s="116">
        <v>5.3</v>
      </c>
      <c r="O902" s="116">
        <v>5.05</v>
      </c>
      <c r="P902" s="116">
        <v>5.2</v>
      </c>
      <c r="Q902" s="116">
        <v>5.05</v>
      </c>
      <c r="R902">
        <v>449718</v>
      </c>
    </row>
    <row r="903" spans="1:18" x14ac:dyDescent="0.25">
      <c r="A903" s="170">
        <v>43328</v>
      </c>
      <c r="B903" s="116">
        <v>5.09</v>
      </c>
      <c r="C903" s="116">
        <v>4.9800000000000004</v>
      </c>
      <c r="D903" s="116">
        <v>4.9400000000000004</v>
      </c>
      <c r="E903" s="116">
        <v>5.01</v>
      </c>
      <c r="F903" s="116">
        <v>4.9800000000000004</v>
      </c>
      <c r="G903">
        <v>100654</v>
      </c>
      <c r="H903" s="116"/>
      <c r="I903" s="116"/>
      <c r="L903" s="170">
        <v>43328</v>
      </c>
      <c r="M903" s="116">
        <v>4.95</v>
      </c>
      <c r="N903" s="116">
        <v>5.0999999999999996</v>
      </c>
      <c r="O903" s="116">
        <v>4.9000000000000004</v>
      </c>
      <c r="P903" s="116">
        <v>5.0999999999999996</v>
      </c>
      <c r="Q903" s="116">
        <v>4.95</v>
      </c>
      <c r="R903">
        <v>622179</v>
      </c>
    </row>
    <row r="904" spans="1:18" x14ac:dyDescent="0.25">
      <c r="A904" s="170">
        <v>43329</v>
      </c>
      <c r="B904" s="116">
        <v>5.05</v>
      </c>
      <c r="C904" s="116">
        <v>4.96</v>
      </c>
      <c r="D904" s="116">
        <v>4.93</v>
      </c>
      <c r="E904" s="116">
        <v>5</v>
      </c>
      <c r="F904" s="116">
        <v>4.96</v>
      </c>
      <c r="G904">
        <v>72041</v>
      </c>
      <c r="H904" s="116"/>
      <c r="I904" s="116"/>
      <c r="L904" s="170">
        <v>43329</v>
      </c>
      <c r="M904" s="116">
        <v>4.95</v>
      </c>
      <c r="N904" s="116">
        <v>5.05</v>
      </c>
      <c r="O904" s="116">
        <v>4.9000000000000004</v>
      </c>
      <c r="P904" s="116">
        <v>4.95</v>
      </c>
      <c r="Q904" s="116">
        <v>4.95</v>
      </c>
      <c r="R904">
        <v>488625</v>
      </c>
    </row>
    <row r="905" spans="1:18" x14ac:dyDescent="0.25">
      <c r="A905" s="170">
        <v>43332</v>
      </c>
      <c r="B905" s="116">
        <v>5.05</v>
      </c>
      <c r="C905" s="116">
        <v>4.9400000000000004</v>
      </c>
      <c r="D905" s="116">
        <v>4.91</v>
      </c>
      <c r="E905" s="116">
        <v>4.9400000000000004</v>
      </c>
      <c r="F905" s="116">
        <v>4.9400000000000004</v>
      </c>
      <c r="G905">
        <v>103642</v>
      </c>
      <c r="H905" s="116"/>
      <c r="I905" s="116"/>
      <c r="L905" s="170">
        <v>43332</v>
      </c>
      <c r="M905" s="116">
        <v>4.9000000000000004</v>
      </c>
      <c r="N905" s="116">
        <v>5.0999999999999996</v>
      </c>
      <c r="O905" s="116">
        <v>4.9000000000000004</v>
      </c>
      <c r="P905" s="116">
        <v>5</v>
      </c>
      <c r="Q905" s="116">
        <v>4.9000000000000004</v>
      </c>
      <c r="R905">
        <v>507125</v>
      </c>
    </row>
    <row r="906" spans="1:18" x14ac:dyDescent="0.25">
      <c r="A906" s="170">
        <v>43333</v>
      </c>
      <c r="B906" s="116">
        <v>5.34</v>
      </c>
      <c r="C906" s="116">
        <v>5.19</v>
      </c>
      <c r="D906" s="116">
        <v>4.91</v>
      </c>
      <c r="E906" s="116">
        <v>4.93</v>
      </c>
      <c r="F906" s="116">
        <v>5.19</v>
      </c>
      <c r="G906">
        <v>458495</v>
      </c>
      <c r="H906" s="116"/>
      <c r="I906" s="116"/>
      <c r="L906" s="170">
        <v>43333</v>
      </c>
      <c r="M906" s="116">
        <v>5.2</v>
      </c>
      <c r="N906" s="116">
        <v>5.35</v>
      </c>
      <c r="O906" s="116">
        <v>4.9000000000000004</v>
      </c>
      <c r="P906" s="116">
        <v>5</v>
      </c>
      <c r="Q906" s="116">
        <v>5.2</v>
      </c>
      <c r="R906">
        <v>1669264</v>
      </c>
    </row>
    <row r="907" spans="1:18" x14ac:dyDescent="0.25">
      <c r="A907" s="170">
        <v>43335</v>
      </c>
      <c r="B907" s="116">
        <v>5.48</v>
      </c>
      <c r="C907" s="116">
        <v>5.03</v>
      </c>
      <c r="D907" s="116">
        <v>5</v>
      </c>
      <c r="E907" s="116">
        <v>5.48</v>
      </c>
      <c r="F907" s="116">
        <v>5.03</v>
      </c>
      <c r="G907">
        <v>106371</v>
      </c>
      <c r="H907" s="116"/>
      <c r="I907" s="116"/>
      <c r="L907" s="170">
        <v>43335</v>
      </c>
      <c r="M907" s="116">
        <v>5.05</v>
      </c>
      <c r="N907" s="116">
        <v>5.3</v>
      </c>
      <c r="O907" s="116">
        <v>5</v>
      </c>
      <c r="P907" s="116">
        <v>5.25</v>
      </c>
      <c r="Q907" s="116">
        <v>5.05</v>
      </c>
      <c r="R907">
        <v>661592</v>
      </c>
    </row>
    <row r="908" spans="1:18" x14ac:dyDescent="0.25">
      <c r="A908" s="170">
        <v>43336</v>
      </c>
      <c r="B908" s="116">
        <v>5.0999999999999996</v>
      </c>
      <c r="C908" s="116">
        <v>4.99</v>
      </c>
      <c r="D908" s="116">
        <v>4.96</v>
      </c>
      <c r="E908" s="116">
        <v>5.03</v>
      </c>
      <c r="F908" s="116">
        <v>4.99</v>
      </c>
      <c r="G908">
        <v>102842</v>
      </c>
      <c r="H908" s="116"/>
      <c r="I908" s="116"/>
      <c r="L908" s="170">
        <v>43336</v>
      </c>
      <c r="M908" s="116">
        <v>4.95</v>
      </c>
      <c r="N908" s="116">
        <v>5.0999999999999996</v>
      </c>
      <c r="O908" s="116">
        <v>4.9000000000000004</v>
      </c>
      <c r="P908" s="116">
        <v>5.05</v>
      </c>
      <c r="Q908" s="116">
        <v>4.95</v>
      </c>
      <c r="R908">
        <v>765388</v>
      </c>
    </row>
    <row r="909" spans="1:18" x14ac:dyDescent="0.25">
      <c r="A909" s="170">
        <v>43339</v>
      </c>
      <c r="B909" s="116">
        <v>5.12</v>
      </c>
      <c r="C909" s="116">
        <v>4.99</v>
      </c>
      <c r="D909" s="116">
        <v>4.96</v>
      </c>
      <c r="E909" s="116">
        <v>5.12</v>
      </c>
      <c r="F909" s="116">
        <v>4.99</v>
      </c>
      <c r="G909">
        <v>130275</v>
      </c>
      <c r="H909" s="116"/>
      <c r="I909" s="116"/>
      <c r="L909" s="170">
        <v>43339</v>
      </c>
      <c r="M909" s="116">
        <v>5</v>
      </c>
      <c r="N909" s="116">
        <v>5.0999999999999996</v>
      </c>
      <c r="O909" s="116">
        <v>4.95</v>
      </c>
      <c r="P909" s="116">
        <v>5</v>
      </c>
      <c r="Q909" s="116">
        <v>5</v>
      </c>
      <c r="R909">
        <v>420595</v>
      </c>
    </row>
    <row r="910" spans="1:18" x14ac:dyDescent="0.25">
      <c r="A910" s="170">
        <v>43340</v>
      </c>
      <c r="B910" s="116">
        <v>5.0199999999999996</v>
      </c>
      <c r="C910" s="116">
        <v>4.88</v>
      </c>
      <c r="D910" s="116">
        <v>4.8</v>
      </c>
      <c r="E910" s="116">
        <v>4.97</v>
      </c>
      <c r="F910" s="116">
        <v>4.88</v>
      </c>
      <c r="G910">
        <v>133220</v>
      </c>
      <c r="H910" s="116"/>
      <c r="I910" s="116"/>
      <c r="L910" s="170">
        <v>43340</v>
      </c>
      <c r="M910" s="116">
        <v>4.8499999999999996</v>
      </c>
      <c r="N910" s="116">
        <v>5.05</v>
      </c>
      <c r="O910" s="116">
        <v>4.8</v>
      </c>
      <c r="P910" s="116">
        <v>5</v>
      </c>
      <c r="Q910" s="116">
        <v>4.8499999999999996</v>
      </c>
      <c r="R910">
        <v>1128921</v>
      </c>
    </row>
    <row r="911" spans="1:18" x14ac:dyDescent="0.25">
      <c r="A911" s="170">
        <v>43341</v>
      </c>
      <c r="B911" s="116">
        <v>5.22</v>
      </c>
      <c r="C911" s="116">
        <v>4.9400000000000004</v>
      </c>
      <c r="D911" s="116">
        <v>4.8600000000000003</v>
      </c>
      <c r="E911" s="116">
        <v>4.93</v>
      </c>
      <c r="F911" s="116">
        <v>4.9400000000000004</v>
      </c>
      <c r="G911">
        <v>248932</v>
      </c>
      <c r="H911" s="116"/>
      <c r="I911" s="116"/>
      <c r="L911" s="170">
        <v>43341</v>
      </c>
      <c r="M911" s="116">
        <v>4.9000000000000004</v>
      </c>
      <c r="N911" s="116">
        <v>5.25</v>
      </c>
      <c r="O911" s="116">
        <v>4.8499999999999996</v>
      </c>
      <c r="P911" s="116">
        <v>4.8499999999999996</v>
      </c>
      <c r="Q911" s="116">
        <v>4.9000000000000004</v>
      </c>
      <c r="R911">
        <v>1692588</v>
      </c>
    </row>
    <row r="912" spans="1:18" x14ac:dyDescent="0.25">
      <c r="A912" s="170">
        <v>43342</v>
      </c>
      <c r="B912" s="116">
        <v>5.32</v>
      </c>
      <c r="C912" s="116">
        <v>5.14</v>
      </c>
      <c r="D912" s="116">
        <v>4.9400000000000004</v>
      </c>
      <c r="E912" s="116">
        <v>4.9400000000000004</v>
      </c>
      <c r="F912" s="116">
        <v>5.14</v>
      </c>
      <c r="G912">
        <v>379522</v>
      </c>
      <c r="H912" s="116"/>
      <c r="I912" s="116"/>
      <c r="L912" s="170">
        <v>43342</v>
      </c>
      <c r="M912" s="116">
        <v>5.0999999999999996</v>
      </c>
      <c r="N912" s="116">
        <v>5.3</v>
      </c>
      <c r="O912" s="116">
        <v>4.95</v>
      </c>
      <c r="P912" s="116">
        <v>5</v>
      </c>
      <c r="Q912" s="116">
        <v>5.0999999999999996</v>
      </c>
      <c r="R912">
        <v>1599628</v>
      </c>
    </row>
    <row r="913" spans="1:18" x14ac:dyDescent="0.25">
      <c r="A913" s="170">
        <v>43343</v>
      </c>
      <c r="B913" s="116">
        <v>5.2</v>
      </c>
      <c r="C913" s="116">
        <v>5.08</v>
      </c>
      <c r="D913" s="116">
        <v>4.9800000000000004</v>
      </c>
      <c r="E913" s="116">
        <v>5.14</v>
      </c>
      <c r="F913" s="116">
        <v>5.08</v>
      </c>
      <c r="G913">
        <v>153837</v>
      </c>
      <c r="H913" s="116"/>
      <c r="I913" s="116"/>
      <c r="L913" s="170">
        <v>43343</v>
      </c>
      <c r="M913" s="116">
        <v>5.0999999999999996</v>
      </c>
      <c r="N913" s="116">
        <v>5.2</v>
      </c>
      <c r="O913" s="116">
        <v>4.95</v>
      </c>
      <c r="P913" s="116">
        <v>5.0999999999999996</v>
      </c>
      <c r="Q913" s="116">
        <v>5.0999999999999996</v>
      </c>
      <c r="R913">
        <v>778594</v>
      </c>
    </row>
    <row r="914" spans="1:18" x14ac:dyDescent="0.25">
      <c r="A914" s="170">
        <v>43346</v>
      </c>
      <c r="B914" s="116">
        <v>5.0999999999999996</v>
      </c>
      <c r="C914" s="116">
        <v>5.04</v>
      </c>
      <c r="D914" s="116">
        <v>5</v>
      </c>
      <c r="E914" s="116">
        <v>5.0999999999999996</v>
      </c>
      <c r="F914" s="116">
        <v>5.04</v>
      </c>
      <c r="G914">
        <v>143223</v>
      </c>
      <c r="H914" s="116"/>
      <c r="I914" s="116"/>
      <c r="L914" s="170">
        <v>43346</v>
      </c>
      <c r="M914" s="116">
        <v>5.05</v>
      </c>
      <c r="N914" s="116">
        <v>5.15</v>
      </c>
      <c r="O914" s="116">
        <v>4.95</v>
      </c>
      <c r="P914" s="116">
        <v>5.0999999999999996</v>
      </c>
      <c r="Q914" s="116">
        <v>5.05</v>
      </c>
      <c r="R914">
        <v>800122</v>
      </c>
    </row>
    <row r="915" spans="1:18" x14ac:dyDescent="0.25">
      <c r="A915" s="170">
        <v>43347</v>
      </c>
      <c r="B915" s="116">
        <v>5.1100000000000003</v>
      </c>
      <c r="C915" s="116">
        <v>5.05</v>
      </c>
      <c r="D915" s="116">
        <v>5.01</v>
      </c>
      <c r="E915" s="116">
        <v>5.0999999999999996</v>
      </c>
      <c r="F915" s="116">
        <v>5.05</v>
      </c>
      <c r="G915">
        <v>134915</v>
      </c>
      <c r="H915" s="116"/>
      <c r="I915" s="116"/>
      <c r="L915" s="170">
        <v>43347</v>
      </c>
      <c r="M915" s="116">
        <v>5.05</v>
      </c>
      <c r="N915" s="116">
        <v>5.15</v>
      </c>
      <c r="O915" s="116">
        <v>5</v>
      </c>
      <c r="P915" s="116">
        <v>5.0999999999999996</v>
      </c>
      <c r="Q915" s="116">
        <v>5.05</v>
      </c>
      <c r="R915">
        <v>1314890</v>
      </c>
    </row>
    <row r="916" spans="1:18" x14ac:dyDescent="0.25">
      <c r="A916" s="170">
        <v>43348</v>
      </c>
      <c r="B916" s="116">
        <v>5.08</v>
      </c>
      <c r="C916" s="116">
        <v>5.01</v>
      </c>
      <c r="D916" s="116">
        <v>4.96</v>
      </c>
      <c r="E916" s="116">
        <v>4.96</v>
      </c>
      <c r="F916" s="116">
        <v>5.01</v>
      </c>
      <c r="G916">
        <v>149743</v>
      </c>
      <c r="H916" s="116"/>
      <c r="I916" s="116"/>
      <c r="L916" s="170">
        <v>43348</v>
      </c>
      <c r="M916" s="116">
        <v>5</v>
      </c>
      <c r="N916" s="116">
        <v>5.0999999999999996</v>
      </c>
      <c r="O916" s="116">
        <v>4.95</v>
      </c>
      <c r="P916" s="116">
        <v>5</v>
      </c>
      <c r="Q916" s="116">
        <v>5</v>
      </c>
      <c r="R916">
        <v>821181</v>
      </c>
    </row>
    <row r="917" spans="1:18" x14ac:dyDescent="0.25">
      <c r="A917" s="170">
        <v>43349</v>
      </c>
      <c r="B917" s="116">
        <v>5.04</v>
      </c>
      <c r="C917" s="116">
        <v>4.97</v>
      </c>
      <c r="D917" s="116">
        <v>4.95</v>
      </c>
      <c r="E917" s="116">
        <v>5</v>
      </c>
      <c r="F917" s="116">
        <v>4.97</v>
      </c>
      <c r="G917">
        <v>119132</v>
      </c>
      <c r="H917" s="116"/>
      <c r="I917" s="116"/>
      <c r="L917" s="170">
        <v>43349</v>
      </c>
      <c r="M917" s="116">
        <v>5</v>
      </c>
      <c r="N917" s="116">
        <v>5.05</v>
      </c>
      <c r="O917" s="116">
        <v>4.95</v>
      </c>
      <c r="P917" s="116">
        <v>5</v>
      </c>
      <c r="Q917" s="116">
        <v>5</v>
      </c>
      <c r="R917">
        <v>470084</v>
      </c>
    </row>
    <row r="918" spans="1:18" x14ac:dyDescent="0.25">
      <c r="A918" s="170">
        <v>43350</v>
      </c>
      <c r="B918" s="116">
        <v>5.0199999999999996</v>
      </c>
      <c r="C918" s="116">
        <v>4.97</v>
      </c>
      <c r="D918" s="116">
        <v>4.95</v>
      </c>
      <c r="E918" s="116">
        <v>5.0199999999999996</v>
      </c>
      <c r="F918" s="116">
        <v>4.97</v>
      </c>
      <c r="G918">
        <v>57719</v>
      </c>
      <c r="H918" s="116"/>
      <c r="I918" s="116"/>
      <c r="L918" s="170">
        <v>43350</v>
      </c>
      <c r="M918" s="116">
        <v>4.95</v>
      </c>
      <c r="N918" s="116">
        <v>5.05</v>
      </c>
      <c r="O918" s="116">
        <v>4.95</v>
      </c>
      <c r="P918" s="116">
        <v>5</v>
      </c>
      <c r="Q918" s="116">
        <v>4.95</v>
      </c>
      <c r="R918">
        <v>578642</v>
      </c>
    </row>
    <row r="919" spans="1:18" x14ac:dyDescent="0.25">
      <c r="A919" s="170">
        <v>43353</v>
      </c>
      <c r="B919" s="116">
        <v>4.96</v>
      </c>
      <c r="C919" s="116">
        <v>4.88</v>
      </c>
      <c r="D919" s="116">
        <v>4.87</v>
      </c>
      <c r="E919" s="116">
        <v>4.93</v>
      </c>
      <c r="F919" s="116">
        <v>4.88</v>
      </c>
      <c r="G919">
        <v>101073</v>
      </c>
      <c r="H919" s="116"/>
      <c r="I919" s="116"/>
      <c r="L919" s="170">
        <v>43353</v>
      </c>
      <c r="M919" s="116">
        <v>4.9000000000000004</v>
      </c>
      <c r="N919" s="116">
        <v>4.95</v>
      </c>
      <c r="O919" s="116">
        <v>4.8499999999999996</v>
      </c>
      <c r="P919" s="116">
        <v>4.95</v>
      </c>
      <c r="Q919" s="116">
        <v>4.9000000000000004</v>
      </c>
      <c r="R919">
        <v>436628</v>
      </c>
    </row>
    <row r="920" spans="1:18" x14ac:dyDescent="0.25">
      <c r="A920" s="170">
        <v>43354</v>
      </c>
      <c r="B920" s="116">
        <v>4.95</v>
      </c>
      <c r="C920" s="116">
        <v>4.8499999999999996</v>
      </c>
      <c r="D920" s="116">
        <v>4.83</v>
      </c>
      <c r="E920" s="116">
        <v>4.95</v>
      </c>
      <c r="F920" s="116">
        <v>4.8499999999999996</v>
      </c>
      <c r="G920">
        <v>67413</v>
      </c>
      <c r="H920" s="116"/>
      <c r="I920" s="116"/>
      <c r="L920" s="170">
        <v>43354</v>
      </c>
      <c r="M920" s="116">
        <v>4.8499999999999996</v>
      </c>
      <c r="N920" s="116">
        <v>4.95</v>
      </c>
      <c r="O920" s="116">
        <v>4.8</v>
      </c>
      <c r="P920" s="116">
        <v>4.9000000000000004</v>
      </c>
      <c r="Q920" s="116">
        <v>4.8499999999999996</v>
      </c>
      <c r="R920">
        <v>415109</v>
      </c>
    </row>
    <row r="921" spans="1:18" x14ac:dyDescent="0.25">
      <c r="A921" s="170">
        <v>43355</v>
      </c>
      <c r="B921" s="116">
        <v>4.88</v>
      </c>
      <c r="C921" s="116">
        <v>4.8</v>
      </c>
      <c r="D921" s="116">
        <v>4.7699999999999996</v>
      </c>
      <c r="E921" s="116">
        <v>4.8600000000000003</v>
      </c>
      <c r="F921" s="116">
        <v>4.8</v>
      </c>
      <c r="G921">
        <v>79933</v>
      </c>
      <c r="H921" s="116"/>
      <c r="I921" s="116"/>
      <c r="L921" s="170">
        <v>43355</v>
      </c>
      <c r="M921" s="116">
        <v>4.8499999999999996</v>
      </c>
      <c r="N921" s="116">
        <v>4.9000000000000004</v>
      </c>
      <c r="O921" s="116">
        <v>4.8</v>
      </c>
      <c r="P921" s="116">
        <v>4.9000000000000004</v>
      </c>
      <c r="Q921" s="116">
        <v>4.8499999999999996</v>
      </c>
      <c r="R921">
        <v>301646</v>
      </c>
    </row>
    <row r="922" spans="1:18" x14ac:dyDescent="0.25">
      <c r="A922" s="170">
        <v>43357</v>
      </c>
      <c r="B922" s="116">
        <v>4.95</v>
      </c>
      <c r="C922" s="116">
        <v>4.8499999999999996</v>
      </c>
      <c r="D922" s="116">
        <v>4.8</v>
      </c>
      <c r="E922" s="116">
        <v>4.8499999999999996</v>
      </c>
      <c r="F922" s="116">
        <v>4.8499999999999996</v>
      </c>
      <c r="G922">
        <v>128865</v>
      </c>
      <c r="H922" s="116"/>
      <c r="I922" s="116"/>
      <c r="L922" s="170">
        <v>43357</v>
      </c>
      <c r="M922" s="116">
        <v>4.8499999999999996</v>
      </c>
      <c r="N922" s="116">
        <v>4.95</v>
      </c>
      <c r="O922" s="116">
        <v>4.8</v>
      </c>
      <c r="P922" s="116">
        <v>4.8499999999999996</v>
      </c>
      <c r="Q922" s="116">
        <v>4.8499999999999996</v>
      </c>
      <c r="R922">
        <v>421456</v>
      </c>
    </row>
    <row r="923" spans="1:18" x14ac:dyDescent="0.25">
      <c r="A923" s="170">
        <v>43360</v>
      </c>
      <c r="B923" s="116">
        <v>4.95</v>
      </c>
      <c r="C923" s="116">
        <v>4.84</v>
      </c>
      <c r="D923" s="116">
        <v>4.8</v>
      </c>
      <c r="E923" s="116">
        <v>4.8499999999999996</v>
      </c>
      <c r="F923" s="116">
        <v>4.84</v>
      </c>
      <c r="G923">
        <v>150243</v>
      </c>
      <c r="H923" s="116"/>
      <c r="I923" s="116"/>
      <c r="L923" s="170">
        <v>43360</v>
      </c>
      <c r="M923" s="116">
        <v>4.8499999999999996</v>
      </c>
      <c r="N923" s="116">
        <v>4.95</v>
      </c>
      <c r="O923" s="116">
        <v>4.8</v>
      </c>
      <c r="P923" s="116">
        <v>4.8</v>
      </c>
      <c r="Q923" s="116">
        <v>4.8499999999999996</v>
      </c>
      <c r="R923">
        <v>392386</v>
      </c>
    </row>
    <row r="924" spans="1:18" x14ac:dyDescent="0.25">
      <c r="A924" s="170">
        <v>43361</v>
      </c>
      <c r="B924" s="116">
        <v>4.9000000000000004</v>
      </c>
      <c r="C924" s="116">
        <v>4.83</v>
      </c>
      <c r="D924" s="116">
        <v>4.8</v>
      </c>
      <c r="E924" s="116">
        <v>4.9000000000000004</v>
      </c>
      <c r="F924" s="116">
        <v>4.83</v>
      </c>
      <c r="G924">
        <v>140091</v>
      </c>
      <c r="H924" s="116"/>
      <c r="I924" s="116"/>
      <c r="L924" s="170">
        <v>43361</v>
      </c>
      <c r="M924" s="116">
        <v>4.8</v>
      </c>
      <c r="N924" s="116">
        <v>4.9000000000000004</v>
      </c>
      <c r="O924" s="116">
        <v>4.8</v>
      </c>
      <c r="P924" s="116">
        <v>4.9000000000000004</v>
      </c>
      <c r="Q924" s="116">
        <v>4.8</v>
      </c>
      <c r="R924">
        <v>460400</v>
      </c>
    </row>
    <row r="925" spans="1:18" x14ac:dyDescent="0.25">
      <c r="A925" s="170">
        <v>43362</v>
      </c>
      <c r="B925" s="116">
        <v>4.87</v>
      </c>
      <c r="C925" s="116">
        <v>4.79</v>
      </c>
      <c r="D925" s="116">
        <v>4.7</v>
      </c>
      <c r="E925" s="116">
        <v>4.8099999999999996</v>
      </c>
      <c r="F925" s="116">
        <v>4.79</v>
      </c>
      <c r="G925">
        <v>93644</v>
      </c>
      <c r="H925" s="116"/>
      <c r="I925" s="116"/>
      <c r="L925" s="170">
        <v>43362</v>
      </c>
      <c r="M925" s="116">
        <v>4.75</v>
      </c>
      <c r="N925" s="116">
        <v>4.9000000000000004</v>
      </c>
      <c r="O925" s="116">
        <v>4.7</v>
      </c>
      <c r="P925" s="116">
        <v>4.8</v>
      </c>
      <c r="Q925" s="116">
        <v>4.75</v>
      </c>
      <c r="R925">
        <v>598815</v>
      </c>
    </row>
    <row r="926" spans="1:18" x14ac:dyDescent="0.25">
      <c r="A926" s="170">
        <v>43364</v>
      </c>
      <c r="B926" s="116">
        <v>4.79</v>
      </c>
      <c r="C926" s="116">
        <v>4.54</v>
      </c>
      <c r="D926" s="116">
        <v>4.41</v>
      </c>
      <c r="E926" s="116">
        <v>4.75</v>
      </c>
      <c r="F926" s="116">
        <v>4.54</v>
      </c>
      <c r="G926">
        <v>254532</v>
      </c>
      <c r="H926" s="116"/>
      <c r="I926" s="116"/>
      <c r="L926" s="170">
        <v>43364</v>
      </c>
      <c r="M926" s="116">
        <v>4.5</v>
      </c>
      <c r="N926" s="116">
        <v>4.8</v>
      </c>
      <c r="O926" s="116">
        <v>4.45</v>
      </c>
      <c r="P926" s="116">
        <v>4.75</v>
      </c>
      <c r="Q926" s="116">
        <v>4.5</v>
      </c>
      <c r="R926">
        <v>1146982</v>
      </c>
    </row>
    <row r="927" spans="1:18" x14ac:dyDescent="0.25">
      <c r="A927" s="170">
        <v>43367</v>
      </c>
      <c r="B927" s="116">
        <v>4.49</v>
      </c>
      <c r="C927" s="116">
        <v>4.26</v>
      </c>
      <c r="D927" s="116">
        <v>4.26</v>
      </c>
      <c r="E927" s="116">
        <v>4.49</v>
      </c>
      <c r="F927" s="116">
        <v>4.26</v>
      </c>
      <c r="G927">
        <v>160445</v>
      </c>
      <c r="H927" s="116"/>
      <c r="I927" s="116"/>
      <c r="L927" s="170">
        <v>43367</v>
      </c>
      <c r="M927" s="116">
        <v>4.25</v>
      </c>
      <c r="N927" s="116">
        <v>4.5</v>
      </c>
      <c r="O927" s="116">
        <v>4.25</v>
      </c>
      <c r="P927" s="116">
        <v>4.5</v>
      </c>
      <c r="Q927" s="116">
        <v>4.25</v>
      </c>
      <c r="R927">
        <v>893081</v>
      </c>
    </row>
    <row r="928" spans="1:18" x14ac:dyDescent="0.25">
      <c r="A928" s="170">
        <v>43368</v>
      </c>
      <c r="B928" s="116">
        <v>4.34</v>
      </c>
      <c r="C928" s="116">
        <v>4.22</v>
      </c>
      <c r="D928" s="116">
        <v>4.1500000000000004</v>
      </c>
      <c r="E928" s="116">
        <v>4.17</v>
      </c>
      <c r="F928" s="116">
        <v>4.22</v>
      </c>
      <c r="G928">
        <v>423710</v>
      </c>
      <c r="H928" s="116"/>
      <c r="I928" s="116"/>
      <c r="L928" s="170">
        <v>43368</v>
      </c>
      <c r="M928" s="116">
        <v>4.2</v>
      </c>
      <c r="N928" s="116">
        <v>4.3499999999999996</v>
      </c>
      <c r="O928" s="116">
        <v>4.1500000000000004</v>
      </c>
      <c r="P928" s="116">
        <v>4.25</v>
      </c>
      <c r="Q928" s="116">
        <v>4.2</v>
      </c>
      <c r="R928">
        <v>1137380</v>
      </c>
    </row>
    <row r="929" spans="1:18" x14ac:dyDescent="0.25">
      <c r="A929" s="170">
        <v>43369</v>
      </c>
      <c r="B929" s="116">
        <v>4.3</v>
      </c>
      <c r="C929" s="116">
        <v>4.2</v>
      </c>
      <c r="D929" s="116">
        <v>4.1900000000000004</v>
      </c>
      <c r="E929" s="116">
        <v>4.25</v>
      </c>
      <c r="F929" s="116">
        <v>4.2</v>
      </c>
      <c r="G929">
        <v>198339</v>
      </c>
      <c r="H929" s="116"/>
      <c r="I929" s="116"/>
      <c r="L929" s="170">
        <v>43369</v>
      </c>
      <c r="M929" s="116">
        <v>4.2</v>
      </c>
      <c r="N929" s="116">
        <v>4.3</v>
      </c>
      <c r="O929" s="116">
        <v>4.1500000000000004</v>
      </c>
      <c r="P929" s="116">
        <v>4.25</v>
      </c>
      <c r="Q929" s="116">
        <v>4.2</v>
      </c>
      <c r="R929">
        <v>635393</v>
      </c>
    </row>
    <row r="930" spans="1:18" x14ac:dyDescent="0.25">
      <c r="A930" s="170">
        <v>43370</v>
      </c>
      <c r="B930" s="116">
        <v>4.24</v>
      </c>
      <c r="C930" s="116">
        <v>4.17</v>
      </c>
      <c r="D930" s="116">
        <v>4.1500000000000004</v>
      </c>
      <c r="E930" s="116">
        <v>4.24</v>
      </c>
      <c r="F930" s="116">
        <v>4.17</v>
      </c>
      <c r="G930">
        <v>81505</v>
      </c>
      <c r="H930" s="116"/>
      <c r="I930" s="116"/>
      <c r="L930" s="170">
        <v>43370</v>
      </c>
      <c r="M930" s="116">
        <v>4.1500000000000004</v>
      </c>
      <c r="N930" s="116">
        <v>4.25</v>
      </c>
      <c r="O930" s="116">
        <v>4.1500000000000004</v>
      </c>
      <c r="P930" s="116">
        <v>4.2</v>
      </c>
      <c r="Q930" s="116">
        <v>4.1500000000000004</v>
      </c>
      <c r="R930">
        <v>548777</v>
      </c>
    </row>
    <row r="931" spans="1:18" x14ac:dyDescent="0.25">
      <c r="A931" s="170">
        <v>43371</v>
      </c>
      <c r="B931" s="116">
        <v>4.68</v>
      </c>
      <c r="C931" s="116">
        <v>4.34</v>
      </c>
      <c r="D931" s="116">
        <v>4.2</v>
      </c>
      <c r="E931" s="116">
        <v>4.21</v>
      </c>
      <c r="F931" s="116">
        <v>4.34</v>
      </c>
      <c r="G931">
        <v>358583</v>
      </c>
      <c r="H931" s="116"/>
      <c r="I931" s="116"/>
      <c r="L931" s="170">
        <v>43371</v>
      </c>
      <c r="M931" s="116">
        <v>4.3</v>
      </c>
      <c r="N931" s="116">
        <v>4.95</v>
      </c>
      <c r="O931" s="116">
        <v>4.1500000000000004</v>
      </c>
      <c r="P931" s="116">
        <v>4.2</v>
      </c>
      <c r="Q931" s="116">
        <v>4.3</v>
      </c>
      <c r="R931">
        <v>1516002</v>
      </c>
    </row>
    <row r="932" spans="1:18" x14ac:dyDescent="0.25">
      <c r="A932" s="170">
        <v>43374</v>
      </c>
      <c r="B932" s="116">
        <v>4.43</v>
      </c>
      <c r="C932" s="116">
        <v>4.0599999999999996</v>
      </c>
      <c r="D932" s="116">
        <v>4</v>
      </c>
      <c r="E932" s="116">
        <v>4.43</v>
      </c>
      <c r="F932" s="116">
        <v>4.0599999999999996</v>
      </c>
      <c r="G932">
        <v>490498</v>
      </c>
      <c r="H932" s="116"/>
      <c r="I932" s="116"/>
      <c r="L932" s="170">
        <v>43374</v>
      </c>
      <c r="M932" s="116">
        <v>4.0999999999999996</v>
      </c>
      <c r="N932" s="116">
        <v>4.8</v>
      </c>
      <c r="O932" s="116">
        <v>3.95</v>
      </c>
      <c r="P932" s="116">
        <v>4.3</v>
      </c>
      <c r="Q932" s="116">
        <v>4.0999999999999996</v>
      </c>
      <c r="R932">
        <v>1670706</v>
      </c>
    </row>
    <row r="933" spans="1:18" x14ac:dyDescent="0.25">
      <c r="A933" s="170">
        <v>43376</v>
      </c>
      <c r="B933" s="116">
        <v>4.1500000000000004</v>
      </c>
      <c r="C933" s="116">
        <v>4.04</v>
      </c>
      <c r="D933" s="116">
        <v>4.03</v>
      </c>
      <c r="E933" s="116">
        <v>4.07</v>
      </c>
      <c r="F933" s="116">
        <v>4.04</v>
      </c>
      <c r="G933">
        <v>128494</v>
      </c>
      <c r="H933" s="116"/>
      <c r="I933" s="116"/>
      <c r="L933" s="170">
        <v>43376</v>
      </c>
      <c r="M933" s="116">
        <v>4.05</v>
      </c>
      <c r="N933" s="116">
        <v>4.1500000000000004</v>
      </c>
      <c r="O933" s="116">
        <v>4</v>
      </c>
      <c r="P933" s="116">
        <v>4.0999999999999996</v>
      </c>
      <c r="Q933" s="116">
        <v>4.05</v>
      </c>
      <c r="R933">
        <v>750411</v>
      </c>
    </row>
    <row r="934" spans="1:18" x14ac:dyDescent="0.25">
      <c r="A934" s="170">
        <v>43377</v>
      </c>
      <c r="B934" s="116">
        <v>4.08</v>
      </c>
      <c r="C934" s="116">
        <v>4.05</v>
      </c>
      <c r="D934" s="116">
        <v>3.97</v>
      </c>
      <c r="E934" s="116">
        <v>4.04</v>
      </c>
      <c r="F934" s="116">
        <v>4.05</v>
      </c>
      <c r="G934">
        <v>154185</v>
      </c>
      <c r="H934" s="116"/>
      <c r="I934" s="116"/>
      <c r="L934" s="170">
        <v>43377</v>
      </c>
      <c r="M934" s="116">
        <v>4.05</v>
      </c>
      <c r="N934" s="116">
        <v>4.0999999999999996</v>
      </c>
      <c r="O934" s="116">
        <v>3.95</v>
      </c>
      <c r="P934" s="116">
        <v>4.05</v>
      </c>
      <c r="Q934" s="116">
        <v>4.05</v>
      </c>
      <c r="R934">
        <v>1330148</v>
      </c>
    </row>
    <row r="935" spans="1:18" x14ac:dyDescent="0.25">
      <c r="A935" s="170">
        <v>43378</v>
      </c>
      <c r="B935" s="116">
        <v>4.07</v>
      </c>
      <c r="C935" s="116">
        <v>3.97</v>
      </c>
      <c r="D935" s="116">
        <v>3.95</v>
      </c>
      <c r="E935" s="116">
        <v>4.03</v>
      </c>
      <c r="F935" s="116">
        <v>3.97</v>
      </c>
      <c r="G935">
        <v>104144</v>
      </c>
      <c r="H935" s="116"/>
      <c r="I935" s="116"/>
      <c r="L935" s="170">
        <v>43378</v>
      </c>
      <c r="M935" s="116">
        <v>3.95</v>
      </c>
      <c r="N935" s="116">
        <v>4.0999999999999996</v>
      </c>
      <c r="O935" s="116">
        <v>3.95</v>
      </c>
      <c r="P935" s="116">
        <v>4.0999999999999996</v>
      </c>
      <c r="Q935" s="116">
        <v>3.95</v>
      </c>
      <c r="R935">
        <v>666502</v>
      </c>
    </row>
    <row r="936" spans="1:18" x14ac:dyDescent="0.25">
      <c r="A936" s="170">
        <v>43381</v>
      </c>
      <c r="B936" s="116">
        <v>4.03</v>
      </c>
      <c r="C936" s="116">
        <v>3.9</v>
      </c>
      <c r="D936" s="116">
        <v>3.9</v>
      </c>
      <c r="E936" s="116">
        <v>4.0199999999999996</v>
      </c>
      <c r="F936" s="116">
        <v>3.9</v>
      </c>
      <c r="G936">
        <v>213285</v>
      </c>
      <c r="H936" s="116"/>
      <c r="I936" s="116"/>
      <c r="L936" s="170">
        <v>43381</v>
      </c>
      <c r="M936" s="116">
        <v>3.9</v>
      </c>
      <c r="N936" s="116">
        <v>4.05</v>
      </c>
      <c r="O936" s="116">
        <v>3.85</v>
      </c>
      <c r="P936" s="116">
        <v>4.05</v>
      </c>
      <c r="Q936" s="116">
        <v>3.9</v>
      </c>
      <c r="R936">
        <v>779879</v>
      </c>
    </row>
    <row r="937" spans="1:18" x14ac:dyDescent="0.25">
      <c r="A937" s="170">
        <v>43382</v>
      </c>
      <c r="B937" s="116">
        <v>4.07</v>
      </c>
      <c r="C937" s="116">
        <v>3.81</v>
      </c>
      <c r="D937" s="116">
        <v>3.75</v>
      </c>
      <c r="E937" s="116">
        <v>3.92</v>
      </c>
      <c r="F937" s="116">
        <v>3.81</v>
      </c>
      <c r="G937">
        <v>222524</v>
      </c>
      <c r="H937" s="116"/>
      <c r="I937" s="116"/>
      <c r="L937" s="170">
        <v>43382</v>
      </c>
      <c r="M937" s="116">
        <v>3.85</v>
      </c>
      <c r="N937" s="116">
        <v>4.05</v>
      </c>
      <c r="O937" s="116">
        <v>3.75</v>
      </c>
      <c r="P937" s="116">
        <v>3.95</v>
      </c>
      <c r="Q937" s="116">
        <v>3.85</v>
      </c>
      <c r="R937">
        <v>1254165</v>
      </c>
    </row>
    <row r="938" spans="1:18" x14ac:dyDescent="0.25">
      <c r="A938" s="170">
        <v>43383</v>
      </c>
      <c r="B938" s="116">
        <v>3.98</v>
      </c>
      <c r="C938" s="116">
        <v>3.89</v>
      </c>
      <c r="D938" s="116">
        <v>3.84</v>
      </c>
      <c r="E938" s="116">
        <v>3.9</v>
      </c>
      <c r="F938" s="116">
        <v>3.89</v>
      </c>
      <c r="G938">
        <v>149758</v>
      </c>
      <c r="H938" s="116"/>
      <c r="I938" s="116"/>
      <c r="L938" s="170">
        <v>43383</v>
      </c>
      <c r="M938" s="116">
        <v>3.9</v>
      </c>
      <c r="N938" s="116">
        <v>3.95</v>
      </c>
      <c r="O938" s="116">
        <v>3.85</v>
      </c>
      <c r="P938" s="116">
        <v>3.85</v>
      </c>
      <c r="Q938" s="116">
        <v>3.9</v>
      </c>
      <c r="R938">
        <v>515806</v>
      </c>
    </row>
    <row r="939" spans="1:18" x14ac:dyDescent="0.25">
      <c r="A939" s="170">
        <v>43384</v>
      </c>
      <c r="B939" s="116">
        <v>3.9</v>
      </c>
      <c r="C939" s="116">
        <v>3.82</v>
      </c>
      <c r="D939" s="116">
        <v>3.78</v>
      </c>
      <c r="E939" s="116">
        <v>3.9</v>
      </c>
      <c r="F939" s="116">
        <v>3.82</v>
      </c>
      <c r="G939">
        <v>186285</v>
      </c>
      <c r="H939" s="116"/>
      <c r="I939" s="116"/>
      <c r="L939" s="170">
        <v>43384</v>
      </c>
      <c r="M939" s="116">
        <v>3.8</v>
      </c>
      <c r="N939" s="116">
        <v>3.9</v>
      </c>
      <c r="O939" s="116">
        <v>3.75</v>
      </c>
      <c r="P939" s="116">
        <v>3.9</v>
      </c>
      <c r="Q939" s="116">
        <v>3.8</v>
      </c>
      <c r="R939">
        <v>694811</v>
      </c>
    </row>
    <row r="940" spans="1:18" x14ac:dyDescent="0.25">
      <c r="A940" s="170">
        <v>43385</v>
      </c>
      <c r="B940" s="116">
        <v>4.07</v>
      </c>
      <c r="C940" s="116">
        <v>3.89</v>
      </c>
      <c r="D940" s="116">
        <v>3.86</v>
      </c>
      <c r="E940" s="116">
        <v>3.93</v>
      </c>
      <c r="F940" s="116">
        <v>3.89</v>
      </c>
      <c r="G940">
        <v>161999</v>
      </c>
      <c r="H940" s="116"/>
      <c r="I940" s="116"/>
      <c r="L940" s="170">
        <v>43385</v>
      </c>
      <c r="M940" s="116">
        <v>3.85</v>
      </c>
      <c r="N940" s="116">
        <v>4.0999999999999996</v>
      </c>
      <c r="O940" s="116">
        <v>3.85</v>
      </c>
      <c r="P940" s="116">
        <v>3.9</v>
      </c>
      <c r="Q940" s="116">
        <v>3.85</v>
      </c>
      <c r="R940">
        <v>863080</v>
      </c>
    </row>
    <row r="941" spans="1:18" x14ac:dyDescent="0.25">
      <c r="A941" s="170">
        <v>43388</v>
      </c>
      <c r="B941" s="116">
        <v>3.98</v>
      </c>
      <c r="C941" s="116">
        <v>3.9</v>
      </c>
      <c r="D941" s="116">
        <v>3.85</v>
      </c>
      <c r="E941" s="116">
        <v>3.89</v>
      </c>
      <c r="F941" s="116">
        <v>3.9</v>
      </c>
      <c r="G941">
        <v>71849</v>
      </c>
      <c r="H941" s="116"/>
      <c r="I941" s="116"/>
      <c r="L941" s="170">
        <v>43388</v>
      </c>
      <c r="M941" s="116">
        <v>3.95</v>
      </c>
      <c r="N941" s="116">
        <v>4</v>
      </c>
      <c r="O941" s="116">
        <v>3.9</v>
      </c>
      <c r="P941" s="116">
        <v>3.95</v>
      </c>
      <c r="Q941" s="116">
        <v>3.95</v>
      </c>
      <c r="R941">
        <v>507657</v>
      </c>
    </row>
    <row r="942" spans="1:18" x14ac:dyDescent="0.25">
      <c r="A942" s="170">
        <v>43389</v>
      </c>
      <c r="B942" s="116">
        <v>4.04</v>
      </c>
      <c r="C942" s="116">
        <v>3.96</v>
      </c>
      <c r="D942" s="116">
        <v>3.9</v>
      </c>
      <c r="E942" s="116">
        <v>3.99</v>
      </c>
      <c r="F942" s="116">
        <v>3.96</v>
      </c>
      <c r="G942">
        <v>165615</v>
      </c>
      <c r="H942" s="116"/>
      <c r="I942" s="116"/>
      <c r="L942" s="170">
        <v>43389</v>
      </c>
      <c r="M942" s="116">
        <v>3.95</v>
      </c>
      <c r="N942" s="116">
        <v>4.05</v>
      </c>
      <c r="O942" s="116">
        <v>3.9</v>
      </c>
      <c r="P942" s="116">
        <v>3.95</v>
      </c>
      <c r="Q942" s="116">
        <v>3.95</v>
      </c>
      <c r="R942">
        <v>627682</v>
      </c>
    </row>
    <row r="943" spans="1:18" x14ac:dyDescent="0.25">
      <c r="A943" s="170">
        <v>43390</v>
      </c>
      <c r="B943" s="116">
        <v>4.0199999999999996</v>
      </c>
      <c r="C943" s="116">
        <v>3.9</v>
      </c>
      <c r="D943" s="116">
        <v>3.88</v>
      </c>
      <c r="E943" s="116">
        <v>4</v>
      </c>
      <c r="F943" s="116">
        <v>3.9</v>
      </c>
      <c r="G943">
        <v>86197</v>
      </c>
      <c r="H943" s="116"/>
      <c r="I943" s="116"/>
      <c r="L943" s="170">
        <v>43390</v>
      </c>
      <c r="M943" s="116">
        <v>3.9</v>
      </c>
      <c r="N943" s="116">
        <v>4.05</v>
      </c>
      <c r="O943" s="116">
        <v>3.85</v>
      </c>
      <c r="P943" s="116">
        <v>4</v>
      </c>
      <c r="Q943" s="116">
        <v>3.9</v>
      </c>
      <c r="R943">
        <v>389475</v>
      </c>
    </row>
    <row r="944" spans="1:18" x14ac:dyDescent="0.25">
      <c r="A944" s="170">
        <v>43392</v>
      </c>
      <c r="B944" s="116">
        <v>3.93</v>
      </c>
      <c r="C944" s="116">
        <v>3.89</v>
      </c>
      <c r="D944" s="116">
        <v>3.86</v>
      </c>
      <c r="E944" s="116">
        <v>3.9</v>
      </c>
      <c r="F944" s="116">
        <v>3.89</v>
      </c>
      <c r="G944">
        <v>59220</v>
      </c>
      <c r="H944" s="116"/>
      <c r="I944" s="116"/>
      <c r="L944" s="170">
        <v>43392</v>
      </c>
      <c r="M944" s="116">
        <v>3.85</v>
      </c>
      <c r="N944" s="116">
        <v>3.95</v>
      </c>
      <c r="O944" s="116">
        <v>3.85</v>
      </c>
      <c r="P944" s="116">
        <v>3.9</v>
      </c>
      <c r="Q944" s="116">
        <v>3.85</v>
      </c>
      <c r="R944">
        <v>427306</v>
      </c>
    </row>
    <row r="945" spans="1:18" x14ac:dyDescent="0.25">
      <c r="A945" s="170">
        <v>43395</v>
      </c>
      <c r="B945" s="116">
        <v>3.95</v>
      </c>
      <c r="C945" s="116">
        <v>3.89</v>
      </c>
      <c r="D945" s="116">
        <v>3.86</v>
      </c>
      <c r="E945" s="116">
        <v>3.93</v>
      </c>
      <c r="F945" s="116">
        <v>3.89</v>
      </c>
      <c r="G945">
        <v>126722</v>
      </c>
      <c r="H945" s="116"/>
      <c r="I945" s="116"/>
      <c r="L945" s="170">
        <v>43395</v>
      </c>
      <c r="M945" s="116">
        <v>3.85</v>
      </c>
      <c r="N945" s="116">
        <v>3.95</v>
      </c>
      <c r="O945" s="116">
        <v>3.85</v>
      </c>
      <c r="P945" s="116">
        <v>3.85</v>
      </c>
      <c r="Q945" s="116">
        <v>3.85</v>
      </c>
      <c r="R945">
        <v>438467</v>
      </c>
    </row>
    <row r="946" spans="1:18" x14ac:dyDescent="0.25">
      <c r="A946" s="170">
        <v>43396</v>
      </c>
      <c r="B946" s="116">
        <v>4.4800000000000004</v>
      </c>
      <c r="C946" s="116">
        <v>4.1900000000000004</v>
      </c>
      <c r="D946" s="116">
        <v>3.9</v>
      </c>
      <c r="E946" s="116">
        <v>3.9</v>
      </c>
      <c r="F946" s="116">
        <v>4.1900000000000004</v>
      </c>
      <c r="G946">
        <v>815377</v>
      </c>
      <c r="H946" s="116"/>
      <c r="I946" s="116"/>
      <c r="L946" s="170">
        <v>43396</v>
      </c>
      <c r="M946" s="116">
        <v>4.2</v>
      </c>
      <c r="N946" s="116">
        <v>4.5</v>
      </c>
      <c r="O946" s="116">
        <v>3.95</v>
      </c>
      <c r="P946" s="116">
        <v>3.95</v>
      </c>
      <c r="Q946" s="116">
        <v>4.2</v>
      </c>
      <c r="R946">
        <v>3019782</v>
      </c>
    </row>
    <row r="947" spans="1:18" x14ac:dyDescent="0.25">
      <c r="A947" s="170">
        <v>43397</v>
      </c>
      <c r="B947" s="116">
        <v>4.3899999999999997</v>
      </c>
      <c r="C947" s="116">
        <v>4.1500000000000004</v>
      </c>
      <c r="D947" s="116">
        <v>4.08</v>
      </c>
      <c r="E947" s="116">
        <v>4.3</v>
      </c>
      <c r="F947" s="116">
        <v>4.1500000000000004</v>
      </c>
      <c r="G947">
        <v>92309</v>
      </c>
      <c r="H947" s="116"/>
      <c r="I947" s="116"/>
      <c r="L947" s="170">
        <v>43397</v>
      </c>
      <c r="M947" s="116">
        <v>4.1500000000000004</v>
      </c>
      <c r="N947" s="116">
        <v>4.4000000000000004</v>
      </c>
      <c r="O947" s="116">
        <v>4.0999999999999996</v>
      </c>
      <c r="P947" s="116">
        <v>4.3</v>
      </c>
      <c r="Q947" s="116">
        <v>4.1500000000000004</v>
      </c>
      <c r="R947">
        <v>765947</v>
      </c>
    </row>
    <row r="948" spans="1:18" x14ac:dyDescent="0.25">
      <c r="A948" s="170">
        <v>43398</v>
      </c>
      <c r="B948" s="116">
        <v>4.18</v>
      </c>
      <c r="C948" s="116">
        <v>4</v>
      </c>
      <c r="D948" s="116">
        <v>3.95</v>
      </c>
      <c r="E948" s="116">
        <v>4.0999999999999996</v>
      </c>
      <c r="F948" s="116">
        <v>4</v>
      </c>
      <c r="G948">
        <v>178596</v>
      </c>
      <c r="H948" s="116"/>
      <c r="I948" s="116"/>
      <c r="L948" s="170">
        <v>43398</v>
      </c>
      <c r="M948" s="116">
        <v>4.05</v>
      </c>
      <c r="N948" s="116">
        <v>4.2</v>
      </c>
      <c r="O948" s="116">
        <v>3.9</v>
      </c>
      <c r="P948" s="116">
        <v>4.0999999999999996</v>
      </c>
      <c r="Q948" s="116">
        <v>4.05</v>
      </c>
      <c r="R948">
        <v>911798</v>
      </c>
    </row>
    <row r="949" spans="1:18" x14ac:dyDescent="0.25">
      <c r="A949" s="170">
        <v>43399</v>
      </c>
      <c r="B949" s="116">
        <v>4.0999999999999996</v>
      </c>
      <c r="C949" s="116">
        <v>3.95</v>
      </c>
      <c r="D949" s="116">
        <v>3.92</v>
      </c>
      <c r="E949" s="116">
        <v>4.0999999999999996</v>
      </c>
      <c r="F949" s="116">
        <v>3.95</v>
      </c>
      <c r="G949">
        <v>113446</v>
      </c>
      <c r="H949" s="116"/>
      <c r="I949" s="116"/>
      <c r="L949" s="170">
        <v>43399</v>
      </c>
      <c r="M949" s="116">
        <v>3.95</v>
      </c>
      <c r="N949" s="116">
        <v>4.0999999999999996</v>
      </c>
      <c r="O949" s="116">
        <v>3.95</v>
      </c>
      <c r="P949" s="116">
        <v>4.0999999999999996</v>
      </c>
      <c r="Q949" s="116">
        <v>3.95</v>
      </c>
      <c r="R949">
        <v>545865</v>
      </c>
    </row>
    <row r="950" spans="1:18" x14ac:dyDescent="0.25">
      <c r="A950" s="170">
        <v>43402</v>
      </c>
      <c r="B950" s="116">
        <v>4.1399999999999997</v>
      </c>
      <c r="C950" s="116">
        <v>3.98</v>
      </c>
      <c r="D950" s="116">
        <v>3.97</v>
      </c>
      <c r="E950" s="116">
        <v>4</v>
      </c>
      <c r="F950" s="116">
        <v>3.98</v>
      </c>
      <c r="G950">
        <v>131063</v>
      </c>
      <c r="H950" s="116"/>
      <c r="I950" s="116"/>
      <c r="L950" s="170">
        <v>43402</v>
      </c>
      <c r="M950" s="116">
        <v>4</v>
      </c>
      <c r="N950" s="116">
        <v>4.0999999999999996</v>
      </c>
      <c r="O950" s="116">
        <v>3.95</v>
      </c>
      <c r="P950" s="116">
        <v>4</v>
      </c>
      <c r="Q950" s="116">
        <v>4</v>
      </c>
      <c r="R950">
        <v>554649</v>
      </c>
    </row>
    <row r="951" spans="1:18" x14ac:dyDescent="0.25">
      <c r="A951" s="170">
        <v>43403</v>
      </c>
      <c r="B951" s="116">
        <v>4.3499999999999996</v>
      </c>
      <c r="C951" s="116">
        <v>4.04</v>
      </c>
      <c r="D951" s="116">
        <v>3.97</v>
      </c>
      <c r="E951" s="116">
        <v>4.3499999999999996</v>
      </c>
      <c r="F951" s="116">
        <v>4.04</v>
      </c>
      <c r="G951">
        <v>262756</v>
      </c>
      <c r="H951" s="116"/>
      <c r="I951" s="116"/>
      <c r="L951" s="170">
        <v>43403</v>
      </c>
      <c r="M951" s="116">
        <v>4.05</v>
      </c>
      <c r="N951" s="116">
        <v>4.3</v>
      </c>
      <c r="O951" s="116">
        <v>4</v>
      </c>
      <c r="P951" s="116">
        <v>4</v>
      </c>
      <c r="Q951" s="116">
        <v>4.05</v>
      </c>
      <c r="R951">
        <v>1571661</v>
      </c>
    </row>
    <row r="952" spans="1:18" x14ac:dyDescent="0.25">
      <c r="A952" s="170">
        <v>43404</v>
      </c>
      <c r="B952" s="116">
        <v>4.1900000000000004</v>
      </c>
      <c r="C952" s="116">
        <v>4.03</v>
      </c>
      <c r="D952" s="116">
        <v>4</v>
      </c>
      <c r="E952" s="116">
        <v>4.1399999999999997</v>
      </c>
      <c r="F952" s="116">
        <v>4.03</v>
      </c>
      <c r="G952">
        <v>59049</v>
      </c>
      <c r="H952" s="116"/>
      <c r="I952" s="116"/>
      <c r="L952" s="170">
        <v>43404</v>
      </c>
      <c r="M952" s="116">
        <v>4</v>
      </c>
      <c r="N952" s="116">
        <v>4.2</v>
      </c>
      <c r="O952" s="116">
        <v>4</v>
      </c>
      <c r="P952" s="116">
        <v>4.05</v>
      </c>
      <c r="Q952" s="116">
        <v>4</v>
      </c>
      <c r="R952">
        <v>361430</v>
      </c>
    </row>
    <row r="953" spans="1:18" x14ac:dyDescent="0.25">
      <c r="A953" s="170">
        <v>43405</v>
      </c>
      <c r="B953" s="116">
        <v>4.13</v>
      </c>
      <c r="C953" s="116">
        <v>4.0199999999999996</v>
      </c>
      <c r="D953" s="116">
        <v>3.98</v>
      </c>
      <c r="E953" s="116">
        <v>4.0999999999999996</v>
      </c>
      <c r="F953" s="116">
        <v>4.0199999999999996</v>
      </c>
      <c r="G953">
        <v>369855</v>
      </c>
      <c r="H953" s="116"/>
      <c r="I953" s="116"/>
      <c r="L953" s="170">
        <v>43405</v>
      </c>
      <c r="M953" s="116">
        <v>4</v>
      </c>
      <c r="N953" s="116">
        <v>4.1500000000000004</v>
      </c>
      <c r="O953" s="116">
        <v>3.95</v>
      </c>
      <c r="P953" s="116">
        <v>4.05</v>
      </c>
      <c r="Q953" s="116">
        <v>4</v>
      </c>
      <c r="R953">
        <v>1104639</v>
      </c>
    </row>
    <row r="954" spans="1:18" x14ac:dyDescent="0.25">
      <c r="A954" s="170">
        <v>43406</v>
      </c>
      <c r="B954" s="116">
        <v>4.05</v>
      </c>
      <c r="C954" s="116">
        <v>4.01</v>
      </c>
      <c r="D954" s="116">
        <v>4</v>
      </c>
      <c r="E954" s="116">
        <v>4.04</v>
      </c>
      <c r="F954" s="116">
        <v>4.01</v>
      </c>
      <c r="G954">
        <v>194190</v>
      </c>
      <c r="H954" s="116"/>
      <c r="I954" s="116"/>
      <c r="L954" s="170">
        <v>43406</v>
      </c>
      <c r="M954" s="116">
        <v>4</v>
      </c>
      <c r="N954" s="116">
        <v>4.05</v>
      </c>
      <c r="O954" s="116">
        <v>4</v>
      </c>
      <c r="P954" s="116">
        <v>4.05</v>
      </c>
      <c r="Q954" s="116">
        <v>4</v>
      </c>
      <c r="R954">
        <v>525098</v>
      </c>
    </row>
    <row r="955" spans="1:18" x14ac:dyDescent="0.25">
      <c r="A955" s="170">
        <v>43409</v>
      </c>
      <c r="B955" s="116">
        <v>4.05</v>
      </c>
      <c r="C955" s="116">
        <v>3.99</v>
      </c>
      <c r="D955" s="116">
        <v>3.96</v>
      </c>
      <c r="E955" s="116">
        <v>4.05</v>
      </c>
      <c r="F955" s="116">
        <v>3.99</v>
      </c>
      <c r="G955">
        <v>69812</v>
      </c>
      <c r="H955" s="116"/>
      <c r="I955" s="116"/>
      <c r="L955" s="170">
        <v>43409</v>
      </c>
      <c r="M955" s="116">
        <v>4</v>
      </c>
      <c r="N955" s="116">
        <v>4</v>
      </c>
      <c r="O955" s="116">
        <v>3.95</v>
      </c>
      <c r="P955" s="116">
        <v>4</v>
      </c>
      <c r="Q955" s="116">
        <v>4</v>
      </c>
      <c r="R955">
        <v>319396</v>
      </c>
    </row>
    <row r="956" spans="1:18" x14ac:dyDescent="0.25">
      <c r="A956" s="170">
        <v>43410</v>
      </c>
      <c r="B956" s="116">
        <v>4.04</v>
      </c>
      <c r="C956" s="116">
        <v>3.99</v>
      </c>
      <c r="D956" s="116">
        <v>3.97</v>
      </c>
      <c r="E956" s="116">
        <v>4.04</v>
      </c>
      <c r="F956" s="116">
        <v>3.99</v>
      </c>
      <c r="G956">
        <v>59282</v>
      </c>
      <c r="H956" s="116"/>
      <c r="I956" s="116"/>
      <c r="L956" s="170">
        <v>43410</v>
      </c>
      <c r="M956" s="116">
        <v>3.95</v>
      </c>
      <c r="N956" s="116">
        <v>4.05</v>
      </c>
      <c r="O956" s="116">
        <v>3.95</v>
      </c>
      <c r="P956" s="116">
        <v>4</v>
      </c>
      <c r="Q956" s="116">
        <v>3.95</v>
      </c>
      <c r="R956">
        <v>374253</v>
      </c>
    </row>
    <row r="957" spans="1:18" x14ac:dyDescent="0.25">
      <c r="A957" s="170">
        <v>43411</v>
      </c>
      <c r="B957" s="116">
        <v>4.13</v>
      </c>
      <c r="C957" s="116">
        <v>4.03</v>
      </c>
      <c r="D957" s="116">
        <v>4</v>
      </c>
      <c r="E957" s="116">
        <v>4.04</v>
      </c>
      <c r="F957" s="116">
        <v>4.03</v>
      </c>
      <c r="G957">
        <v>63900</v>
      </c>
      <c r="H957" s="116"/>
      <c r="I957" s="116"/>
      <c r="L957" s="170">
        <v>43411</v>
      </c>
      <c r="M957" s="116">
        <v>4.05</v>
      </c>
      <c r="N957" s="116">
        <v>4.0999999999999996</v>
      </c>
      <c r="O957" s="116">
        <v>4</v>
      </c>
      <c r="P957" s="116">
        <v>4</v>
      </c>
      <c r="Q957" s="116">
        <v>4.05</v>
      </c>
      <c r="R957">
        <v>327190</v>
      </c>
    </row>
    <row r="958" spans="1:18" x14ac:dyDescent="0.25">
      <c r="A958" s="170">
        <v>43413</v>
      </c>
      <c r="B958" s="116">
        <v>4.08</v>
      </c>
      <c r="C958" s="116">
        <v>4.04</v>
      </c>
      <c r="D958" s="116">
        <v>3.96</v>
      </c>
      <c r="E958" s="116">
        <v>4.05</v>
      </c>
      <c r="F958" s="116">
        <v>4.04</v>
      </c>
      <c r="G958">
        <v>198102</v>
      </c>
      <c r="H958" s="116"/>
      <c r="I958" s="116"/>
      <c r="L958" s="170">
        <v>43413</v>
      </c>
      <c r="M958" s="116">
        <v>4.05</v>
      </c>
      <c r="N958" s="116">
        <v>4.0999999999999996</v>
      </c>
      <c r="O958" s="116">
        <v>3.95</v>
      </c>
      <c r="P958" s="116">
        <v>4.05</v>
      </c>
      <c r="Q958" s="116">
        <v>4.05</v>
      </c>
      <c r="R958">
        <v>781892</v>
      </c>
    </row>
    <row r="959" spans="1:18" x14ac:dyDescent="0.25">
      <c r="A959" s="170">
        <v>43416</v>
      </c>
      <c r="B959" s="116">
        <v>4.13</v>
      </c>
      <c r="C959" s="116">
        <v>4.03</v>
      </c>
      <c r="D959" s="116">
        <v>4.0199999999999996</v>
      </c>
      <c r="E959" s="116">
        <v>4.0199999999999996</v>
      </c>
      <c r="F959" s="116">
        <v>4.03</v>
      </c>
      <c r="G959">
        <v>138586</v>
      </c>
      <c r="H959" s="116"/>
      <c r="I959" s="116"/>
      <c r="L959" s="170">
        <v>43416</v>
      </c>
      <c r="M959" s="116">
        <v>4.05</v>
      </c>
      <c r="N959" s="116">
        <v>4.0999999999999996</v>
      </c>
      <c r="O959" s="116">
        <v>4</v>
      </c>
      <c r="P959" s="116">
        <v>4.05</v>
      </c>
      <c r="Q959" s="116">
        <v>4.05</v>
      </c>
      <c r="R959">
        <v>570471</v>
      </c>
    </row>
    <row r="960" spans="1:18" x14ac:dyDescent="0.25">
      <c r="A960" s="170">
        <v>43417</v>
      </c>
      <c r="B960" s="116">
        <v>4.05</v>
      </c>
      <c r="C960" s="116">
        <v>4.0199999999999996</v>
      </c>
      <c r="D960" s="116">
        <v>3.96</v>
      </c>
      <c r="E960" s="116">
        <v>4.05</v>
      </c>
      <c r="F960" s="116">
        <v>4.0199999999999996</v>
      </c>
      <c r="G960">
        <v>193054</v>
      </c>
      <c r="H960" s="116"/>
      <c r="I960" s="116"/>
      <c r="L960" s="170">
        <v>43417</v>
      </c>
      <c r="M960" s="116">
        <v>4</v>
      </c>
      <c r="N960" s="116">
        <v>4.05</v>
      </c>
      <c r="O960" s="116">
        <v>3.95</v>
      </c>
      <c r="P960" s="116">
        <v>4</v>
      </c>
      <c r="Q960" s="116">
        <v>4</v>
      </c>
      <c r="R960">
        <v>547825</v>
      </c>
    </row>
    <row r="961" spans="1:18" x14ac:dyDescent="0.25">
      <c r="A961" s="170">
        <v>43418</v>
      </c>
      <c r="B961" s="116">
        <v>4.03</v>
      </c>
      <c r="C961" s="116">
        <v>3.99</v>
      </c>
      <c r="D961" s="116">
        <v>3.97</v>
      </c>
      <c r="E961" s="116">
        <v>4.0199999999999996</v>
      </c>
      <c r="F961" s="116">
        <v>3.99</v>
      </c>
      <c r="G961">
        <v>66575</v>
      </c>
      <c r="H961" s="116"/>
      <c r="I961" s="116"/>
      <c r="L961" s="170">
        <v>43418</v>
      </c>
      <c r="M961" s="116">
        <v>4</v>
      </c>
      <c r="N961" s="116">
        <v>4.05</v>
      </c>
      <c r="O961" s="116">
        <v>3.95</v>
      </c>
      <c r="P961" s="116">
        <v>4</v>
      </c>
      <c r="Q961" s="116">
        <v>4</v>
      </c>
      <c r="R961">
        <v>571692</v>
      </c>
    </row>
    <row r="962" spans="1:18" x14ac:dyDescent="0.25">
      <c r="A962" s="170">
        <v>43419</v>
      </c>
      <c r="B962" s="116">
        <v>4.0999999999999996</v>
      </c>
      <c r="C962" s="116">
        <v>4.01</v>
      </c>
      <c r="D962" s="116">
        <v>3.97</v>
      </c>
      <c r="E962" s="116">
        <v>4.04</v>
      </c>
      <c r="F962" s="116">
        <v>4.01</v>
      </c>
      <c r="G962">
        <v>74605</v>
      </c>
      <c r="H962" s="116"/>
      <c r="I962" s="116"/>
      <c r="L962" s="170">
        <v>43419</v>
      </c>
      <c r="M962" s="116">
        <v>4</v>
      </c>
      <c r="N962" s="116">
        <v>4.0999999999999996</v>
      </c>
      <c r="O962" s="116">
        <v>3.95</v>
      </c>
      <c r="P962" s="116">
        <v>4</v>
      </c>
      <c r="Q962" s="116">
        <v>4</v>
      </c>
      <c r="R962">
        <v>497854</v>
      </c>
    </row>
    <row r="963" spans="1:18" x14ac:dyDescent="0.25">
      <c r="A963" s="170">
        <v>43420</v>
      </c>
      <c r="B963" s="116">
        <v>4.13</v>
      </c>
      <c r="C963" s="116">
        <v>4.07</v>
      </c>
      <c r="D963" s="116">
        <v>4</v>
      </c>
      <c r="E963" s="116">
        <v>4.0199999999999996</v>
      </c>
      <c r="F963" s="116">
        <v>4.07</v>
      </c>
      <c r="G963">
        <v>199137</v>
      </c>
      <c r="H963" s="116"/>
      <c r="I963" s="116"/>
      <c r="L963" s="170">
        <v>43420</v>
      </c>
      <c r="M963" s="116">
        <v>4.0999999999999996</v>
      </c>
      <c r="N963" s="116">
        <v>4.1500000000000004</v>
      </c>
      <c r="O963" s="116">
        <v>4</v>
      </c>
      <c r="P963" s="116">
        <v>4</v>
      </c>
      <c r="Q963" s="116">
        <v>4.0999999999999996</v>
      </c>
      <c r="R963">
        <v>791125</v>
      </c>
    </row>
    <row r="964" spans="1:18" x14ac:dyDescent="0.25">
      <c r="A964" s="170">
        <v>43423</v>
      </c>
      <c r="B964" s="116">
        <v>4.13</v>
      </c>
      <c r="C964" s="116">
        <v>4.08</v>
      </c>
      <c r="D964" s="116">
        <v>4.03</v>
      </c>
      <c r="E964" s="116">
        <v>4.13</v>
      </c>
      <c r="F964" s="116">
        <v>4.08</v>
      </c>
      <c r="G964">
        <v>249955</v>
      </c>
      <c r="H964" s="116"/>
      <c r="I964" s="116"/>
      <c r="L964" s="170">
        <v>43423</v>
      </c>
      <c r="M964" s="116">
        <v>4.0999999999999996</v>
      </c>
      <c r="N964" s="116">
        <v>4.1500000000000004</v>
      </c>
      <c r="O964" s="116">
        <v>4</v>
      </c>
      <c r="P964" s="116">
        <v>4.05</v>
      </c>
      <c r="Q964" s="116">
        <v>4.0999999999999996</v>
      </c>
      <c r="R964">
        <v>690687</v>
      </c>
    </row>
    <row r="965" spans="1:18" x14ac:dyDescent="0.25">
      <c r="A965" s="170">
        <v>43424</v>
      </c>
      <c r="B965" s="116">
        <v>4.1900000000000004</v>
      </c>
      <c r="C965" s="116">
        <v>4.0999999999999996</v>
      </c>
      <c r="D965" s="116">
        <v>4.05</v>
      </c>
      <c r="E965" s="116">
        <v>4.0999999999999996</v>
      </c>
      <c r="F965" s="116">
        <v>4.0999999999999996</v>
      </c>
      <c r="G965">
        <v>218287</v>
      </c>
      <c r="H965" s="116"/>
      <c r="I965" s="116"/>
      <c r="L965" s="170">
        <v>43424</v>
      </c>
      <c r="M965" s="116">
        <v>4.1500000000000004</v>
      </c>
      <c r="N965" s="116">
        <v>4.2</v>
      </c>
      <c r="O965" s="116">
        <v>4.05</v>
      </c>
      <c r="P965" s="116">
        <v>4.05</v>
      </c>
      <c r="Q965" s="116">
        <v>4.1500000000000004</v>
      </c>
      <c r="R965">
        <v>808502</v>
      </c>
    </row>
    <row r="966" spans="1:18" x14ac:dyDescent="0.25">
      <c r="A966" s="170">
        <v>43425</v>
      </c>
      <c r="B966" s="116">
        <v>4.2</v>
      </c>
      <c r="C966" s="116">
        <v>4.17</v>
      </c>
      <c r="D966" s="116">
        <v>4.0599999999999996</v>
      </c>
      <c r="E966" s="116">
        <v>4.0999999999999996</v>
      </c>
      <c r="F966" s="116">
        <v>4.17</v>
      </c>
      <c r="G966">
        <v>233026</v>
      </c>
      <c r="H966" s="116"/>
      <c r="I966" s="116"/>
      <c r="L966" s="170">
        <v>43425</v>
      </c>
      <c r="M966" s="116">
        <v>4.0999999999999996</v>
      </c>
      <c r="N966" s="116">
        <v>4.1500000000000004</v>
      </c>
      <c r="O966" s="116">
        <v>4.05</v>
      </c>
      <c r="P966" s="116">
        <v>4.1500000000000004</v>
      </c>
      <c r="Q966" s="116">
        <v>4.0999999999999996</v>
      </c>
      <c r="R966">
        <v>497720</v>
      </c>
    </row>
    <row r="967" spans="1:18" x14ac:dyDescent="0.25">
      <c r="A967" s="170">
        <v>43426</v>
      </c>
      <c r="B967" s="116">
        <v>4.2</v>
      </c>
      <c r="C967" s="116">
        <v>4.13</v>
      </c>
      <c r="D967" s="116">
        <v>4.09</v>
      </c>
      <c r="E967" s="116">
        <v>4.1500000000000004</v>
      </c>
      <c r="F967" s="116">
        <v>4.13</v>
      </c>
      <c r="G967">
        <v>52213</v>
      </c>
      <c r="H967" s="116"/>
      <c r="I967" s="116"/>
      <c r="L967" s="170">
        <v>43426</v>
      </c>
      <c r="M967" s="116">
        <v>4.0999999999999996</v>
      </c>
      <c r="N967" s="116">
        <v>4.1500000000000004</v>
      </c>
      <c r="O967" s="116">
        <v>4.05</v>
      </c>
      <c r="P967" s="116">
        <v>4.0999999999999996</v>
      </c>
      <c r="Q967" s="116">
        <v>4.0999999999999996</v>
      </c>
      <c r="R967">
        <v>377716</v>
      </c>
    </row>
    <row r="968" spans="1:18" x14ac:dyDescent="0.25">
      <c r="A968" s="170">
        <v>43430</v>
      </c>
      <c r="B968" s="116">
        <v>4.1500000000000004</v>
      </c>
      <c r="C968" s="116">
        <v>4.09</v>
      </c>
      <c r="D968" s="116">
        <v>4.08</v>
      </c>
      <c r="E968" s="116">
        <v>4.1500000000000004</v>
      </c>
      <c r="F968" s="116">
        <v>4.09</v>
      </c>
      <c r="G968">
        <v>29794</v>
      </c>
      <c r="H968" s="116"/>
      <c r="I968" s="116"/>
      <c r="L968" s="170">
        <v>43430</v>
      </c>
      <c r="M968" s="116">
        <v>4.0999999999999996</v>
      </c>
      <c r="N968" s="116">
        <v>4.1500000000000004</v>
      </c>
      <c r="O968" s="116">
        <v>4.0999999999999996</v>
      </c>
      <c r="P968" s="116">
        <v>4.0999999999999996</v>
      </c>
      <c r="Q968" s="116">
        <v>4.0999999999999996</v>
      </c>
      <c r="R968">
        <v>217173</v>
      </c>
    </row>
    <row r="969" spans="1:18" x14ac:dyDescent="0.25">
      <c r="A969" s="170">
        <v>43431</v>
      </c>
      <c r="B969" s="116">
        <v>4.25</v>
      </c>
      <c r="C969" s="116">
        <v>4.18</v>
      </c>
      <c r="D969" s="116">
        <v>4.03</v>
      </c>
      <c r="E969" s="116">
        <v>4.13</v>
      </c>
      <c r="F969" s="116">
        <v>4.18</v>
      </c>
      <c r="G969">
        <v>593431</v>
      </c>
      <c r="H969" s="116"/>
      <c r="I969" s="116"/>
      <c r="L969" s="170">
        <v>43431</v>
      </c>
      <c r="M969" s="116">
        <v>4.2</v>
      </c>
      <c r="N969" s="116">
        <v>4.3</v>
      </c>
      <c r="O969" s="116">
        <v>4</v>
      </c>
      <c r="P969" s="116">
        <v>4.0999999999999996</v>
      </c>
      <c r="Q969" s="116">
        <v>4.2</v>
      </c>
      <c r="R969">
        <v>2003841</v>
      </c>
    </row>
    <row r="970" spans="1:18" x14ac:dyDescent="0.25">
      <c r="A970" s="170">
        <v>43432</v>
      </c>
      <c r="B970" s="116">
        <v>4.28</v>
      </c>
      <c r="C970" s="116">
        <v>4.2</v>
      </c>
      <c r="D970" s="116">
        <v>4.13</v>
      </c>
      <c r="E970" s="116">
        <v>4.13</v>
      </c>
      <c r="F970" s="116">
        <v>4.2</v>
      </c>
      <c r="G970">
        <v>228611</v>
      </c>
      <c r="H970" s="116"/>
      <c r="I970" s="116"/>
      <c r="L970" s="170">
        <v>43432</v>
      </c>
      <c r="M970" s="116">
        <v>4.1500000000000004</v>
      </c>
      <c r="N970" s="116">
        <v>4.3</v>
      </c>
      <c r="O970" s="116">
        <v>4.1500000000000004</v>
      </c>
      <c r="P970" s="116">
        <v>4.25</v>
      </c>
      <c r="Q970" s="116">
        <v>4.1500000000000004</v>
      </c>
      <c r="R970">
        <v>392140</v>
      </c>
    </row>
    <row r="971" spans="1:18" x14ac:dyDescent="0.25">
      <c r="A971" s="170">
        <v>43433</v>
      </c>
      <c r="B971" s="116">
        <v>4.29</v>
      </c>
      <c r="C971" s="116">
        <v>4.0999999999999996</v>
      </c>
      <c r="D971" s="116">
        <v>4.03</v>
      </c>
      <c r="E971" s="116">
        <v>4.29</v>
      </c>
      <c r="F971" s="116">
        <v>4.0999999999999996</v>
      </c>
      <c r="G971">
        <v>176632</v>
      </c>
      <c r="H971" s="116"/>
      <c r="I971" s="116"/>
      <c r="L971" s="170">
        <v>43433</v>
      </c>
      <c r="M971" s="116">
        <v>4.05</v>
      </c>
      <c r="N971" s="116">
        <v>4.2</v>
      </c>
      <c r="O971" s="116">
        <v>4.05</v>
      </c>
      <c r="P971" s="116">
        <v>4.1500000000000004</v>
      </c>
      <c r="Q971" s="116">
        <v>4.05</v>
      </c>
      <c r="R971">
        <v>779689</v>
      </c>
    </row>
    <row r="972" spans="1:18" x14ac:dyDescent="0.25">
      <c r="A972" s="170">
        <v>43434</v>
      </c>
      <c r="B972" s="116">
        <v>4.0999999999999996</v>
      </c>
      <c r="C972" s="116">
        <v>4.0599999999999996</v>
      </c>
      <c r="D972" s="116">
        <v>4.03</v>
      </c>
      <c r="E972" s="116">
        <v>4.0599999999999996</v>
      </c>
      <c r="F972" s="116">
        <v>4.0599999999999996</v>
      </c>
      <c r="G972">
        <v>134083</v>
      </c>
      <c r="H972" s="116"/>
      <c r="I972" s="116"/>
      <c r="L972" s="170">
        <v>43434</v>
      </c>
      <c r="M972" s="116">
        <v>4.05</v>
      </c>
      <c r="N972" s="116">
        <v>4.0999999999999996</v>
      </c>
      <c r="O972" s="116">
        <v>4.05</v>
      </c>
      <c r="P972" s="116">
        <v>4.05</v>
      </c>
      <c r="Q972" s="116">
        <v>4.05</v>
      </c>
      <c r="R972">
        <v>385527</v>
      </c>
    </row>
    <row r="973" spans="1:18" x14ac:dyDescent="0.25">
      <c r="A973" s="170">
        <v>43437</v>
      </c>
      <c r="B973" s="116">
        <v>4.0999999999999996</v>
      </c>
      <c r="C973" s="116">
        <v>4</v>
      </c>
      <c r="D973" s="116">
        <v>3.98</v>
      </c>
      <c r="E973" s="116">
        <v>4.0999999999999996</v>
      </c>
      <c r="F973" s="116">
        <v>4</v>
      </c>
      <c r="G973">
        <v>202408</v>
      </c>
      <c r="H973" s="116"/>
      <c r="I973" s="116"/>
      <c r="L973" s="170">
        <v>43437</v>
      </c>
      <c r="M973" s="116">
        <v>4</v>
      </c>
      <c r="N973" s="116">
        <v>4.0999999999999996</v>
      </c>
      <c r="O973" s="116">
        <v>4</v>
      </c>
      <c r="P973" s="116">
        <v>4.0999999999999996</v>
      </c>
      <c r="Q973" s="116">
        <v>4</v>
      </c>
      <c r="R973">
        <v>466184</v>
      </c>
    </row>
    <row r="974" spans="1:18" x14ac:dyDescent="0.25">
      <c r="A974" s="170">
        <v>43438</v>
      </c>
      <c r="B974" s="116">
        <v>4.03</v>
      </c>
      <c r="C974" s="116">
        <v>4.01</v>
      </c>
      <c r="D974" s="116">
        <v>4</v>
      </c>
      <c r="E974" s="116">
        <v>4.03</v>
      </c>
      <c r="F974" s="116">
        <v>4.01</v>
      </c>
      <c r="G974">
        <v>89436</v>
      </c>
      <c r="H974" s="116"/>
      <c r="I974" s="116"/>
      <c r="L974" s="170">
        <v>43438</v>
      </c>
      <c r="M974" s="116">
        <v>4</v>
      </c>
      <c r="N974" s="116">
        <v>4.05</v>
      </c>
      <c r="O974" s="116">
        <v>4</v>
      </c>
      <c r="P974" s="116">
        <v>4</v>
      </c>
      <c r="Q974" s="116">
        <v>4</v>
      </c>
      <c r="R974">
        <v>436627</v>
      </c>
    </row>
    <row r="975" spans="1:18" x14ac:dyDescent="0.25">
      <c r="A975" s="170">
        <v>43439</v>
      </c>
      <c r="B975" s="116">
        <v>4.03</v>
      </c>
      <c r="C975" s="116">
        <v>3.94</v>
      </c>
      <c r="D975" s="116">
        <v>3.93</v>
      </c>
      <c r="E975" s="116">
        <v>3.98</v>
      </c>
      <c r="F975" s="116">
        <v>3.94</v>
      </c>
      <c r="G975">
        <v>113187</v>
      </c>
      <c r="H975" s="116"/>
      <c r="I975" s="116"/>
      <c r="L975" s="170">
        <v>43439</v>
      </c>
      <c r="M975" s="116">
        <v>3.95</v>
      </c>
      <c r="N975" s="116">
        <v>4.05</v>
      </c>
      <c r="O975" s="116">
        <v>3.95</v>
      </c>
      <c r="P975" s="116">
        <v>3.95</v>
      </c>
      <c r="Q975" s="116">
        <v>3.95</v>
      </c>
      <c r="R975">
        <v>331343</v>
      </c>
    </row>
    <row r="976" spans="1:18" x14ac:dyDescent="0.25">
      <c r="A976" s="170">
        <v>43440</v>
      </c>
      <c r="B976" s="116">
        <v>3.97</v>
      </c>
      <c r="C976" s="116">
        <v>3.88</v>
      </c>
      <c r="D976" s="116">
        <v>3.75</v>
      </c>
      <c r="E976" s="116">
        <v>3.97</v>
      </c>
      <c r="F976" s="116">
        <v>3.88</v>
      </c>
      <c r="G976">
        <v>1889643</v>
      </c>
      <c r="H976" s="116"/>
      <c r="I976" s="116"/>
      <c r="L976" s="170">
        <v>43440</v>
      </c>
      <c r="M976" s="116">
        <v>3.9</v>
      </c>
      <c r="N976" s="116">
        <v>4</v>
      </c>
      <c r="O976" s="116">
        <v>3.7</v>
      </c>
      <c r="P976" s="116">
        <v>3.95</v>
      </c>
      <c r="Q976" s="116">
        <v>3.9</v>
      </c>
      <c r="R976">
        <v>1526415</v>
      </c>
    </row>
    <row r="977" spans="1:18" x14ac:dyDescent="0.25">
      <c r="A977" s="170">
        <v>43441</v>
      </c>
      <c r="B977" s="116">
        <v>3.95</v>
      </c>
      <c r="C977" s="116">
        <v>3.88</v>
      </c>
      <c r="D977" s="116">
        <v>3.78</v>
      </c>
      <c r="E977" s="116">
        <v>3.9</v>
      </c>
      <c r="F977" s="116">
        <v>3.88</v>
      </c>
      <c r="G977">
        <v>234778</v>
      </c>
      <c r="H977" s="116"/>
      <c r="I977" s="116"/>
      <c r="L977" s="170">
        <v>43441</v>
      </c>
      <c r="M977" s="116">
        <v>3.9</v>
      </c>
      <c r="N977" s="116">
        <v>3.95</v>
      </c>
      <c r="O977" s="116">
        <v>3.75</v>
      </c>
      <c r="P977" s="116">
        <v>3.85</v>
      </c>
      <c r="Q977" s="116">
        <v>3.9</v>
      </c>
      <c r="R977">
        <v>1433297</v>
      </c>
    </row>
    <row r="978" spans="1:18" x14ac:dyDescent="0.25">
      <c r="A978" s="170">
        <v>43444</v>
      </c>
      <c r="B978" s="116">
        <v>3.9</v>
      </c>
      <c r="C978" s="116">
        <v>3.84</v>
      </c>
      <c r="D978" s="116">
        <v>3.75</v>
      </c>
      <c r="E978" s="116">
        <v>3.9</v>
      </c>
      <c r="F978" s="116">
        <v>3.84</v>
      </c>
      <c r="G978">
        <v>71596</v>
      </c>
      <c r="H978" s="116"/>
      <c r="I978" s="116"/>
      <c r="L978" s="170">
        <v>43444</v>
      </c>
      <c r="M978" s="116">
        <v>3.8</v>
      </c>
      <c r="N978" s="116">
        <v>3.85</v>
      </c>
      <c r="O978" s="116">
        <v>3.75</v>
      </c>
      <c r="P978" s="116">
        <v>3.85</v>
      </c>
      <c r="Q978" s="116">
        <v>3.8</v>
      </c>
      <c r="R978">
        <v>596426</v>
      </c>
    </row>
    <row r="979" spans="1:18" x14ac:dyDescent="0.25">
      <c r="A979" s="170">
        <v>43445</v>
      </c>
      <c r="B979" s="116">
        <v>3.9</v>
      </c>
      <c r="C979" s="116">
        <v>3.87</v>
      </c>
      <c r="D979" s="116">
        <v>3.73</v>
      </c>
      <c r="E979" s="116">
        <v>3.73</v>
      </c>
      <c r="F979" s="116">
        <v>3.87</v>
      </c>
      <c r="G979">
        <v>226968</v>
      </c>
      <c r="H979" s="116"/>
      <c r="I979" s="116"/>
      <c r="L979" s="170">
        <v>43445</v>
      </c>
      <c r="M979" s="116">
        <v>3.85</v>
      </c>
      <c r="N979" s="116">
        <v>3.9</v>
      </c>
      <c r="O979" s="116">
        <v>3.7</v>
      </c>
      <c r="P979" s="116">
        <v>3.75</v>
      </c>
      <c r="Q979" s="116">
        <v>3.85</v>
      </c>
      <c r="R979">
        <v>717345</v>
      </c>
    </row>
    <row r="980" spans="1:18" x14ac:dyDescent="0.25">
      <c r="A980" s="170">
        <v>43446</v>
      </c>
      <c r="B980" s="116">
        <v>4.05</v>
      </c>
      <c r="C980" s="116">
        <v>3.91</v>
      </c>
      <c r="D980" s="116">
        <v>3.9</v>
      </c>
      <c r="E980" s="116">
        <v>3.9</v>
      </c>
      <c r="F980" s="116">
        <v>3.91</v>
      </c>
      <c r="G980">
        <v>308011</v>
      </c>
      <c r="H980" s="116"/>
      <c r="I980" s="116"/>
      <c r="L980" s="170">
        <v>43446</v>
      </c>
      <c r="M980" s="116">
        <v>3.95</v>
      </c>
      <c r="N980" s="116">
        <v>4.05</v>
      </c>
      <c r="O980" s="116">
        <v>3.85</v>
      </c>
      <c r="P980" s="116">
        <v>3.85</v>
      </c>
      <c r="Q980" s="116">
        <v>3.95</v>
      </c>
      <c r="R980">
        <v>782168</v>
      </c>
    </row>
    <row r="981" spans="1:18" x14ac:dyDescent="0.25">
      <c r="A981" s="170">
        <v>43447</v>
      </c>
      <c r="B981" s="116">
        <v>4</v>
      </c>
      <c r="C981" s="116">
        <v>3.86</v>
      </c>
      <c r="D981" s="116">
        <v>3.85</v>
      </c>
      <c r="E981" s="116">
        <v>3.9</v>
      </c>
      <c r="F981" s="116">
        <v>3.86</v>
      </c>
      <c r="G981">
        <v>197111</v>
      </c>
      <c r="H981" s="116"/>
      <c r="I981" s="116"/>
      <c r="L981" s="170">
        <v>43447</v>
      </c>
      <c r="M981" s="116">
        <v>3.85</v>
      </c>
      <c r="N981" s="116">
        <v>3.95</v>
      </c>
      <c r="O981" s="116">
        <v>3.85</v>
      </c>
      <c r="P981" s="116">
        <v>3.95</v>
      </c>
      <c r="Q981" s="116">
        <v>3.85</v>
      </c>
      <c r="R981">
        <v>643586</v>
      </c>
    </row>
    <row r="982" spans="1:18" x14ac:dyDescent="0.25">
      <c r="A982" s="170">
        <v>43448</v>
      </c>
      <c r="B982" s="116">
        <v>3.94</v>
      </c>
      <c r="C982" s="116">
        <v>3.88</v>
      </c>
      <c r="D982" s="116">
        <v>3.84</v>
      </c>
      <c r="E982" s="116">
        <v>3.85</v>
      </c>
      <c r="F982" s="116">
        <v>3.88</v>
      </c>
      <c r="G982">
        <v>145486</v>
      </c>
      <c r="H982" s="116"/>
      <c r="I982" s="116"/>
      <c r="L982" s="170">
        <v>43448</v>
      </c>
      <c r="M982" s="116">
        <v>3.9</v>
      </c>
      <c r="N982" s="116">
        <v>3.95</v>
      </c>
      <c r="O982" s="116">
        <v>3.8</v>
      </c>
      <c r="P982" s="116">
        <v>3.85</v>
      </c>
      <c r="Q982" s="116">
        <v>3.9</v>
      </c>
      <c r="R982">
        <v>625581</v>
      </c>
    </row>
    <row r="983" spans="1:18" x14ac:dyDescent="0.25">
      <c r="A983" s="170">
        <v>43451</v>
      </c>
      <c r="B983" s="116">
        <v>3.95</v>
      </c>
      <c r="C983" s="116">
        <v>3.86</v>
      </c>
      <c r="D983" s="116">
        <v>3.84</v>
      </c>
      <c r="E983" s="116">
        <v>3.91</v>
      </c>
      <c r="F983" s="116">
        <v>3.86</v>
      </c>
      <c r="G983">
        <v>62508</v>
      </c>
      <c r="H983" s="116"/>
      <c r="I983" s="116"/>
      <c r="L983" s="170">
        <v>43451</v>
      </c>
      <c r="M983" s="116">
        <v>3.85</v>
      </c>
      <c r="N983" s="116">
        <v>3.95</v>
      </c>
      <c r="O983" s="116">
        <v>3.85</v>
      </c>
      <c r="P983" s="116">
        <v>3.9</v>
      </c>
      <c r="Q983" s="116">
        <v>3.85</v>
      </c>
      <c r="R983">
        <v>332579</v>
      </c>
    </row>
    <row r="984" spans="1:18" x14ac:dyDescent="0.25">
      <c r="A984" s="170">
        <v>43452</v>
      </c>
      <c r="B984" s="116">
        <v>3.89</v>
      </c>
      <c r="C984" s="116">
        <v>3.85</v>
      </c>
      <c r="D984" s="116">
        <v>3.8</v>
      </c>
      <c r="E984" s="116">
        <v>3.89</v>
      </c>
      <c r="F984" s="116">
        <v>3.85</v>
      </c>
      <c r="G984">
        <v>83914</v>
      </c>
      <c r="H984" s="116"/>
      <c r="I984" s="116"/>
      <c r="L984" s="170">
        <v>43452</v>
      </c>
      <c r="M984" s="116">
        <v>3.85</v>
      </c>
      <c r="N984" s="116">
        <v>3.9</v>
      </c>
      <c r="O984" s="116">
        <v>3.8</v>
      </c>
      <c r="P984" s="116">
        <v>3.85</v>
      </c>
      <c r="Q984" s="116">
        <v>3.85</v>
      </c>
      <c r="R984">
        <v>474803</v>
      </c>
    </row>
    <row r="985" spans="1:18" x14ac:dyDescent="0.25">
      <c r="A985" s="170">
        <v>43453</v>
      </c>
      <c r="B985" s="116">
        <v>4.62</v>
      </c>
      <c r="C985" s="116">
        <v>4.1399999999999997</v>
      </c>
      <c r="D985" s="116">
        <v>3.89</v>
      </c>
      <c r="E985" s="116">
        <v>3.89</v>
      </c>
      <c r="F985" s="116">
        <v>4.1399999999999997</v>
      </c>
      <c r="G985">
        <v>1771816</v>
      </c>
      <c r="H985" s="116"/>
      <c r="I985" s="116"/>
      <c r="L985" s="170">
        <v>43453</v>
      </c>
      <c r="M985" s="116">
        <v>4.1500000000000004</v>
      </c>
      <c r="N985" s="116">
        <v>4.5999999999999996</v>
      </c>
      <c r="O985" s="116">
        <v>3.85</v>
      </c>
      <c r="P985" s="116">
        <v>3.85</v>
      </c>
      <c r="Q985" s="116">
        <v>4.1500000000000004</v>
      </c>
      <c r="R985">
        <v>8345177</v>
      </c>
    </row>
    <row r="986" spans="1:18" x14ac:dyDescent="0.25">
      <c r="A986" s="170">
        <v>43454</v>
      </c>
      <c r="B986" s="116">
        <v>4.59</v>
      </c>
      <c r="C986" s="116">
        <v>4.32</v>
      </c>
      <c r="D986" s="116">
        <v>4.1900000000000004</v>
      </c>
      <c r="E986" s="116">
        <v>4.1900000000000004</v>
      </c>
      <c r="F986" s="116">
        <v>4.32</v>
      </c>
      <c r="G986">
        <v>690673</v>
      </c>
      <c r="H986" s="116"/>
      <c r="I986" s="116"/>
      <c r="L986" s="170">
        <v>43454</v>
      </c>
      <c r="M986" s="116">
        <v>4.3499999999999996</v>
      </c>
      <c r="N986" s="116">
        <v>4.5999999999999996</v>
      </c>
      <c r="O986" s="116">
        <v>4.1500000000000004</v>
      </c>
      <c r="P986" s="116">
        <v>4.2</v>
      </c>
      <c r="Q986" s="116">
        <v>4.3499999999999996</v>
      </c>
      <c r="R986">
        <v>3156623</v>
      </c>
    </row>
    <row r="987" spans="1:18" x14ac:dyDescent="0.25">
      <c r="A987" s="170">
        <v>43455</v>
      </c>
      <c r="B987" s="116">
        <v>4.5199999999999996</v>
      </c>
      <c r="C987" s="116">
        <v>4.21</v>
      </c>
      <c r="D987" s="116">
        <v>4.2</v>
      </c>
      <c r="E987" s="116">
        <v>4.5199999999999996</v>
      </c>
      <c r="F987" s="116">
        <v>4.21</v>
      </c>
      <c r="G987">
        <v>158157</v>
      </c>
      <c r="H987" s="116"/>
      <c r="I987" s="116"/>
      <c r="L987" s="170">
        <v>43455</v>
      </c>
      <c r="M987" s="116">
        <v>4.25</v>
      </c>
      <c r="N987" s="116">
        <v>4.4000000000000004</v>
      </c>
      <c r="O987" s="116">
        <v>4.2</v>
      </c>
      <c r="P987" s="116">
        <v>4.4000000000000004</v>
      </c>
      <c r="Q987" s="116">
        <v>4.25</v>
      </c>
      <c r="R987">
        <v>1031192</v>
      </c>
    </row>
    <row r="988" spans="1:18" x14ac:dyDescent="0.25">
      <c r="A988" s="170">
        <v>43458</v>
      </c>
      <c r="B988" s="116">
        <v>4.32</v>
      </c>
      <c r="C988" s="116">
        <v>4.0199999999999996</v>
      </c>
      <c r="D988" s="116">
        <v>4.01</v>
      </c>
      <c r="E988" s="116">
        <v>4.21</v>
      </c>
      <c r="F988" s="116">
        <v>4.0199999999999996</v>
      </c>
      <c r="G988">
        <v>152514</v>
      </c>
      <c r="H988" s="116"/>
      <c r="I988" s="116"/>
      <c r="L988" s="170">
        <v>43458</v>
      </c>
      <c r="M988" s="116">
        <v>4</v>
      </c>
      <c r="N988" s="116">
        <v>4.25</v>
      </c>
      <c r="O988" s="116">
        <v>4</v>
      </c>
      <c r="P988" s="116">
        <v>4.25</v>
      </c>
      <c r="Q988" s="116">
        <v>4</v>
      </c>
      <c r="R988">
        <v>892053</v>
      </c>
    </row>
    <row r="989" spans="1:18" x14ac:dyDescent="0.25">
      <c r="A989" s="170">
        <v>43460</v>
      </c>
      <c r="B989" s="116">
        <v>4.04</v>
      </c>
      <c r="C989" s="116">
        <v>3.97</v>
      </c>
      <c r="D989" s="116">
        <v>3.95</v>
      </c>
      <c r="E989" s="116">
        <v>4.01</v>
      </c>
      <c r="F989" s="116">
        <v>3.97</v>
      </c>
      <c r="G989">
        <v>188231</v>
      </c>
      <c r="H989" s="116"/>
      <c r="I989" s="116"/>
      <c r="L989" s="170">
        <v>43460</v>
      </c>
      <c r="M989" s="116">
        <v>4</v>
      </c>
      <c r="N989" s="116">
        <v>4.05</v>
      </c>
      <c r="O989" s="116">
        <v>3.95</v>
      </c>
      <c r="P989" s="116">
        <v>4</v>
      </c>
      <c r="Q989" s="116">
        <v>4</v>
      </c>
      <c r="R989">
        <v>548742</v>
      </c>
    </row>
    <row r="990" spans="1:18" x14ac:dyDescent="0.25">
      <c r="A990" s="170">
        <v>43461</v>
      </c>
      <c r="B990" s="116">
        <v>4.04</v>
      </c>
      <c r="C990" s="116">
        <v>3.99</v>
      </c>
      <c r="D990" s="116">
        <v>3.95</v>
      </c>
      <c r="E990" s="116">
        <v>4.04</v>
      </c>
      <c r="F990" s="116">
        <v>3.99</v>
      </c>
      <c r="G990">
        <v>50899</v>
      </c>
      <c r="H990" s="116"/>
      <c r="I990" s="116"/>
      <c r="L990" s="170">
        <v>43461</v>
      </c>
      <c r="M990" s="116">
        <v>3.95</v>
      </c>
      <c r="N990" s="116">
        <v>4.05</v>
      </c>
      <c r="O990" s="116">
        <v>3.95</v>
      </c>
      <c r="P990" s="116">
        <v>4</v>
      </c>
      <c r="Q990" s="116">
        <v>3.95</v>
      </c>
      <c r="R990">
        <v>427357</v>
      </c>
    </row>
    <row r="991" spans="1:18" x14ac:dyDescent="0.25">
      <c r="A991" s="170">
        <v>43462</v>
      </c>
      <c r="B991" s="116">
        <v>4.03</v>
      </c>
      <c r="C991" s="116">
        <v>4</v>
      </c>
      <c r="D991" s="116">
        <v>3.96</v>
      </c>
      <c r="E991" s="116">
        <v>3.97</v>
      </c>
      <c r="F991" s="116">
        <v>4</v>
      </c>
      <c r="G991">
        <v>94905</v>
      </c>
      <c r="H991" s="116"/>
      <c r="I991" s="116"/>
      <c r="L991" s="170">
        <v>43462</v>
      </c>
      <c r="M991" s="116">
        <v>3.95</v>
      </c>
      <c r="N991" s="116">
        <v>4</v>
      </c>
      <c r="O991" s="116">
        <v>3.95</v>
      </c>
      <c r="P991" s="116">
        <v>3.95</v>
      </c>
      <c r="Q991" s="116">
        <v>3.95</v>
      </c>
      <c r="R991">
        <v>518203</v>
      </c>
    </row>
    <row r="992" spans="1:18" x14ac:dyDescent="0.25">
      <c r="A992" s="170">
        <v>43465</v>
      </c>
      <c r="B992" s="116">
        <v>4.16</v>
      </c>
      <c r="C992" s="116">
        <v>4</v>
      </c>
      <c r="D992" s="116">
        <v>3.95</v>
      </c>
      <c r="E992" s="116">
        <v>3.95</v>
      </c>
      <c r="F992" s="116">
        <v>4</v>
      </c>
      <c r="G992">
        <v>140410</v>
      </c>
      <c r="H992" s="116"/>
      <c r="I992" s="116"/>
      <c r="L992" s="170">
        <v>43465</v>
      </c>
      <c r="M992" s="116">
        <v>4</v>
      </c>
      <c r="N992" s="116">
        <v>4.1500000000000004</v>
      </c>
      <c r="O992" s="116">
        <v>3.95</v>
      </c>
      <c r="P992" s="116">
        <v>4</v>
      </c>
      <c r="Q992" s="116">
        <v>4</v>
      </c>
      <c r="R992">
        <v>689077</v>
      </c>
    </row>
    <row r="993" spans="1:18" x14ac:dyDescent="0.25">
      <c r="A993" s="170">
        <v>43466</v>
      </c>
      <c r="B993" s="116">
        <v>4.16</v>
      </c>
      <c r="C993" s="116">
        <v>4.03</v>
      </c>
      <c r="D993" s="116">
        <v>4</v>
      </c>
      <c r="E993" s="116">
        <v>4.16</v>
      </c>
      <c r="F993" s="116">
        <v>4.03</v>
      </c>
      <c r="G993">
        <v>48460</v>
      </c>
      <c r="H993" s="116"/>
      <c r="I993" s="116"/>
      <c r="L993" s="170">
        <v>43466</v>
      </c>
      <c r="M993" s="116">
        <v>4.05</v>
      </c>
      <c r="N993" s="116">
        <v>4.0999999999999996</v>
      </c>
      <c r="O993" s="116">
        <v>4</v>
      </c>
      <c r="P993" s="116">
        <v>4.05</v>
      </c>
      <c r="Q993" s="116">
        <v>4.05</v>
      </c>
      <c r="R993">
        <v>413403</v>
      </c>
    </row>
    <row r="994" spans="1:18" x14ac:dyDescent="0.25">
      <c r="A994" s="170">
        <v>43467</v>
      </c>
      <c r="B994" s="116">
        <v>4.0999999999999996</v>
      </c>
      <c r="C994" s="116">
        <v>3.98</v>
      </c>
      <c r="D994" s="116">
        <v>3.96</v>
      </c>
      <c r="E994" s="116">
        <v>4.0999999999999996</v>
      </c>
      <c r="F994" s="116">
        <v>3.98</v>
      </c>
      <c r="G994">
        <v>112374</v>
      </c>
      <c r="H994" s="116"/>
      <c r="I994" s="116"/>
      <c r="L994" s="170">
        <v>43467</v>
      </c>
      <c r="M994" s="116">
        <v>4</v>
      </c>
      <c r="N994" s="116">
        <v>4.0999999999999996</v>
      </c>
      <c r="O994" s="116">
        <v>3.95</v>
      </c>
      <c r="P994" s="116">
        <v>4.05</v>
      </c>
      <c r="Q994" s="116">
        <v>4</v>
      </c>
      <c r="R994">
        <v>490639</v>
      </c>
    </row>
    <row r="995" spans="1:18" x14ac:dyDescent="0.25">
      <c r="A995" s="170">
        <v>43468</v>
      </c>
      <c r="B995" s="116">
        <v>4.03</v>
      </c>
      <c r="C995" s="116">
        <v>3.98</v>
      </c>
      <c r="D995" s="116">
        <v>3.96</v>
      </c>
      <c r="E995" s="116">
        <v>4</v>
      </c>
      <c r="F995" s="116">
        <v>3.98</v>
      </c>
      <c r="G995">
        <v>123645</v>
      </c>
      <c r="H995" s="116"/>
      <c r="I995" s="116"/>
      <c r="L995" s="170">
        <v>43468</v>
      </c>
      <c r="M995" s="116">
        <v>4</v>
      </c>
      <c r="N995" s="116">
        <v>4.05</v>
      </c>
      <c r="O995" s="116">
        <v>3.95</v>
      </c>
      <c r="P995" s="116">
        <v>3.95</v>
      </c>
      <c r="Q995" s="116">
        <v>4</v>
      </c>
      <c r="R995">
        <v>509425</v>
      </c>
    </row>
    <row r="996" spans="1:18" x14ac:dyDescent="0.25">
      <c r="A996" s="170">
        <v>43469</v>
      </c>
      <c r="B996" s="116">
        <v>4.03</v>
      </c>
      <c r="C996" s="116">
        <v>4.01</v>
      </c>
      <c r="D996" s="116">
        <v>3.96</v>
      </c>
      <c r="E996" s="116">
        <v>3.98</v>
      </c>
      <c r="F996" s="116">
        <v>4.01</v>
      </c>
      <c r="G996">
        <v>46546</v>
      </c>
      <c r="H996" s="116"/>
      <c r="I996" s="116"/>
      <c r="L996" s="170">
        <v>43469</v>
      </c>
      <c r="M996" s="116">
        <v>3.95</v>
      </c>
      <c r="N996" s="116">
        <v>4.05</v>
      </c>
      <c r="O996" s="116">
        <v>3.95</v>
      </c>
      <c r="P996" s="116">
        <v>4</v>
      </c>
      <c r="Q996" s="116">
        <v>3.95</v>
      </c>
      <c r="R996">
        <v>269597</v>
      </c>
    </row>
    <row r="997" spans="1:18" x14ac:dyDescent="0.25">
      <c r="A997" s="170">
        <v>43472</v>
      </c>
      <c r="B997" s="116">
        <v>4</v>
      </c>
      <c r="C997" s="116">
        <v>3.93</v>
      </c>
      <c r="D997" s="116">
        <v>3.92</v>
      </c>
      <c r="E997" s="116">
        <v>4</v>
      </c>
      <c r="F997" s="116">
        <v>3.93</v>
      </c>
      <c r="G997">
        <v>111957</v>
      </c>
      <c r="H997" s="116"/>
      <c r="I997" s="116"/>
      <c r="L997" s="170">
        <v>43472</v>
      </c>
      <c r="M997" s="116">
        <v>3.95</v>
      </c>
      <c r="N997" s="116">
        <v>4</v>
      </c>
      <c r="O997" s="116">
        <v>3.95</v>
      </c>
      <c r="P997" s="116">
        <v>3.95</v>
      </c>
      <c r="Q997" s="116">
        <v>3.95</v>
      </c>
      <c r="R997">
        <v>505721</v>
      </c>
    </row>
    <row r="998" spans="1:18" x14ac:dyDescent="0.25">
      <c r="A998" s="170">
        <v>43473</v>
      </c>
      <c r="B998" s="116">
        <v>3.96</v>
      </c>
      <c r="C998" s="116">
        <v>3.91</v>
      </c>
      <c r="D998" s="116">
        <v>3.89</v>
      </c>
      <c r="E998" s="116">
        <v>3.96</v>
      </c>
      <c r="F998" s="116">
        <v>3.91</v>
      </c>
      <c r="G998">
        <v>104215</v>
      </c>
      <c r="H998" s="116"/>
      <c r="I998" s="116"/>
      <c r="L998" s="170">
        <v>43473</v>
      </c>
      <c r="M998" s="116">
        <v>3.9</v>
      </c>
      <c r="N998" s="116">
        <v>4</v>
      </c>
      <c r="O998" s="116">
        <v>3.9</v>
      </c>
      <c r="P998" s="116">
        <v>3.95</v>
      </c>
      <c r="Q998" s="116">
        <v>3.9</v>
      </c>
      <c r="R998">
        <v>787874</v>
      </c>
    </row>
    <row r="999" spans="1:18" x14ac:dyDescent="0.25">
      <c r="A999" s="170">
        <v>43474</v>
      </c>
      <c r="B999" s="116">
        <v>4</v>
      </c>
      <c r="C999" s="116">
        <v>3.97</v>
      </c>
      <c r="D999" s="116">
        <v>3.86</v>
      </c>
      <c r="E999" s="116">
        <v>3.93</v>
      </c>
      <c r="F999" s="116">
        <v>3.97</v>
      </c>
      <c r="G999">
        <v>204209</v>
      </c>
      <c r="H999" s="116"/>
      <c r="I999" s="116"/>
      <c r="L999" s="170">
        <v>43474</v>
      </c>
      <c r="M999" s="116">
        <v>3.95</v>
      </c>
      <c r="N999" s="116">
        <v>3.95</v>
      </c>
      <c r="O999" s="116">
        <v>3.8</v>
      </c>
      <c r="P999" s="116">
        <v>3.9</v>
      </c>
      <c r="Q999" s="116">
        <v>3.95</v>
      </c>
      <c r="R999">
        <v>909357</v>
      </c>
    </row>
    <row r="1000" spans="1:18" x14ac:dyDescent="0.25">
      <c r="A1000" s="170">
        <v>43475</v>
      </c>
      <c r="B1000" s="116">
        <v>3.99</v>
      </c>
      <c r="C1000" s="116">
        <v>3.95</v>
      </c>
      <c r="D1000" s="116">
        <v>3.89</v>
      </c>
      <c r="E1000" s="116">
        <v>3.91</v>
      </c>
      <c r="F1000" s="116">
        <v>3.95</v>
      </c>
      <c r="G1000">
        <v>99107</v>
      </c>
      <c r="H1000" s="116"/>
      <c r="I1000" s="116"/>
      <c r="L1000" s="170">
        <v>43475</v>
      </c>
      <c r="M1000" s="116">
        <v>3.95</v>
      </c>
      <c r="N1000" s="116">
        <v>3.95</v>
      </c>
      <c r="O1000" s="116">
        <v>3.85</v>
      </c>
      <c r="P1000" s="116">
        <v>3.95</v>
      </c>
      <c r="Q1000" s="116">
        <v>3.95</v>
      </c>
      <c r="R1000">
        <v>613674</v>
      </c>
    </row>
    <row r="1001" spans="1:18" x14ac:dyDescent="0.25">
      <c r="A1001" s="170">
        <v>43476</v>
      </c>
      <c r="B1001" s="116">
        <v>3.92</v>
      </c>
      <c r="C1001" s="116">
        <v>3.87</v>
      </c>
      <c r="D1001" s="116">
        <v>3.85</v>
      </c>
      <c r="E1001" s="116">
        <v>3.91</v>
      </c>
      <c r="F1001" s="116">
        <v>3.87</v>
      </c>
      <c r="G1001">
        <v>94343</v>
      </c>
      <c r="H1001" s="116"/>
      <c r="I1001" s="116"/>
      <c r="L1001" s="170">
        <v>43476</v>
      </c>
      <c r="M1001" s="116">
        <v>3.85</v>
      </c>
      <c r="N1001" s="116">
        <v>3.95</v>
      </c>
      <c r="O1001" s="116">
        <v>3.85</v>
      </c>
      <c r="P1001" s="116">
        <v>3.95</v>
      </c>
      <c r="Q1001" s="116">
        <v>3.85</v>
      </c>
      <c r="R1001">
        <v>484944</v>
      </c>
    </row>
    <row r="1002" spans="1:18" x14ac:dyDescent="0.25">
      <c r="A1002" s="170">
        <v>43479</v>
      </c>
      <c r="B1002" s="116">
        <v>3.89</v>
      </c>
      <c r="C1002" s="116">
        <v>3.87</v>
      </c>
      <c r="D1002" s="116">
        <v>3.82</v>
      </c>
      <c r="E1002" s="116">
        <v>3.87</v>
      </c>
      <c r="F1002" s="116">
        <v>3.87</v>
      </c>
      <c r="G1002">
        <v>26448</v>
      </c>
      <c r="H1002" s="116"/>
      <c r="I1002" s="116"/>
      <c r="L1002" s="170">
        <v>43479</v>
      </c>
      <c r="M1002" s="116">
        <v>3.85</v>
      </c>
      <c r="N1002" s="116">
        <v>3.9</v>
      </c>
      <c r="O1002" s="116">
        <v>3.8</v>
      </c>
      <c r="P1002" s="116">
        <v>3.85</v>
      </c>
      <c r="Q1002" s="116">
        <v>3.85</v>
      </c>
      <c r="R1002">
        <v>216898</v>
      </c>
    </row>
    <row r="1003" spans="1:18" x14ac:dyDescent="0.25">
      <c r="A1003" s="170">
        <v>43480</v>
      </c>
      <c r="B1003" s="116">
        <v>3.89</v>
      </c>
      <c r="C1003" s="116">
        <v>3.87</v>
      </c>
      <c r="D1003" s="116">
        <v>3.83</v>
      </c>
      <c r="E1003" s="116">
        <v>3.85</v>
      </c>
      <c r="F1003" s="116">
        <v>3.87</v>
      </c>
      <c r="G1003">
        <v>39573</v>
      </c>
      <c r="H1003" s="116"/>
      <c r="I1003" s="116"/>
      <c r="L1003" s="170">
        <v>43480</v>
      </c>
      <c r="M1003" s="116">
        <v>3.85</v>
      </c>
      <c r="N1003" s="116">
        <v>3.9</v>
      </c>
      <c r="O1003" s="116">
        <v>3.85</v>
      </c>
      <c r="P1003" s="116">
        <v>3.9</v>
      </c>
      <c r="Q1003" s="116">
        <v>3.85</v>
      </c>
      <c r="R1003">
        <v>186719</v>
      </c>
    </row>
    <row r="1004" spans="1:18" x14ac:dyDescent="0.25">
      <c r="A1004" s="170">
        <v>43481</v>
      </c>
      <c r="B1004" s="116">
        <v>3.94</v>
      </c>
      <c r="C1004" s="116">
        <v>3.87</v>
      </c>
      <c r="D1004" s="116">
        <v>3.85</v>
      </c>
      <c r="E1004" s="116">
        <v>3.85</v>
      </c>
      <c r="F1004" s="116">
        <v>3.87</v>
      </c>
      <c r="G1004">
        <v>92224</v>
      </c>
      <c r="H1004" s="116"/>
      <c r="I1004" s="116"/>
      <c r="L1004" s="170">
        <v>43481</v>
      </c>
      <c r="M1004" s="116">
        <v>3.85</v>
      </c>
      <c r="N1004" s="116">
        <v>3.95</v>
      </c>
      <c r="O1004" s="116">
        <v>3.85</v>
      </c>
      <c r="P1004" s="116">
        <v>3.9</v>
      </c>
      <c r="Q1004" s="116">
        <v>3.85</v>
      </c>
      <c r="R1004">
        <v>562015</v>
      </c>
    </row>
    <row r="1005" spans="1:18" x14ac:dyDescent="0.25">
      <c r="A1005" s="170">
        <v>43482</v>
      </c>
      <c r="B1005" s="116">
        <v>3.9</v>
      </c>
      <c r="C1005" s="116">
        <v>3.82</v>
      </c>
      <c r="D1005" s="116">
        <v>3.81</v>
      </c>
      <c r="E1005" s="116">
        <v>3.9</v>
      </c>
      <c r="F1005" s="116">
        <v>3.82</v>
      </c>
      <c r="G1005">
        <v>212048</v>
      </c>
      <c r="H1005" s="116"/>
      <c r="I1005" s="116"/>
      <c r="L1005" s="170">
        <v>43482</v>
      </c>
      <c r="M1005" s="116">
        <v>3.85</v>
      </c>
      <c r="N1005" s="116">
        <v>3.9</v>
      </c>
      <c r="O1005" s="116">
        <v>3.8</v>
      </c>
      <c r="P1005" s="116">
        <v>3.9</v>
      </c>
      <c r="Q1005" s="116">
        <v>3.85</v>
      </c>
      <c r="R1005">
        <v>371250</v>
      </c>
    </row>
    <row r="1006" spans="1:18" x14ac:dyDescent="0.25">
      <c r="A1006" s="170">
        <v>43483</v>
      </c>
      <c r="B1006" s="116">
        <v>4.0999999999999996</v>
      </c>
      <c r="C1006" s="116">
        <v>3.98</v>
      </c>
      <c r="D1006" s="116">
        <v>3.82</v>
      </c>
      <c r="E1006" s="116">
        <v>3.85</v>
      </c>
      <c r="F1006" s="116">
        <v>3.98</v>
      </c>
      <c r="G1006">
        <v>145227</v>
      </c>
      <c r="H1006" s="116"/>
      <c r="I1006" s="116"/>
      <c r="L1006" s="170">
        <v>43483</v>
      </c>
      <c r="M1006" s="116">
        <v>4</v>
      </c>
      <c r="N1006" s="116">
        <v>4.0999999999999996</v>
      </c>
      <c r="O1006" s="116">
        <v>3.8</v>
      </c>
      <c r="P1006" s="116">
        <v>3.85</v>
      </c>
      <c r="Q1006" s="116">
        <v>4</v>
      </c>
      <c r="R1006">
        <v>985133</v>
      </c>
    </row>
    <row r="1007" spans="1:18" x14ac:dyDescent="0.25">
      <c r="A1007" s="170">
        <v>43486</v>
      </c>
      <c r="B1007" s="116">
        <v>4.09</v>
      </c>
      <c r="C1007" s="116">
        <v>3.89</v>
      </c>
      <c r="D1007" s="116">
        <v>3.88</v>
      </c>
      <c r="E1007" s="116">
        <v>4.05</v>
      </c>
      <c r="F1007" s="116">
        <v>3.89</v>
      </c>
      <c r="G1007">
        <v>147547</v>
      </c>
      <c r="H1007" s="116"/>
      <c r="I1007" s="116"/>
      <c r="L1007" s="170">
        <v>43486</v>
      </c>
      <c r="M1007" s="116">
        <v>3.9</v>
      </c>
      <c r="N1007" s="116">
        <v>4.0999999999999996</v>
      </c>
      <c r="O1007" s="116">
        <v>3.9</v>
      </c>
      <c r="P1007" s="116">
        <v>3.95</v>
      </c>
      <c r="Q1007" s="116">
        <v>3.9</v>
      </c>
      <c r="R1007">
        <v>729438</v>
      </c>
    </row>
    <row r="1008" spans="1:18" x14ac:dyDescent="0.25">
      <c r="A1008" s="170">
        <v>43487</v>
      </c>
      <c r="B1008" s="116">
        <v>4.08</v>
      </c>
      <c r="C1008" s="116">
        <v>3.94</v>
      </c>
      <c r="D1008" s="116">
        <v>3.92</v>
      </c>
      <c r="E1008" s="116">
        <v>3.93</v>
      </c>
      <c r="F1008" s="116">
        <v>3.94</v>
      </c>
      <c r="G1008">
        <v>194304</v>
      </c>
      <c r="H1008" s="116"/>
      <c r="I1008" s="116"/>
      <c r="L1008" s="170">
        <v>43487</v>
      </c>
      <c r="M1008" s="116">
        <v>3.95</v>
      </c>
      <c r="N1008" s="116">
        <v>4.0999999999999996</v>
      </c>
      <c r="O1008" s="116">
        <v>3.95</v>
      </c>
      <c r="P1008" s="116">
        <v>3.95</v>
      </c>
      <c r="Q1008" s="116">
        <v>3.95</v>
      </c>
      <c r="R1008">
        <v>944323</v>
      </c>
    </row>
    <row r="1009" spans="1:18" x14ac:dyDescent="0.25">
      <c r="A1009" s="170">
        <v>43488</v>
      </c>
      <c r="B1009" s="116">
        <v>3.99</v>
      </c>
      <c r="C1009" s="116">
        <v>3.95</v>
      </c>
      <c r="D1009" s="116">
        <v>3.89</v>
      </c>
      <c r="E1009" s="116">
        <v>3.91</v>
      </c>
      <c r="F1009" s="116">
        <v>3.95</v>
      </c>
      <c r="G1009">
        <v>104090</v>
      </c>
      <c r="H1009" s="116"/>
      <c r="I1009" s="116"/>
      <c r="L1009" s="170">
        <v>43488</v>
      </c>
      <c r="M1009" s="116">
        <v>3.9</v>
      </c>
      <c r="N1009" s="116">
        <v>4</v>
      </c>
      <c r="O1009" s="116">
        <v>3.9</v>
      </c>
      <c r="P1009" s="116">
        <v>3.95</v>
      </c>
      <c r="Q1009" s="116">
        <v>3.9</v>
      </c>
      <c r="R1009">
        <v>423408</v>
      </c>
    </row>
    <row r="1010" spans="1:18" x14ac:dyDescent="0.25">
      <c r="A1010" s="170">
        <v>43489</v>
      </c>
      <c r="B1010" s="116">
        <v>4.03</v>
      </c>
      <c r="C1010" s="116">
        <v>3.91</v>
      </c>
      <c r="D1010" s="116">
        <v>3.9</v>
      </c>
      <c r="E1010" s="116">
        <v>3.96</v>
      </c>
      <c r="F1010" s="116">
        <v>3.91</v>
      </c>
      <c r="G1010">
        <v>87862</v>
      </c>
      <c r="H1010" s="116"/>
      <c r="I1010" s="116"/>
      <c r="L1010" s="170">
        <v>43489</v>
      </c>
      <c r="M1010" s="116">
        <v>3.9</v>
      </c>
      <c r="N1010" s="116">
        <v>4</v>
      </c>
      <c r="O1010" s="116">
        <v>3.9</v>
      </c>
      <c r="P1010" s="116">
        <v>3.95</v>
      </c>
      <c r="Q1010" s="116">
        <v>3.9</v>
      </c>
      <c r="R1010">
        <v>419973</v>
      </c>
    </row>
    <row r="1011" spans="1:18" x14ac:dyDescent="0.25">
      <c r="A1011" s="170">
        <v>43490</v>
      </c>
      <c r="B1011" s="116">
        <v>3.94</v>
      </c>
      <c r="C1011" s="116">
        <v>3.87</v>
      </c>
      <c r="D1011" s="116">
        <v>3.87</v>
      </c>
      <c r="E1011" s="116">
        <v>3.9</v>
      </c>
      <c r="F1011" s="116">
        <v>3.87</v>
      </c>
      <c r="G1011">
        <v>99273</v>
      </c>
      <c r="H1011" s="116"/>
      <c r="I1011" s="116"/>
      <c r="L1011" s="170">
        <v>43490</v>
      </c>
      <c r="M1011" s="116">
        <v>3.85</v>
      </c>
      <c r="N1011" s="116">
        <v>3.95</v>
      </c>
      <c r="O1011" s="116">
        <v>3.8</v>
      </c>
      <c r="P1011" s="116">
        <v>3.9</v>
      </c>
      <c r="Q1011" s="116">
        <v>3.85</v>
      </c>
      <c r="R1011">
        <v>586506</v>
      </c>
    </row>
    <row r="1012" spans="1:18" x14ac:dyDescent="0.25">
      <c r="A1012" s="170">
        <v>43493</v>
      </c>
      <c r="B1012" s="116">
        <v>4</v>
      </c>
      <c r="C1012" s="116">
        <v>3.77</v>
      </c>
      <c r="D1012" s="116">
        <v>3.76</v>
      </c>
      <c r="E1012" s="116">
        <v>3.82</v>
      </c>
      <c r="F1012" s="116">
        <v>3.77</v>
      </c>
      <c r="G1012">
        <v>177560</v>
      </c>
      <c r="H1012" s="116"/>
      <c r="I1012" s="116"/>
      <c r="L1012" s="170">
        <v>43493</v>
      </c>
      <c r="M1012" s="116">
        <v>3.75</v>
      </c>
      <c r="N1012" s="116">
        <v>3.95</v>
      </c>
      <c r="O1012" s="116">
        <v>3.75</v>
      </c>
      <c r="P1012" s="116">
        <v>3.8</v>
      </c>
      <c r="Q1012" s="116">
        <v>3.75</v>
      </c>
      <c r="R1012">
        <v>1418386</v>
      </c>
    </row>
    <row r="1013" spans="1:18" x14ac:dyDescent="0.25">
      <c r="A1013" s="170">
        <v>43494</v>
      </c>
      <c r="B1013" s="116">
        <v>3.8</v>
      </c>
      <c r="C1013" s="116">
        <v>3.72</v>
      </c>
      <c r="D1013" s="116">
        <v>3.72</v>
      </c>
      <c r="E1013" s="116">
        <v>3.77</v>
      </c>
      <c r="F1013" s="116">
        <v>3.72</v>
      </c>
      <c r="G1013">
        <v>125486</v>
      </c>
      <c r="H1013" s="116"/>
      <c r="I1013" s="116"/>
      <c r="L1013" s="170">
        <v>43494</v>
      </c>
      <c r="M1013" s="116">
        <v>3.75</v>
      </c>
      <c r="N1013" s="116">
        <v>3.8</v>
      </c>
      <c r="O1013" s="116">
        <v>3.7</v>
      </c>
      <c r="P1013" s="116">
        <v>3.75</v>
      </c>
      <c r="Q1013" s="116">
        <v>3.75</v>
      </c>
      <c r="R1013">
        <v>542017</v>
      </c>
    </row>
    <row r="1014" spans="1:18" x14ac:dyDescent="0.25">
      <c r="A1014" s="170">
        <v>43495</v>
      </c>
      <c r="B1014" s="116">
        <v>3.74</v>
      </c>
      <c r="C1014" s="116">
        <v>3.66</v>
      </c>
      <c r="D1014" s="116">
        <v>3.64</v>
      </c>
      <c r="E1014" s="116">
        <v>3.73</v>
      </c>
      <c r="F1014" s="116">
        <v>3.66</v>
      </c>
      <c r="G1014">
        <v>259777</v>
      </c>
      <c r="H1014" s="116"/>
      <c r="I1014" s="116"/>
      <c r="L1014" s="170">
        <v>43495</v>
      </c>
      <c r="M1014" s="116">
        <v>3.7</v>
      </c>
      <c r="N1014" s="116">
        <v>3.75</v>
      </c>
      <c r="O1014" s="116">
        <v>3.65</v>
      </c>
      <c r="P1014" s="116">
        <v>3.75</v>
      </c>
      <c r="Q1014" s="116">
        <v>3.7</v>
      </c>
      <c r="R1014">
        <v>664371</v>
      </c>
    </row>
    <row r="1015" spans="1:18" x14ac:dyDescent="0.25">
      <c r="A1015" s="170">
        <v>43496</v>
      </c>
      <c r="B1015" s="116">
        <v>3.72</v>
      </c>
      <c r="C1015" s="116">
        <v>3.66</v>
      </c>
      <c r="D1015" s="116">
        <v>3.6</v>
      </c>
      <c r="E1015" s="116">
        <v>3.69</v>
      </c>
      <c r="F1015" s="116">
        <v>3.66</v>
      </c>
      <c r="G1015">
        <v>133637</v>
      </c>
      <c r="H1015" s="116"/>
      <c r="I1015" s="116"/>
      <c r="L1015" s="170">
        <v>43496</v>
      </c>
      <c r="M1015" s="116">
        <v>3.6</v>
      </c>
      <c r="N1015" s="116">
        <v>3.7</v>
      </c>
      <c r="O1015" s="116">
        <v>3.6</v>
      </c>
      <c r="P1015" s="116">
        <v>3.7</v>
      </c>
      <c r="Q1015" s="116">
        <v>3.6</v>
      </c>
      <c r="R1015">
        <v>583501</v>
      </c>
    </row>
    <row r="1016" spans="1:18" x14ac:dyDescent="0.25">
      <c r="A1016" s="170">
        <v>43497</v>
      </c>
      <c r="B1016" s="116">
        <v>3.74</v>
      </c>
      <c r="C1016" s="116">
        <v>3.65</v>
      </c>
      <c r="D1016" s="116">
        <v>3.32</v>
      </c>
      <c r="E1016" s="116">
        <v>3.6</v>
      </c>
      <c r="F1016" s="116">
        <v>3.65</v>
      </c>
      <c r="G1016">
        <v>202909</v>
      </c>
      <c r="H1016" s="116"/>
      <c r="I1016" s="116"/>
      <c r="L1016" s="170">
        <v>43497</v>
      </c>
      <c r="M1016" s="116">
        <v>3.65</v>
      </c>
      <c r="N1016" s="116">
        <v>3.75</v>
      </c>
      <c r="O1016" s="116">
        <v>3.3</v>
      </c>
      <c r="P1016" s="116">
        <v>3.55</v>
      </c>
      <c r="Q1016" s="116">
        <v>3.65</v>
      </c>
      <c r="R1016">
        <v>1122853</v>
      </c>
    </row>
    <row r="1017" spans="1:18" x14ac:dyDescent="0.25">
      <c r="A1017" s="170">
        <v>43500</v>
      </c>
      <c r="B1017" s="116">
        <v>3.7</v>
      </c>
      <c r="C1017" s="116">
        <v>3.46</v>
      </c>
      <c r="D1017" s="116">
        <v>3.24</v>
      </c>
      <c r="E1017" s="116">
        <v>3.6</v>
      </c>
      <c r="F1017" s="116">
        <v>3.46</v>
      </c>
      <c r="G1017">
        <v>324334</v>
      </c>
      <c r="H1017" s="116"/>
      <c r="I1017" s="116"/>
      <c r="L1017" s="170">
        <v>43500</v>
      </c>
      <c r="M1017" s="116">
        <v>3.4</v>
      </c>
      <c r="N1017" s="116">
        <v>3.7</v>
      </c>
      <c r="O1017" s="116">
        <v>3.2</v>
      </c>
      <c r="P1017" s="116">
        <v>3.7</v>
      </c>
      <c r="Q1017" s="116">
        <v>3.4</v>
      </c>
      <c r="R1017">
        <v>1727623</v>
      </c>
    </row>
    <row r="1018" spans="1:18" x14ac:dyDescent="0.25">
      <c r="A1018" s="170">
        <v>43501</v>
      </c>
      <c r="B1018" s="116">
        <v>3.45</v>
      </c>
      <c r="C1018" s="116">
        <v>3.14</v>
      </c>
      <c r="D1018" s="116">
        <v>2.92</v>
      </c>
      <c r="E1018" s="116">
        <v>3.44</v>
      </c>
      <c r="F1018" s="116">
        <v>3.14</v>
      </c>
      <c r="G1018">
        <v>441689</v>
      </c>
      <c r="H1018" s="116"/>
      <c r="I1018" s="116"/>
      <c r="L1018" s="170">
        <v>43501</v>
      </c>
      <c r="M1018" s="116">
        <v>3.15</v>
      </c>
      <c r="N1018" s="116">
        <v>3.45</v>
      </c>
      <c r="O1018" s="116">
        <v>2.9</v>
      </c>
      <c r="P1018" s="116">
        <v>3.4</v>
      </c>
      <c r="Q1018" s="116">
        <v>3.15</v>
      </c>
      <c r="R1018">
        <v>3046984</v>
      </c>
    </row>
    <row r="1019" spans="1:18" x14ac:dyDescent="0.25">
      <c r="A1019" s="170">
        <v>43502</v>
      </c>
      <c r="B1019" s="116">
        <v>3.28</v>
      </c>
      <c r="C1019" s="116">
        <v>3.02</v>
      </c>
      <c r="D1019" s="116">
        <v>2.92</v>
      </c>
      <c r="E1019" s="116">
        <v>3.14</v>
      </c>
      <c r="F1019" s="116">
        <v>3.02</v>
      </c>
      <c r="G1019">
        <v>283099</v>
      </c>
      <c r="H1019" s="116"/>
      <c r="I1019" s="116"/>
      <c r="L1019" s="170">
        <v>43502</v>
      </c>
      <c r="M1019" s="116">
        <v>3</v>
      </c>
      <c r="N1019" s="116">
        <v>3.2</v>
      </c>
      <c r="O1019" s="116">
        <v>2.85</v>
      </c>
      <c r="P1019" s="116">
        <v>3.2</v>
      </c>
      <c r="Q1019" s="116">
        <v>3</v>
      </c>
      <c r="R1019">
        <v>1165358</v>
      </c>
    </row>
    <row r="1020" spans="1:18" x14ac:dyDescent="0.25">
      <c r="A1020" s="170">
        <v>43503</v>
      </c>
      <c r="B1020" s="116">
        <v>3.05</v>
      </c>
      <c r="C1020" s="116">
        <v>2.86</v>
      </c>
      <c r="D1020" s="116">
        <v>2.71</v>
      </c>
      <c r="E1020" s="116">
        <v>3</v>
      </c>
      <c r="F1020" s="116">
        <v>2.86</v>
      </c>
      <c r="G1020">
        <v>309697</v>
      </c>
      <c r="H1020" s="116"/>
      <c r="I1020" s="116"/>
      <c r="L1020" s="170">
        <v>43503</v>
      </c>
      <c r="M1020" s="116">
        <v>2.8</v>
      </c>
      <c r="N1020" s="116">
        <v>3.05</v>
      </c>
      <c r="O1020" s="116">
        <v>2.6</v>
      </c>
      <c r="P1020" s="116">
        <v>3.05</v>
      </c>
      <c r="Q1020" s="116">
        <v>2.8</v>
      </c>
      <c r="R1020">
        <v>2200344</v>
      </c>
    </row>
    <row r="1021" spans="1:18" x14ac:dyDescent="0.25">
      <c r="A1021" s="170">
        <v>43504</v>
      </c>
      <c r="B1021" s="116">
        <v>2.98</v>
      </c>
      <c r="C1021" s="116">
        <v>2.95</v>
      </c>
      <c r="D1021" s="116">
        <v>2.72</v>
      </c>
      <c r="E1021" s="116">
        <v>2.86</v>
      </c>
      <c r="F1021" s="116">
        <v>2.95</v>
      </c>
      <c r="G1021">
        <v>95492</v>
      </c>
      <c r="H1021" s="116"/>
      <c r="I1021" s="116"/>
      <c r="L1021" s="170">
        <v>43504</v>
      </c>
      <c r="M1021" s="116">
        <v>2.95</v>
      </c>
      <c r="N1021" s="116">
        <v>3</v>
      </c>
      <c r="O1021" s="116">
        <v>2.7</v>
      </c>
      <c r="P1021" s="116">
        <v>2.75</v>
      </c>
      <c r="Q1021" s="116">
        <v>2.95</v>
      </c>
      <c r="R1021">
        <v>591147</v>
      </c>
    </row>
    <row r="1022" spans="1:18" x14ac:dyDescent="0.25">
      <c r="A1022" s="170">
        <v>43507</v>
      </c>
      <c r="B1022" s="116">
        <v>3.15</v>
      </c>
      <c r="C1022" s="116">
        <v>3.07</v>
      </c>
      <c r="D1022" s="116">
        <v>2.98</v>
      </c>
      <c r="E1022" s="116">
        <v>3</v>
      </c>
      <c r="F1022" s="116">
        <v>3.07</v>
      </c>
      <c r="G1022">
        <v>81277</v>
      </c>
      <c r="H1022" s="116"/>
      <c r="I1022" s="116"/>
      <c r="L1022" s="170">
        <v>43507</v>
      </c>
      <c r="M1022" s="116">
        <v>3.05</v>
      </c>
      <c r="N1022" s="116">
        <v>3.15</v>
      </c>
      <c r="O1022" s="116">
        <v>2.95</v>
      </c>
      <c r="P1022" s="116">
        <v>3</v>
      </c>
      <c r="Q1022" s="116">
        <v>3.05</v>
      </c>
      <c r="R1022">
        <v>541821</v>
      </c>
    </row>
    <row r="1023" spans="1:18" x14ac:dyDescent="0.25">
      <c r="A1023" s="170">
        <v>43508</v>
      </c>
      <c r="B1023" s="116">
        <v>3.14</v>
      </c>
      <c r="C1023" s="116">
        <v>3.04</v>
      </c>
      <c r="D1023" s="116">
        <v>2.98</v>
      </c>
      <c r="E1023" s="116">
        <v>3.09</v>
      </c>
      <c r="F1023" s="116">
        <v>3.04</v>
      </c>
      <c r="G1023">
        <v>79942</v>
      </c>
      <c r="H1023" s="116"/>
      <c r="I1023" s="116"/>
      <c r="L1023" s="170">
        <v>43508</v>
      </c>
      <c r="M1023" s="116">
        <v>3</v>
      </c>
      <c r="N1023" s="116">
        <v>3.15</v>
      </c>
      <c r="O1023" s="116">
        <v>2.95</v>
      </c>
      <c r="P1023" s="116">
        <v>3.1</v>
      </c>
      <c r="Q1023" s="116">
        <v>3</v>
      </c>
      <c r="R1023">
        <v>998275</v>
      </c>
    </row>
    <row r="1024" spans="1:18" x14ac:dyDescent="0.25">
      <c r="A1024" s="170">
        <v>43509</v>
      </c>
      <c r="B1024" s="116">
        <v>3.08</v>
      </c>
      <c r="C1024" s="116">
        <v>2.94</v>
      </c>
      <c r="D1024" s="116">
        <v>2.9</v>
      </c>
      <c r="E1024" s="116">
        <v>3.08</v>
      </c>
      <c r="F1024" s="116">
        <v>2.94</v>
      </c>
      <c r="G1024">
        <v>118450</v>
      </c>
      <c r="H1024" s="116"/>
      <c r="I1024" s="116"/>
      <c r="L1024" s="170">
        <v>43509</v>
      </c>
      <c r="M1024" s="116">
        <v>2.95</v>
      </c>
      <c r="N1024" s="116">
        <v>3.1</v>
      </c>
      <c r="O1024" s="116">
        <v>2.85</v>
      </c>
      <c r="P1024" s="116">
        <v>3</v>
      </c>
      <c r="Q1024" s="116">
        <v>2.95</v>
      </c>
      <c r="R1024">
        <v>522138</v>
      </c>
    </row>
    <row r="1025" spans="1:18" x14ac:dyDescent="0.25">
      <c r="A1025" s="170">
        <v>43510</v>
      </c>
      <c r="B1025" s="116">
        <v>2.99</v>
      </c>
      <c r="C1025" s="116">
        <v>2.88</v>
      </c>
      <c r="D1025" s="116">
        <v>2.8</v>
      </c>
      <c r="E1025" s="116">
        <v>2.99</v>
      </c>
      <c r="F1025" s="116">
        <v>2.88</v>
      </c>
      <c r="G1025">
        <v>68654</v>
      </c>
      <c r="H1025" s="116"/>
      <c r="I1025" s="116"/>
      <c r="L1025" s="170">
        <v>43510</v>
      </c>
      <c r="M1025" s="116">
        <v>2.85</v>
      </c>
      <c r="N1025" s="116">
        <v>2.95</v>
      </c>
      <c r="O1025" s="116">
        <v>2.8</v>
      </c>
      <c r="P1025" s="116">
        <v>2.95</v>
      </c>
      <c r="Q1025" s="116">
        <v>2.85</v>
      </c>
      <c r="R1025">
        <v>386506</v>
      </c>
    </row>
    <row r="1026" spans="1:18" x14ac:dyDescent="0.25">
      <c r="A1026" s="170">
        <v>43511</v>
      </c>
      <c r="B1026" s="116">
        <v>3</v>
      </c>
      <c r="C1026" s="116">
        <v>2.99</v>
      </c>
      <c r="D1026" s="116">
        <v>2.76</v>
      </c>
      <c r="E1026" s="116">
        <v>2.89</v>
      </c>
      <c r="F1026" s="116">
        <v>2.99</v>
      </c>
      <c r="G1026">
        <v>69390</v>
      </c>
      <c r="H1026" s="116"/>
      <c r="I1026" s="116"/>
      <c r="L1026" s="170">
        <v>43511</v>
      </c>
      <c r="M1026" s="116">
        <v>3</v>
      </c>
      <c r="N1026" s="116">
        <v>3</v>
      </c>
      <c r="O1026" s="116">
        <v>2.8</v>
      </c>
      <c r="P1026" s="116">
        <v>2.85</v>
      </c>
      <c r="Q1026" s="116">
        <v>3</v>
      </c>
      <c r="R1026">
        <v>400688</v>
      </c>
    </row>
    <row r="1027" spans="1:18" x14ac:dyDescent="0.25">
      <c r="A1027" s="170">
        <v>43514</v>
      </c>
      <c r="B1027" s="116">
        <v>3</v>
      </c>
      <c r="C1027" s="116">
        <v>2.91</v>
      </c>
      <c r="D1027" s="116">
        <v>2.85</v>
      </c>
      <c r="E1027" s="116">
        <v>2.95</v>
      </c>
      <c r="F1027" s="116">
        <v>2.91</v>
      </c>
      <c r="G1027">
        <v>57520</v>
      </c>
      <c r="H1027" s="116"/>
      <c r="I1027" s="116"/>
      <c r="L1027" s="170">
        <v>43514</v>
      </c>
      <c r="M1027" s="116">
        <v>2.9</v>
      </c>
      <c r="N1027" s="116">
        <v>3</v>
      </c>
      <c r="O1027" s="116">
        <v>2.85</v>
      </c>
      <c r="P1027" s="116">
        <v>3</v>
      </c>
      <c r="Q1027" s="116">
        <v>2.9</v>
      </c>
      <c r="R1027">
        <v>418396</v>
      </c>
    </row>
    <row r="1028" spans="1:18" x14ac:dyDescent="0.25">
      <c r="A1028" s="170">
        <v>43515</v>
      </c>
      <c r="B1028" s="116">
        <v>3.35</v>
      </c>
      <c r="C1028" s="116">
        <v>3.14</v>
      </c>
      <c r="D1028" s="116">
        <v>2.99</v>
      </c>
      <c r="E1028" s="116">
        <v>3</v>
      </c>
      <c r="F1028" s="116">
        <v>3.14</v>
      </c>
      <c r="G1028">
        <v>1196528</v>
      </c>
      <c r="H1028" s="116"/>
      <c r="I1028" s="116"/>
      <c r="L1028" s="170">
        <v>43515</v>
      </c>
      <c r="M1028" s="116">
        <v>3.15</v>
      </c>
      <c r="N1028" s="116">
        <v>3.2</v>
      </c>
      <c r="O1028" s="116">
        <v>2.95</v>
      </c>
      <c r="P1028" s="116">
        <v>3</v>
      </c>
      <c r="Q1028" s="116">
        <v>3.15</v>
      </c>
      <c r="R1028">
        <v>954537</v>
      </c>
    </row>
    <row r="1029" spans="1:18" x14ac:dyDescent="0.25">
      <c r="A1029" s="170">
        <v>43516</v>
      </c>
      <c r="B1029" s="116">
        <v>3.18</v>
      </c>
      <c r="C1029" s="116">
        <v>3.09</v>
      </c>
      <c r="D1029" s="116">
        <v>3.03</v>
      </c>
      <c r="E1029" s="116">
        <v>3.15</v>
      </c>
      <c r="F1029" s="116">
        <v>3.09</v>
      </c>
      <c r="G1029">
        <v>179104</v>
      </c>
      <c r="H1029" s="116"/>
      <c r="I1029" s="116"/>
      <c r="L1029" s="170">
        <v>43516</v>
      </c>
      <c r="M1029" s="116">
        <v>3.05</v>
      </c>
      <c r="N1029" s="116">
        <v>3.2</v>
      </c>
      <c r="O1029" s="116">
        <v>3.05</v>
      </c>
      <c r="P1029" s="116">
        <v>3.2</v>
      </c>
      <c r="Q1029" s="116">
        <v>3.05</v>
      </c>
      <c r="R1029">
        <v>243079</v>
      </c>
    </row>
    <row r="1030" spans="1:18" x14ac:dyDescent="0.25">
      <c r="A1030" s="170">
        <v>43517</v>
      </c>
      <c r="B1030" s="116">
        <v>3.2</v>
      </c>
      <c r="C1030" s="116">
        <v>3.14</v>
      </c>
      <c r="D1030" s="116">
        <v>3.1</v>
      </c>
      <c r="E1030" s="116">
        <v>3.13</v>
      </c>
      <c r="F1030" s="116">
        <v>3.14</v>
      </c>
      <c r="G1030">
        <v>121115</v>
      </c>
      <c r="H1030" s="116"/>
      <c r="I1030" s="116"/>
      <c r="L1030" s="170">
        <v>43517</v>
      </c>
      <c r="M1030" s="116">
        <v>3.15</v>
      </c>
      <c r="N1030" s="116">
        <v>3.2</v>
      </c>
      <c r="O1030" s="116">
        <v>3.05</v>
      </c>
      <c r="P1030" s="116">
        <v>3.05</v>
      </c>
      <c r="Q1030" s="116">
        <v>3.15</v>
      </c>
      <c r="R1030">
        <v>551043</v>
      </c>
    </row>
    <row r="1031" spans="1:18" x14ac:dyDescent="0.25">
      <c r="A1031" s="170">
        <v>43518</v>
      </c>
      <c r="B1031" s="116">
        <v>3.58</v>
      </c>
      <c r="C1031" s="116">
        <v>3.45</v>
      </c>
      <c r="D1031" s="116">
        <v>3.2</v>
      </c>
      <c r="E1031" s="116">
        <v>3.2</v>
      </c>
      <c r="F1031" s="116">
        <v>3.45</v>
      </c>
      <c r="G1031">
        <v>389295</v>
      </c>
      <c r="H1031" s="116"/>
      <c r="I1031" s="116"/>
      <c r="L1031" s="170">
        <v>43518</v>
      </c>
      <c r="M1031" s="116">
        <v>3.45</v>
      </c>
      <c r="N1031" s="116">
        <v>3.6</v>
      </c>
      <c r="O1031" s="116">
        <v>3.1</v>
      </c>
      <c r="P1031" s="116">
        <v>3.2</v>
      </c>
      <c r="Q1031" s="116">
        <v>3.45</v>
      </c>
      <c r="R1031">
        <v>2854949</v>
      </c>
    </row>
    <row r="1032" spans="1:18" x14ac:dyDescent="0.25">
      <c r="A1032" s="170">
        <v>43521</v>
      </c>
      <c r="B1032" s="116">
        <v>3.69</v>
      </c>
      <c r="C1032" s="116">
        <v>3.41</v>
      </c>
      <c r="D1032" s="116">
        <v>3.35</v>
      </c>
      <c r="E1032" s="116">
        <v>3.46</v>
      </c>
      <c r="F1032" s="116">
        <v>3.41</v>
      </c>
      <c r="G1032">
        <v>292956</v>
      </c>
      <c r="H1032" s="116"/>
      <c r="I1032" s="116"/>
      <c r="L1032" s="170">
        <v>43521</v>
      </c>
      <c r="M1032" s="116">
        <v>3.35</v>
      </c>
      <c r="N1032" s="116">
        <v>3.7</v>
      </c>
      <c r="O1032" s="116">
        <v>3.3</v>
      </c>
      <c r="P1032" s="116">
        <v>3.5</v>
      </c>
      <c r="Q1032" s="116">
        <v>3.35</v>
      </c>
      <c r="R1032">
        <v>654097</v>
      </c>
    </row>
    <row r="1033" spans="1:18" x14ac:dyDescent="0.25">
      <c r="A1033" s="170">
        <v>43522</v>
      </c>
      <c r="B1033" s="116">
        <v>3.5</v>
      </c>
      <c r="C1033" s="116">
        <v>3.15</v>
      </c>
      <c r="D1033" s="116">
        <v>3.1</v>
      </c>
      <c r="E1033" s="116">
        <v>3.5</v>
      </c>
      <c r="F1033" s="116">
        <v>3.15</v>
      </c>
      <c r="G1033">
        <v>232476</v>
      </c>
      <c r="H1033" s="116"/>
      <c r="I1033" s="116"/>
      <c r="L1033" s="170">
        <v>43522</v>
      </c>
      <c r="M1033" s="116">
        <v>3.1</v>
      </c>
      <c r="N1033" s="116">
        <v>3.35</v>
      </c>
      <c r="O1033" s="116">
        <v>3</v>
      </c>
      <c r="P1033" s="116">
        <v>3.35</v>
      </c>
      <c r="Q1033" s="116">
        <v>3.1</v>
      </c>
      <c r="R1033">
        <v>941264</v>
      </c>
    </row>
    <row r="1034" spans="1:18" x14ac:dyDescent="0.25">
      <c r="A1034" s="170">
        <v>43523</v>
      </c>
      <c r="B1034" s="116">
        <v>3.34</v>
      </c>
      <c r="C1034" s="116">
        <v>3.07</v>
      </c>
      <c r="D1034" s="116">
        <v>2.97</v>
      </c>
      <c r="E1034" s="116">
        <v>3.2</v>
      </c>
      <c r="F1034" s="116">
        <v>3.07</v>
      </c>
      <c r="G1034">
        <v>198541</v>
      </c>
      <c r="H1034" s="116"/>
      <c r="I1034" s="116"/>
      <c r="L1034" s="170">
        <v>43523</v>
      </c>
      <c r="M1034" s="116">
        <v>3.05</v>
      </c>
      <c r="N1034" s="116">
        <v>3.3</v>
      </c>
      <c r="O1034" s="116">
        <v>2.95</v>
      </c>
      <c r="P1034" s="116">
        <v>3.15</v>
      </c>
      <c r="Q1034" s="116">
        <v>3.05</v>
      </c>
      <c r="R1034">
        <v>1111776</v>
      </c>
    </row>
    <row r="1035" spans="1:18" x14ac:dyDescent="0.25">
      <c r="A1035" s="170">
        <v>43524</v>
      </c>
      <c r="B1035" s="116">
        <v>3.13</v>
      </c>
      <c r="C1035" s="116">
        <v>3.06</v>
      </c>
      <c r="D1035" s="116">
        <v>3.01</v>
      </c>
      <c r="E1035" s="116">
        <v>3.01</v>
      </c>
      <c r="F1035" s="116">
        <v>3.06</v>
      </c>
      <c r="G1035">
        <v>113891</v>
      </c>
      <c r="H1035" s="116"/>
      <c r="I1035" s="116"/>
      <c r="L1035" s="170">
        <v>43524</v>
      </c>
      <c r="M1035" s="116">
        <v>3.05</v>
      </c>
      <c r="N1035" s="116">
        <v>3.1</v>
      </c>
      <c r="O1035" s="116">
        <v>3</v>
      </c>
      <c r="P1035" s="116">
        <v>3.05</v>
      </c>
      <c r="Q1035" s="116">
        <v>3.05</v>
      </c>
      <c r="R1035">
        <v>562752</v>
      </c>
    </row>
    <row r="1036" spans="1:18" x14ac:dyDescent="0.25">
      <c r="A1036" s="170">
        <v>43525</v>
      </c>
      <c r="B1036" s="116">
        <v>3.2</v>
      </c>
      <c r="C1036" s="116">
        <v>3.09</v>
      </c>
      <c r="D1036" s="116">
        <v>3.02</v>
      </c>
      <c r="E1036" s="116">
        <v>3.07</v>
      </c>
      <c r="F1036" s="116">
        <v>3.09</v>
      </c>
      <c r="G1036">
        <v>69242</v>
      </c>
      <c r="H1036" s="116"/>
      <c r="I1036" s="116"/>
      <c r="L1036" s="170">
        <v>43525</v>
      </c>
      <c r="M1036" s="116">
        <v>3.05</v>
      </c>
      <c r="N1036" s="116">
        <v>3.15</v>
      </c>
      <c r="O1036" s="116">
        <v>3.05</v>
      </c>
      <c r="P1036" s="116">
        <v>3.05</v>
      </c>
      <c r="Q1036" s="116">
        <v>3.05</v>
      </c>
      <c r="R1036">
        <v>504936</v>
      </c>
    </row>
    <row r="1037" spans="1:18" x14ac:dyDescent="0.25">
      <c r="A1037" s="170">
        <v>43529</v>
      </c>
      <c r="B1037" s="116">
        <v>3.42</v>
      </c>
      <c r="C1037" s="116">
        <v>3.35</v>
      </c>
      <c r="D1037" s="116">
        <v>3.09</v>
      </c>
      <c r="E1037" s="116">
        <v>3.09</v>
      </c>
      <c r="F1037" s="116">
        <v>3.35</v>
      </c>
      <c r="G1037">
        <v>197344</v>
      </c>
      <c r="H1037" s="116"/>
      <c r="I1037" s="116"/>
      <c r="L1037" s="170">
        <v>43529</v>
      </c>
      <c r="M1037" s="116">
        <v>3.3</v>
      </c>
      <c r="N1037" s="116">
        <v>3.4</v>
      </c>
      <c r="O1037" s="116">
        <v>3.15</v>
      </c>
      <c r="P1037" s="116">
        <v>3.15</v>
      </c>
      <c r="Q1037" s="116">
        <v>3.3</v>
      </c>
      <c r="R1037">
        <v>1597237</v>
      </c>
    </row>
    <row r="1038" spans="1:18" x14ac:dyDescent="0.25">
      <c r="A1038" s="170">
        <v>43530</v>
      </c>
      <c r="B1038" s="116">
        <v>3.58</v>
      </c>
      <c r="C1038" s="116">
        <v>3.41</v>
      </c>
      <c r="D1038" s="116">
        <v>3.35</v>
      </c>
      <c r="E1038" s="116">
        <v>3.35</v>
      </c>
      <c r="F1038" s="116">
        <v>3.41</v>
      </c>
      <c r="G1038">
        <v>158205</v>
      </c>
      <c r="H1038" s="116"/>
      <c r="I1038" s="116"/>
      <c r="L1038" s="170">
        <v>43530</v>
      </c>
      <c r="M1038" s="116">
        <v>3.35</v>
      </c>
      <c r="N1038" s="116">
        <v>3.6</v>
      </c>
      <c r="O1038" s="116">
        <v>3.35</v>
      </c>
      <c r="P1038" s="116">
        <v>3.4</v>
      </c>
      <c r="Q1038" s="116">
        <v>3.35</v>
      </c>
      <c r="R1038">
        <v>1265324</v>
      </c>
    </row>
    <row r="1039" spans="1:18" x14ac:dyDescent="0.25">
      <c r="A1039" s="170">
        <v>43531</v>
      </c>
      <c r="B1039" s="116">
        <v>3.59</v>
      </c>
      <c r="C1039" s="116">
        <v>3.55</v>
      </c>
      <c r="D1039" s="116">
        <v>3.2</v>
      </c>
      <c r="E1039" s="116">
        <v>3.2</v>
      </c>
      <c r="F1039" s="116">
        <v>3.55</v>
      </c>
      <c r="G1039">
        <v>400183</v>
      </c>
      <c r="H1039" s="116"/>
      <c r="I1039" s="116"/>
      <c r="L1039" s="170">
        <v>43531</v>
      </c>
      <c r="M1039" s="116">
        <v>3.5</v>
      </c>
      <c r="N1039" s="116">
        <v>3.55</v>
      </c>
      <c r="O1039" s="116">
        <v>3.3</v>
      </c>
      <c r="P1039" s="116">
        <v>3.45</v>
      </c>
      <c r="Q1039" s="116">
        <v>3.5</v>
      </c>
      <c r="R1039">
        <v>928579</v>
      </c>
    </row>
    <row r="1040" spans="1:18" x14ac:dyDescent="0.25">
      <c r="A1040" s="170">
        <v>43532</v>
      </c>
      <c r="B1040" s="116">
        <v>3.53</v>
      </c>
      <c r="C1040" s="116">
        <v>3.49</v>
      </c>
      <c r="D1040" s="116">
        <v>3.4</v>
      </c>
      <c r="E1040" s="116">
        <v>3.45</v>
      </c>
      <c r="F1040" s="116">
        <v>3.49</v>
      </c>
      <c r="G1040">
        <v>273890</v>
      </c>
      <c r="H1040" s="116"/>
      <c r="I1040" s="116"/>
      <c r="L1040" s="170">
        <v>43532</v>
      </c>
      <c r="M1040" s="116">
        <v>3.45</v>
      </c>
      <c r="N1040" s="116">
        <v>3.55</v>
      </c>
      <c r="O1040" s="116">
        <v>3.4</v>
      </c>
      <c r="P1040" s="116">
        <v>3.5</v>
      </c>
      <c r="Q1040" s="116">
        <v>3.45</v>
      </c>
      <c r="R1040">
        <v>430198</v>
      </c>
    </row>
    <row r="1041" spans="1:18" x14ac:dyDescent="0.25">
      <c r="A1041" s="170">
        <v>43535</v>
      </c>
      <c r="B1041" s="116">
        <v>3.6</v>
      </c>
      <c r="C1041" s="116">
        <v>3.5</v>
      </c>
      <c r="D1041" s="116">
        <v>3.4</v>
      </c>
      <c r="E1041" s="116">
        <v>3.5</v>
      </c>
      <c r="F1041" s="116">
        <v>3.5</v>
      </c>
      <c r="G1041">
        <v>146178</v>
      </c>
      <c r="H1041" s="116"/>
      <c r="I1041" s="116"/>
      <c r="L1041" s="170">
        <v>43535</v>
      </c>
      <c r="M1041" s="116">
        <v>3.55</v>
      </c>
      <c r="N1041" s="116">
        <v>3.55</v>
      </c>
      <c r="O1041" s="116">
        <v>3.4</v>
      </c>
      <c r="P1041" s="116">
        <v>3.5</v>
      </c>
      <c r="Q1041" s="116">
        <v>3.55</v>
      </c>
      <c r="R1041">
        <v>474824</v>
      </c>
    </row>
    <row r="1042" spans="1:18" x14ac:dyDescent="0.25">
      <c r="A1042" s="170">
        <v>43536</v>
      </c>
      <c r="B1042" s="116">
        <v>3.67</v>
      </c>
      <c r="C1042" s="116">
        <v>3.52</v>
      </c>
      <c r="D1042" s="116">
        <v>3.47</v>
      </c>
      <c r="E1042" s="116">
        <v>3.67</v>
      </c>
      <c r="F1042" s="116">
        <v>3.52</v>
      </c>
      <c r="G1042">
        <v>80672</v>
      </c>
      <c r="H1042" s="116"/>
      <c r="I1042" s="116"/>
      <c r="L1042" s="170">
        <v>43536</v>
      </c>
      <c r="M1042" s="116">
        <v>3.5</v>
      </c>
      <c r="N1042" s="116">
        <v>3.6</v>
      </c>
      <c r="O1042" s="116">
        <v>3.45</v>
      </c>
      <c r="P1042" s="116">
        <v>3.5</v>
      </c>
      <c r="Q1042" s="116">
        <v>3.5</v>
      </c>
      <c r="R1042">
        <v>500294</v>
      </c>
    </row>
    <row r="1043" spans="1:18" x14ac:dyDescent="0.25">
      <c r="A1043" s="170">
        <v>43537</v>
      </c>
      <c r="B1043" s="116">
        <v>3.5</v>
      </c>
      <c r="C1043" s="116">
        <v>3.46</v>
      </c>
      <c r="D1043" s="116">
        <v>3.39</v>
      </c>
      <c r="E1043" s="116">
        <v>3.5</v>
      </c>
      <c r="F1043" s="116">
        <v>3.46</v>
      </c>
      <c r="G1043">
        <v>149428</v>
      </c>
      <c r="H1043" s="116"/>
      <c r="I1043" s="116"/>
      <c r="L1043" s="170">
        <v>43537</v>
      </c>
      <c r="M1043" s="116">
        <v>3.4</v>
      </c>
      <c r="N1043" s="116">
        <v>3.55</v>
      </c>
      <c r="O1043" s="116">
        <v>3.35</v>
      </c>
      <c r="P1043" s="116">
        <v>3.5</v>
      </c>
      <c r="Q1043" s="116">
        <v>3.4</v>
      </c>
      <c r="R1043">
        <v>388278</v>
      </c>
    </row>
    <row r="1044" spans="1:18" x14ac:dyDescent="0.25">
      <c r="A1044" s="170">
        <v>43538</v>
      </c>
      <c r="B1044" s="116">
        <v>3.64</v>
      </c>
      <c r="C1044" s="116">
        <v>3.4</v>
      </c>
      <c r="D1044" s="116">
        <v>3.25</v>
      </c>
      <c r="E1044" s="116">
        <v>3.64</v>
      </c>
      <c r="F1044" s="116">
        <v>3.4</v>
      </c>
      <c r="G1044">
        <v>72539</v>
      </c>
      <c r="H1044" s="116"/>
      <c r="I1044" s="116"/>
      <c r="L1044" s="170">
        <v>43538</v>
      </c>
      <c r="M1044" s="116">
        <v>3.35</v>
      </c>
      <c r="N1044" s="116">
        <v>3.5</v>
      </c>
      <c r="O1044" s="116">
        <v>3.25</v>
      </c>
      <c r="P1044" s="116">
        <v>3.5</v>
      </c>
      <c r="Q1044" s="116">
        <v>3.35</v>
      </c>
      <c r="R1044">
        <v>689906</v>
      </c>
    </row>
    <row r="1045" spans="1:18" x14ac:dyDescent="0.25">
      <c r="A1045" s="170">
        <v>43539</v>
      </c>
      <c r="B1045" s="116">
        <v>3.48</v>
      </c>
      <c r="C1045" s="116">
        <v>3.4</v>
      </c>
      <c r="D1045" s="116">
        <v>3.21</v>
      </c>
      <c r="E1045" s="116">
        <v>3.48</v>
      </c>
      <c r="F1045" s="116">
        <v>3.4</v>
      </c>
      <c r="G1045">
        <v>232583</v>
      </c>
      <c r="H1045" s="116"/>
      <c r="I1045" s="116"/>
      <c r="L1045" s="170">
        <v>43539</v>
      </c>
      <c r="M1045" s="116">
        <v>3.35</v>
      </c>
      <c r="N1045" s="116">
        <v>3.45</v>
      </c>
      <c r="O1045" s="116">
        <v>3.15</v>
      </c>
      <c r="P1045" s="116">
        <v>3.45</v>
      </c>
      <c r="Q1045" s="116">
        <v>3.35</v>
      </c>
      <c r="R1045">
        <v>858115</v>
      </c>
    </row>
    <row r="1046" spans="1:18" x14ac:dyDescent="0.25">
      <c r="A1046" s="170">
        <v>43542</v>
      </c>
      <c r="B1046" s="116">
        <v>3.33</v>
      </c>
      <c r="C1046" s="116">
        <v>3.25</v>
      </c>
      <c r="D1046" s="116">
        <v>3.15</v>
      </c>
      <c r="E1046" s="116">
        <v>3.3</v>
      </c>
      <c r="F1046" s="116">
        <v>3.25</v>
      </c>
      <c r="G1046">
        <v>298621</v>
      </c>
      <c r="H1046" s="116"/>
      <c r="I1046" s="116"/>
      <c r="L1046" s="170">
        <v>43542</v>
      </c>
      <c r="M1046" s="116">
        <v>3.2</v>
      </c>
      <c r="N1046" s="116">
        <v>3.35</v>
      </c>
      <c r="O1046" s="116">
        <v>3.1</v>
      </c>
      <c r="P1046" s="116">
        <v>3.3</v>
      </c>
      <c r="Q1046" s="116">
        <v>3.2</v>
      </c>
      <c r="R1046">
        <v>1044004</v>
      </c>
    </row>
    <row r="1047" spans="1:18" x14ac:dyDescent="0.25">
      <c r="A1047" s="170">
        <v>43543</v>
      </c>
      <c r="B1047" s="116">
        <v>3.33</v>
      </c>
      <c r="C1047" s="116">
        <v>3.14</v>
      </c>
      <c r="D1047" s="116">
        <v>3.12</v>
      </c>
      <c r="E1047" s="116">
        <v>3.3</v>
      </c>
      <c r="F1047" s="116">
        <v>3.14</v>
      </c>
      <c r="G1047">
        <v>126753</v>
      </c>
      <c r="H1047" s="116"/>
      <c r="I1047" s="116"/>
      <c r="L1047" s="170">
        <v>43543</v>
      </c>
      <c r="M1047" s="116">
        <v>3.15</v>
      </c>
      <c r="N1047" s="116">
        <v>3.3</v>
      </c>
      <c r="O1047" s="116">
        <v>3.1</v>
      </c>
      <c r="P1047" s="116">
        <v>3.2</v>
      </c>
      <c r="Q1047" s="116">
        <v>3.15</v>
      </c>
      <c r="R1047">
        <v>824563</v>
      </c>
    </row>
    <row r="1048" spans="1:18" x14ac:dyDescent="0.25">
      <c r="A1048" s="170">
        <v>43544</v>
      </c>
      <c r="B1048" s="116">
        <v>3.43</v>
      </c>
      <c r="C1048" s="116">
        <v>3.39</v>
      </c>
      <c r="D1048" s="116">
        <v>3.15</v>
      </c>
      <c r="E1048" s="116">
        <v>3.24</v>
      </c>
      <c r="F1048" s="116">
        <v>3.39</v>
      </c>
      <c r="G1048">
        <v>366901</v>
      </c>
      <c r="H1048" s="116"/>
      <c r="I1048" s="116"/>
      <c r="L1048" s="170">
        <v>43544</v>
      </c>
      <c r="M1048" s="116">
        <v>3.35</v>
      </c>
      <c r="N1048" s="116">
        <v>3.4</v>
      </c>
      <c r="O1048" s="116">
        <v>3.15</v>
      </c>
      <c r="P1048" s="116">
        <v>3.15</v>
      </c>
      <c r="Q1048" s="116">
        <v>3.35</v>
      </c>
      <c r="R1048">
        <v>1294026</v>
      </c>
    </row>
    <row r="1049" spans="1:18" x14ac:dyDescent="0.25">
      <c r="A1049" s="170">
        <v>43546</v>
      </c>
      <c r="B1049" s="116">
        <v>3.49</v>
      </c>
      <c r="C1049" s="116">
        <v>3.21</v>
      </c>
      <c r="D1049" s="116">
        <v>3.17</v>
      </c>
      <c r="E1049" s="116">
        <v>3.49</v>
      </c>
      <c r="F1049" s="116">
        <v>3.21</v>
      </c>
      <c r="G1049">
        <v>86351</v>
      </c>
      <c r="H1049" s="116"/>
      <c r="I1049" s="116"/>
      <c r="L1049" s="170">
        <v>43546</v>
      </c>
      <c r="M1049" s="116">
        <v>3.2</v>
      </c>
      <c r="N1049" s="116">
        <v>3.4</v>
      </c>
      <c r="O1049" s="116">
        <v>3.15</v>
      </c>
      <c r="P1049" s="116">
        <v>3.4</v>
      </c>
      <c r="Q1049" s="116">
        <v>3.2</v>
      </c>
      <c r="R1049">
        <v>1229764</v>
      </c>
    </row>
    <row r="1050" spans="1:18" x14ac:dyDescent="0.25">
      <c r="A1050" s="170">
        <v>43549</v>
      </c>
      <c r="B1050" s="116">
        <v>3.25</v>
      </c>
      <c r="C1050" s="116">
        <v>3.15</v>
      </c>
      <c r="D1050" s="116">
        <v>3.02</v>
      </c>
      <c r="E1050" s="116">
        <v>3.18</v>
      </c>
      <c r="F1050" s="116">
        <v>3.15</v>
      </c>
      <c r="G1050">
        <v>473962</v>
      </c>
      <c r="H1050" s="116"/>
      <c r="I1050" s="116"/>
      <c r="L1050" s="170">
        <v>43549</v>
      </c>
      <c r="M1050" s="116">
        <v>3.1</v>
      </c>
      <c r="N1050" s="116">
        <v>3.25</v>
      </c>
      <c r="O1050" s="116">
        <v>3.05</v>
      </c>
      <c r="P1050" s="116">
        <v>3.1</v>
      </c>
      <c r="Q1050" s="116">
        <v>3.1</v>
      </c>
      <c r="R1050">
        <v>1001059</v>
      </c>
    </row>
    <row r="1051" spans="1:18" x14ac:dyDescent="0.25">
      <c r="A1051" s="170">
        <v>43550</v>
      </c>
      <c r="B1051" s="116">
        <v>3.23</v>
      </c>
      <c r="C1051" s="116">
        <v>3.13</v>
      </c>
      <c r="D1051" s="116">
        <v>3.07</v>
      </c>
      <c r="E1051" s="116">
        <v>3.07</v>
      </c>
      <c r="F1051" s="116">
        <v>3.13</v>
      </c>
      <c r="G1051">
        <v>189435</v>
      </c>
      <c r="H1051" s="116"/>
      <c r="I1051" s="116"/>
      <c r="L1051" s="170">
        <v>43550</v>
      </c>
      <c r="M1051" s="116">
        <v>3.1</v>
      </c>
      <c r="N1051" s="116">
        <v>3.2</v>
      </c>
      <c r="O1051" s="116">
        <v>3.1</v>
      </c>
      <c r="P1051" s="116">
        <v>3.15</v>
      </c>
      <c r="Q1051" s="116">
        <v>3.1</v>
      </c>
      <c r="R1051">
        <v>397900</v>
      </c>
    </row>
    <row r="1052" spans="1:18" x14ac:dyDescent="0.25">
      <c r="A1052" s="170">
        <v>43551</v>
      </c>
      <c r="B1052" s="116">
        <v>3.23</v>
      </c>
      <c r="C1052" s="116">
        <v>3.04</v>
      </c>
      <c r="D1052" s="116">
        <v>3</v>
      </c>
      <c r="E1052" s="116">
        <v>3.23</v>
      </c>
      <c r="F1052" s="116">
        <v>3.04</v>
      </c>
      <c r="G1052">
        <v>203127</v>
      </c>
      <c r="H1052" s="116"/>
      <c r="I1052" s="116"/>
      <c r="L1052" s="170">
        <v>43551</v>
      </c>
      <c r="M1052" s="116">
        <v>3.05</v>
      </c>
      <c r="N1052" s="116">
        <v>3.2</v>
      </c>
      <c r="O1052" s="116">
        <v>3.05</v>
      </c>
      <c r="P1052" s="116">
        <v>3.1</v>
      </c>
      <c r="Q1052" s="116">
        <v>3.05</v>
      </c>
      <c r="R1052">
        <v>457378</v>
      </c>
    </row>
    <row r="1053" spans="1:18" x14ac:dyDescent="0.25">
      <c r="A1053" s="170">
        <v>43552</v>
      </c>
      <c r="B1053" s="116">
        <v>3.16</v>
      </c>
      <c r="C1053" s="116">
        <v>3.07</v>
      </c>
      <c r="D1053" s="116">
        <v>3.05</v>
      </c>
      <c r="E1053" s="116">
        <v>3.16</v>
      </c>
      <c r="F1053" s="116">
        <v>3.07</v>
      </c>
      <c r="G1053">
        <v>209174</v>
      </c>
      <c r="H1053" s="116"/>
      <c r="I1053" s="116"/>
      <c r="L1053" s="170">
        <v>43552</v>
      </c>
      <c r="M1053" s="116">
        <v>3.05</v>
      </c>
      <c r="N1053" s="116">
        <v>3.15</v>
      </c>
      <c r="O1053" s="116">
        <v>3</v>
      </c>
      <c r="P1053" s="116">
        <v>3.05</v>
      </c>
      <c r="Q1053" s="116">
        <v>3.05</v>
      </c>
      <c r="R1053">
        <v>732281</v>
      </c>
    </row>
    <row r="1054" spans="1:18" x14ac:dyDescent="0.25">
      <c r="A1054" s="170">
        <v>43553</v>
      </c>
      <c r="B1054" s="116">
        <v>3.14</v>
      </c>
      <c r="C1054" s="116">
        <v>3.07</v>
      </c>
      <c r="D1054" s="116">
        <v>3.05</v>
      </c>
      <c r="E1054" s="116">
        <v>3.1</v>
      </c>
      <c r="F1054" s="116">
        <v>3.07</v>
      </c>
      <c r="G1054">
        <v>137698</v>
      </c>
      <c r="H1054" s="116"/>
      <c r="I1054" s="116"/>
      <c r="L1054" s="170">
        <v>43553</v>
      </c>
      <c r="M1054" s="116">
        <v>3.05</v>
      </c>
      <c r="N1054" s="116">
        <v>3.15</v>
      </c>
      <c r="O1054" s="116">
        <v>3.05</v>
      </c>
      <c r="P1054" s="116">
        <v>3.15</v>
      </c>
      <c r="Q1054" s="116">
        <v>3.05</v>
      </c>
      <c r="R1054">
        <v>712899</v>
      </c>
    </row>
    <row r="1055" spans="1:18" x14ac:dyDescent="0.25">
      <c r="A1055" s="170">
        <v>43556</v>
      </c>
      <c r="B1055" s="116">
        <v>3.2</v>
      </c>
      <c r="C1055" s="116">
        <v>3.05</v>
      </c>
      <c r="D1055" s="116">
        <v>3.05</v>
      </c>
      <c r="E1055" s="116">
        <v>3.1</v>
      </c>
      <c r="F1055" s="116">
        <v>3.05</v>
      </c>
      <c r="G1055">
        <v>83872</v>
      </c>
      <c r="H1055" s="116"/>
      <c r="I1055" s="116"/>
      <c r="L1055" s="170">
        <v>43556</v>
      </c>
      <c r="M1055" s="116">
        <v>3.05</v>
      </c>
      <c r="N1055" s="116">
        <v>3.1</v>
      </c>
      <c r="O1055" s="116">
        <v>3.05</v>
      </c>
      <c r="P1055" s="116">
        <v>3.05</v>
      </c>
      <c r="Q1055" s="116">
        <v>3.05</v>
      </c>
      <c r="R1055">
        <v>300898</v>
      </c>
    </row>
    <row r="1056" spans="1:18" x14ac:dyDescent="0.25">
      <c r="A1056" s="170">
        <v>43557</v>
      </c>
      <c r="B1056" s="116">
        <v>3.13</v>
      </c>
      <c r="C1056" s="116">
        <v>3.12</v>
      </c>
      <c r="D1056" s="116">
        <v>3</v>
      </c>
      <c r="E1056" s="116">
        <v>3.05</v>
      </c>
      <c r="F1056" s="116">
        <v>3.12</v>
      </c>
      <c r="G1056">
        <v>119833</v>
      </c>
      <c r="H1056" s="116"/>
      <c r="I1056" s="116"/>
      <c r="L1056" s="170">
        <v>43557</v>
      </c>
      <c r="M1056" s="116">
        <v>3.1</v>
      </c>
      <c r="N1056" s="116">
        <v>3.15</v>
      </c>
      <c r="O1056" s="116">
        <v>3.05</v>
      </c>
      <c r="P1056" s="116">
        <v>3.05</v>
      </c>
      <c r="Q1056" s="116">
        <v>3.1</v>
      </c>
      <c r="R1056">
        <v>259767</v>
      </c>
    </row>
    <row r="1057" spans="1:18" x14ac:dyDescent="0.25">
      <c r="A1057" s="170">
        <v>43558</v>
      </c>
      <c r="B1057" s="116">
        <v>3.23</v>
      </c>
      <c r="C1057" s="116">
        <v>3.07</v>
      </c>
      <c r="D1057" s="116">
        <v>3.05</v>
      </c>
      <c r="E1057" s="116">
        <v>3.2</v>
      </c>
      <c r="F1057" s="116">
        <v>3.07</v>
      </c>
      <c r="G1057">
        <v>34004</v>
      </c>
      <c r="H1057" s="116"/>
      <c r="I1057" s="116"/>
      <c r="L1057" s="170">
        <v>43558</v>
      </c>
      <c r="M1057" s="116">
        <v>3.05</v>
      </c>
      <c r="N1057" s="116">
        <v>3.2</v>
      </c>
      <c r="O1057" s="116">
        <v>3.05</v>
      </c>
      <c r="P1057" s="116">
        <v>3.15</v>
      </c>
      <c r="Q1057" s="116">
        <v>3.05</v>
      </c>
      <c r="R1057">
        <v>350379</v>
      </c>
    </row>
    <row r="1058" spans="1:18" x14ac:dyDescent="0.25">
      <c r="A1058" s="170">
        <v>43559</v>
      </c>
      <c r="B1058" s="116">
        <v>3.08</v>
      </c>
      <c r="C1058" s="116">
        <v>3.02</v>
      </c>
      <c r="D1058" s="116">
        <v>3.01</v>
      </c>
      <c r="E1058" s="116">
        <v>3.06</v>
      </c>
      <c r="F1058" s="116">
        <v>3.02</v>
      </c>
      <c r="G1058">
        <v>64538</v>
      </c>
      <c r="H1058" s="116"/>
      <c r="I1058" s="116"/>
      <c r="L1058" s="170">
        <v>43559</v>
      </c>
      <c r="M1058" s="116">
        <v>3</v>
      </c>
      <c r="N1058" s="116">
        <v>3.1</v>
      </c>
      <c r="O1058" s="116">
        <v>3</v>
      </c>
      <c r="P1058" s="116">
        <v>3.1</v>
      </c>
      <c r="Q1058" s="116">
        <v>3</v>
      </c>
      <c r="R1058">
        <v>420563</v>
      </c>
    </row>
    <row r="1059" spans="1:18" x14ac:dyDescent="0.25">
      <c r="A1059" s="170">
        <v>43560</v>
      </c>
      <c r="B1059" s="116">
        <v>3.15</v>
      </c>
      <c r="C1059" s="116">
        <v>3.09</v>
      </c>
      <c r="D1059" s="116">
        <v>3.01</v>
      </c>
      <c r="E1059" s="116">
        <v>3.11</v>
      </c>
      <c r="F1059" s="116">
        <v>3.09</v>
      </c>
      <c r="G1059">
        <v>92364</v>
      </c>
      <c r="H1059" s="116"/>
      <c r="I1059" s="116"/>
      <c r="L1059" s="170">
        <v>43560</v>
      </c>
      <c r="M1059" s="116">
        <v>3.05</v>
      </c>
      <c r="N1059" s="116">
        <v>3.15</v>
      </c>
      <c r="O1059" s="116">
        <v>3</v>
      </c>
      <c r="P1059" s="116">
        <v>3.05</v>
      </c>
      <c r="Q1059" s="116">
        <v>3.05</v>
      </c>
      <c r="R1059">
        <v>348299</v>
      </c>
    </row>
    <row r="1060" spans="1:18" x14ac:dyDescent="0.25">
      <c r="A1060" s="170">
        <v>43563</v>
      </c>
      <c r="B1060" s="116">
        <v>3.13</v>
      </c>
      <c r="C1060" s="116">
        <v>3.05</v>
      </c>
      <c r="D1060" s="116">
        <v>3.03</v>
      </c>
      <c r="E1060" s="116">
        <v>3.09</v>
      </c>
      <c r="F1060" s="116">
        <v>3.05</v>
      </c>
      <c r="G1060">
        <v>68153</v>
      </c>
      <c r="H1060" s="116"/>
      <c r="I1060" s="116"/>
      <c r="L1060" s="170">
        <v>43563</v>
      </c>
      <c r="M1060" s="116">
        <v>3.05</v>
      </c>
      <c r="N1060" s="116">
        <v>3.1</v>
      </c>
      <c r="O1060" s="116">
        <v>3</v>
      </c>
      <c r="P1060" s="116">
        <v>3.05</v>
      </c>
      <c r="Q1060" s="116">
        <v>3.05</v>
      </c>
      <c r="R1060">
        <v>260113</v>
      </c>
    </row>
    <row r="1061" spans="1:18" x14ac:dyDescent="0.25">
      <c r="A1061" s="170">
        <v>43564</v>
      </c>
      <c r="B1061" s="116">
        <v>3.1</v>
      </c>
      <c r="C1061" s="116">
        <v>3.06</v>
      </c>
      <c r="D1061" s="116">
        <v>3.01</v>
      </c>
      <c r="E1061" s="116">
        <v>3.04</v>
      </c>
      <c r="F1061" s="116">
        <v>3.06</v>
      </c>
      <c r="G1061">
        <v>237349</v>
      </c>
      <c r="H1061" s="116"/>
      <c r="I1061" s="116"/>
      <c r="L1061" s="170">
        <v>43564</v>
      </c>
      <c r="M1061" s="116">
        <v>3</v>
      </c>
      <c r="N1061" s="116">
        <v>3.1</v>
      </c>
      <c r="O1061" s="116">
        <v>2.95</v>
      </c>
      <c r="P1061" s="116">
        <v>3.05</v>
      </c>
      <c r="Q1061" s="116">
        <v>3</v>
      </c>
      <c r="R1061">
        <v>755251</v>
      </c>
    </row>
    <row r="1062" spans="1:18" x14ac:dyDescent="0.25">
      <c r="A1062" s="170">
        <v>43565</v>
      </c>
      <c r="B1062" s="116">
        <v>3.08</v>
      </c>
      <c r="C1062" s="116">
        <v>3.04</v>
      </c>
      <c r="D1062" s="116">
        <v>2.98</v>
      </c>
      <c r="E1062" s="116">
        <v>3.08</v>
      </c>
      <c r="F1062" s="116">
        <v>3.04</v>
      </c>
      <c r="G1062">
        <v>122010</v>
      </c>
      <c r="H1062" s="116"/>
      <c r="I1062" s="116"/>
      <c r="L1062" s="170">
        <v>43565</v>
      </c>
      <c r="M1062" s="116">
        <v>3</v>
      </c>
      <c r="N1062" s="116">
        <v>3.05</v>
      </c>
      <c r="O1062" s="116">
        <v>2.95</v>
      </c>
      <c r="P1062" s="116">
        <v>3</v>
      </c>
      <c r="Q1062" s="116">
        <v>3</v>
      </c>
      <c r="R1062">
        <v>543023</v>
      </c>
    </row>
    <row r="1063" spans="1:18" x14ac:dyDescent="0.25">
      <c r="A1063" s="170">
        <v>43566</v>
      </c>
      <c r="B1063" s="116">
        <v>3.06</v>
      </c>
      <c r="C1063" s="116">
        <v>3.03</v>
      </c>
      <c r="D1063" s="116">
        <v>3.01</v>
      </c>
      <c r="E1063" s="116">
        <v>3.01</v>
      </c>
      <c r="F1063" s="116">
        <v>3.03</v>
      </c>
      <c r="G1063">
        <v>152785</v>
      </c>
      <c r="H1063" s="116"/>
      <c r="I1063" s="116"/>
      <c r="L1063" s="170">
        <v>43566</v>
      </c>
      <c r="M1063" s="116">
        <v>3.05</v>
      </c>
      <c r="N1063" s="116">
        <v>3.1</v>
      </c>
      <c r="O1063" s="116">
        <v>3</v>
      </c>
      <c r="P1063" s="116">
        <v>3.05</v>
      </c>
      <c r="Q1063" s="116">
        <v>3.05</v>
      </c>
      <c r="R1063">
        <v>723149</v>
      </c>
    </row>
    <row r="1064" spans="1:18" x14ac:dyDescent="0.25">
      <c r="A1064" s="170">
        <v>43567</v>
      </c>
      <c r="B1064" s="116">
        <v>3.29</v>
      </c>
      <c r="C1064" s="116">
        <v>3.13</v>
      </c>
      <c r="D1064" s="116">
        <v>3.05</v>
      </c>
      <c r="E1064" s="116">
        <v>3.06</v>
      </c>
      <c r="F1064" s="116">
        <v>3.13</v>
      </c>
      <c r="G1064">
        <v>254274</v>
      </c>
      <c r="H1064" s="116"/>
      <c r="I1064" s="116"/>
      <c r="L1064" s="170">
        <v>43567</v>
      </c>
      <c r="M1064" s="116">
        <v>3.1</v>
      </c>
      <c r="N1064" s="116">
        <v>3.3</v>
      </c>
      <c r="O1064" s="116">
        <v>3</v>
      </c>
      <c r="P1064" s="116">
        <v>3.05</v>
      </c>
      <c r="Q1064" s="116">
        <v>3.1</v>
      </c>
      <c r="R1064">
        <v>1630255</v>
      </c>
    </row>
    <row r="1065" spans="1:18" x14ac:dyDescent="0.25">
      <c r="A1065" s="170">
        <v>43570</v>
      </c>
      <c r="B1065" s="116">
        <v>3.25</v>
      </c>
      <c r="C1065" s="116">
        <v>3.12</v>
      </c>
      <c r="D1065" s="116">
        <v>3.1</v>
      </c>
      <c r="E1065" s="116">
        <v>3.1</v>
      </c>
      <c r="F1065" s="116">
        <v>3.12</v>
      </c>
      <c r="G1065">
        <v>147312</v>
      </c>
      <c r="H1065" s="116"/>
      <c r="I1065" s="116"/>
      <c r="L1065" s="170">
        <v>43570</v>
      </c>
      <c r="M1065" s="116">
        <v>3.15</v>
      </c>
      <c r="N1065" s="116">
        <v>3.3</v>
      </c>
      <c r="O1065" s="116">
        <v>3.1</v>
      </c>
      <c r="P1065" s="116">
        <v>3.1</v>
      </c>
      <c r="Q1065" s="116">
        <v>3.15</v>
      </c>
      <c r="R1065">
        <v>1117385</v>
      </c>
    </row>
    <row r="1066" spans="1:18" x14ac:dyDescent="0.25">
      <c r="A1066" s="170">
        <v>43571</v>
      </c>
      <c r="B1066" s="116">
        <v>3.25</v>
      </c>
      <c r="C1066" s="116">
        <v>3.06</v>
      </c>
      <c r="D1066" s="116">
        <v>3.05</v>
      </c>
      <c r="E1066" s="116">
        <v>3.18</v>
      </c>
      <c r="F1066" s="116">
        <v>3.06</v>
      </c>
      <c r="G1066">
        <v>212662</v>
      </c>
      <c r="H1066" s="116"/>
      <c r="I1066" s="116"/>
      <c r="L1066" s="170">
        <v>43571</v>
      </c>
      <c r="M1066" s="116">
        <v>3.05</v>
      </c>
      <c r="N1066" s="116">
        <v>3.25</v>
      </c>
      <c r="O1066" s="116">
        <v>3.05</v>
      </c>
      <c r="P1066" s="116">
        <v>3.15</v>
      </c>
      <c r="Q1066" s="116">
        <v>3.05</v>
      </c>
      <c r="R1066">
        <v>774406</v>
      </c>
    </row>
    <row r="1067" spans="1:18" x14ac:dyDescent="0.25">
      <c r="A1067" s="170">
        <v>43573</v>
      </c>
      <c r="B1067" s="116">
        <v>3.09</v>
      </c>
      <c r="C1067" s="116">
        <v>2.98</v>
      </c>
      <c r="D1067" s="116">
        <v>2.95</v>
      </c>
      <c r="E1067" s="116">
        <v>3.09</v>
      </c>
      <c r="F1067" s="116">
        <v>2.98</v>
      </c>
      <c r="G1067">
        <v>161961</v>
      </c>
      <c r="H1067" s="116"/>
      <c r="I1067" s="116"/>
      <c r="L1067" s="170">
        <v>43573</v>
      </c>
      <c r="M1067" s="116">
        <v>2.95</v>
      </c>
      <c r="N1067" s="116">
        <v>3.1</v>
      </c>
      <c r="O1067" s="116">
        <v>2.95</v>
      </c>
      <c r="P1067" s="116">
        <v>3.05</v>
      </c>
      <c r="Q1067" s="116">
        <v>2.95</v>
      </c>
      <c r="R1067">
        <v>851061</v>
      </c>
    </row>
    <row r="1068" spans="1:18" x14ac:dyDescent="0.25">
      <c r="A1068" s="170">
        <v>43577</v>
      </c>
      <c r="B1068" s="116">
        <v>3.06</v>
      </c>
      <c r="C1068" s="116">
        <v>2.98</v>
      </c>
      <c r="D1068" s="116">
        <v>2.96</v>
      </c>
      <c r="E1068" s="116">
        <v>2.96</v>
      </c>
      <c r="F1068" s="116">
        <v>2.98</v>
      </c>
      <c r="G1068">
        <v>127474</v>
      </c>
      <c r="H1068" s="116"/>
      <c r="I1068" s="116"/>
      <c r="L1068" s="170">
        <v>43577</v>
      </c>
      <c r="M1068" s="116">
        <v>2.95</v>
      </c>
      <c r="N1068" s="116">
        <v>3.05</v>
      </c>
      <c r="O1068" s="116">
        <v>2.95</v>
      </c>
      <c r="P1068" s="116">
        <v>2.95</v>
      </c>
      <c r="Q1068" s="116">
        <v>2.95</v>
      </c>
      <c r="R1068">
        <v>1121266</v>
      </c>
    </row>
    <row r="1069" spans="1:18" x14ac:dyDescent="0.25">
      <c r="A1069" s="170">
        <v>43578</v>
      </c>
      <c r="B1069" s="116">
        <v>3.04</v>
      </c>
      <c r="C1069" s="116">
        <v>2.96</v>
      </c>
      <c r="D1069" s="116">
        <v>2.95</v>
      </c>
      <c r="E1069" s="116">
        <v>3.04</v>
      </c>
      <c r="F1069" s="116">
        <v>2.96</v>
      </c>
      <c r="G1069">
        <v>46119</v>
      </c>
      <c r="H1069" s="116"/>
      <c r="I1069" s="116"/>
      <c r="L1069" s="170">
        <v>43578</v>
      </c>
      <c r="M1069" s="116">
        <v>2.95</v>
      </c>
      <c r="N1069" s="116">
        <v>3</v>
      </c>
      <c r="O1069" s="116">
        <v>2.95</v>
      </c>
      <c r="P1069" s="116">
        <v>3</v>
      </c>
      <c r="Q1069" s="116">
        <v>2.95</v>
      </c>
      <c r="R1069">
        <v>548680</v>
      </c>
    </row>
    <row r="1070" spans="1:18" x14ac:dyDescent="0.25">
      <c r="A1070" s="170">
        <v>43579</v>
      </c>
      <c r="B1070" s="116">
        <v>2.97</v>
      </c>
      <c r="C1070" s="116">
        <v>2.93</v>
      </c>
      <c r="D1070" s="116">
        <v>2.92</v>
      </c>
      <c r="E1070" s="116">
        <v>2.96</v>
      </c>
      <c r="F1070" s="116">
        <v>2.93</v>
      </c>
      <c r="G1070">
        <v>66243</v>
      </c>
      <c r="H1070" s="116"/>
      <c r="I1070" s="116"/>
      <c r="L1070" s="170">
        <v>43579</v>
      </c>
      <c r="M1070" s="116">
        <v>2.95</v>
      </c>
      <c r="N1070" s="116">
        <v>3</v>
      </c>
      <c r="O1070" s="116">
        <v>2.9</v>
      </c>
      <c r="P1070" s="116">
        <v>3</v>
      </c>
      <c r="Q1070" s="116">
        <v>2.95</v>
      </c>
      <c r="R1070">
        <v>461197</v>
      </c>
    </row>
    <row r="1071" spans="1:18" x14ac:dyDescent="0.25">
      <c r="A1071" s="170">
        <v>43580</v>
      </c>
      <c r="B1071" s="116">
        <v>3.09</v>
      </c>
      <c r="C1071" s="116">
        <v>3.01</v>
      </c>
      <c r="D1071" s="116">
        <v>2.98</v>
      </c>
      <c r="E1071" s="116">
        <v>2.98</v>
      </c>
      <c r="F1071" s="116">
        <v>3.01</v>
      </c>
      <c r="G1071">
        <v>158060</v>
      </c>
      <c r="H1071" s="116"/>
      <c r="I1071" s="116"/>
      <c r="L1071" s="170">
        <v>43580</v>
      </c>
      <c r="M1071" s="116">
        <v>3</v>
      </c>
      <c r="N1071" s="116">
        <v>3.1</v>
      </c>
      <c r="O1071" s="116">
        <v>2.95</v>
      </c>
      <c r="P1071" s="116">
        <v>2.95</v>
      </c>
      <c r="Q1071" s="116">
        <v>3</v>
      </c>
      <c r="R1071">
        <v>759504</v>
      </c>
    </row>
    <row r="1072" spans="1:18" x14ac:dyDescent="0.25">
      <c r="A1072" s="170">
        <v>43581</v>
      </c>
      <c r="B1072" s="116">
        <v>3.04</v>
      </c>
      <c r="C1072" s="116">
        <v>2.99</v>
      </c>
      <c r="D1072" s="116">
        <v>2.95</v>
      </c>
      <c r="E1072" s="116">
        <v>3.04</v>
      </c>
      <c r="F1072" s="116">
        <v>2.99</v>
      </c>
      <c r="G1072">
        <v>28673</v>
      </c>
      <c r="H1072" s="116"/>
      <c r="I1072" s="116"/>
      <c r="L1072" s="170">
        <v>43581</v>
      </c>
      <c r="M1072" s="116">
        <v>3</v>
      </c>
      <c r="N1072" s="116">
        <v>3.05</v>
      </c>
      <c r="O1072" s="116">
        <v>2.95</v>
      </c>
      <c r="P1072" s="116">
        <v>3.05</v>
      </c>
      <c r="Q1072" s="116">
        <v>3</v>
      </c>
      <c r="R1072">
        <v>476330</v>
      </c>
    </row>
    <row r="1073" spans="1:18" x14ac:dyDescent="0.25">
      <c r="A1073" s="170">
        <v>43585</v>
      </c>
      <c r="B1073" s="116">
        <v>2.97</v>
      </c>
      <c r="C1073" s="116">
        <v>2.91</v>
      </c>
      <c r="D1073" s="116">
        <v>2.91</v>
      </c>
      <c r="E1073" s="116">
        <v>2.92</v>
      </c>
      <c r="F1073" s="116">
        <v>2.91</v>
      </c>
      <c r="G1073">
        <v>85631</v>
      </c>
      <c r="H1073" s="116"/>
      <c r="I1073" s="116"/>
      <c r="L1073" s="170">
        <v>43585</v>
      </c>
      <c r="M1073" s="116">
        <v>2.9</v>
      </c>
      <c r="N1073" s="116">
        <v>3</v>
      </c>
      <c r="O1073" s="116">
        <v>2.9</v>
      </c>
      <c r="P1073" s="116">
        <v>2.95</v>
      </c>
      <c r="Q1073" s="116">
        <v>2.9</v>
      </c>
      <c r="R1073">
        <v>704484</v>
      </c>
    </row>
    <row r="1074" spans="1:18" x14ac:dyDescent="0.25">
      <c r="A1074" s="170">
        <v>43587</v>
      </c>
      <c r="B1074" s="116">
        <v>2.95</v>
      </c>
      <c r="C1074" s="116">
        <v>2.9</v>
      </c>
      <c r="D1074" s="116">
        <v>2.88</v>
      </c>
      <c r="E1074" s="116">
        <v>2.92</v>
      </c>
      <c r="F1074" s="116">
        <v>2.9</v>
      </c>
      <c r="G1074">
        <v>90317</v>
      </c>
      <c r="H1074" s="116"/>
      <c r="I1074" s="116"/>
      <c r="L1074" s="170">
        <v>43587</v>
      </c>
      <c r="M1074" s="116">
        <v>2.9</v>
      </c>
      <c r="N1074" s="116">
        <v>2.95</v>
      </c>
      <c r="O1074" s="116">
        <v>2.9</v>
      </c>
      <c r="P1074" s="116">
        <v>2.95</v>
      </c>
      <c r="Q1074" s="116">
        <v>2.9</v>
      </c>
      <c r="R1074">
        <v>392495</v>
      </c>
    </row>
    <row r="1075" spans="1:18" x14ac:dyDescent="0.25">
      <c r="A1075" s="170">
        <v>43588</v>
      </c>
      <c r="B1075" s="116">
        <v>3.15</v>
      </c>
      <c r="C1075" s="116">
        <v>2.98</v>
      </c>
      <c r="D1075" s="116">
        <v>2.95</v>
      </c>
      <c r="E1075" s="116">
        <v>2.95</v>
      </c>
      <c r="F1075" s="116">
        <v>2.98</v>
      </c>
      <c r="G1075">
        <v>160169</v>
      </c>
      <c r="H1075" s="116"/>
      <c r="I1075" s="116"/>
      <c r="L1075" s="170">
        <v>43588</v>
      </c>
      <c r="M1075" s="116">
        <v>2.95</v>
      </c>
      <c r="N1075" s="116">
        <v>3.15</v>
      </c>
      <c r="O1075" s="116">
        <v>2.95</v>
      </c>
      <c r="P1075" s="116">
        <v>2.95</v>
      </c>
      <c r="Q1075" s="116">
        <v>2.95</v>
      </c>
      <c r="R1075">
        <v>1471229</v>
      </c>
    </row>
    <row r="1076" spans="1:18" x14ac:dyDescent="0.25">
      <c r="A1076" s="170">
        <v>43591</v>
      </c>
      <c r="B1076" s="116">
        <v>2.98</v>
      </c>
      <c r="C1076" s="116">
        <v>2.93</v>
      </c>
      <c r="D1076" s="116">
        <v>2.91</v>
      </c>
      <c r="E1076" s="116">
        <v>2.98</v>
      </c>
      <c r="F1076" s="116">
        <v>2.93</v>
      </c>
      <c r="G1076">
        <v>59804</v>
      </c>
      <c r="H1076" s="116"/>
      <c r="I1076" s="116"/>
      <c r="L1076" s="170">
        <v>43591</v>
      </c>
      <c r="M1076" s="116">
        <v>2.9</v>
      </c>
      <c r="N1076" s="116">
        <v>3</v>
      </c>
      <c r="O1076" s="116">
        <v>2.9</v>
      </c>
      <c r="P1076" s="116">
        <v>3</v>
      </c>
      <c r="Q1076" s="116">
        <v>2.9</v>
      </c>
      <c r="R1076">
        <v>557838</v>
      </c>
    </row>
    <row r="1077" spans="1:18" x14ac:dyDescent="0.25">
      <c r="A1077" s="170">
        <v>43592</v>
      </c>
      <c r="B1077" s="116">
        <v>2.99</v>
      </c>
      <c r="C1077" s="116">
        <v>2.94</v>
      </c>
      <c r="D1077" s="116">
        <v>2.91</v>
      </c>
      <c r="E1077" s="116">
        <v>2.93</v>
      </c>
      <c r="F1077" s="116">
        <v>2.94</v>
      </c>
      <c r="G1077">
        <v>50032</v>
      </c>
      <c r="H1077" s="116"/>
      <c r="I1077" s="116"/>
      <c r="L1077" s="170">
        <v>43592</v>
      </c>
      <c r="M1077" s="116">
        <v>2.9</v>
      </c>
      <c r="N1077" s="116">
        <v>3</v>
      </c>
      <c r="O1077" s="116">
        <v>2.9</v>
      </c>
      <c r="P1077" s="116">
        <v>3</v>
      </c>
      <c r="Q1077" s="116">
        <v>2.9</v>
      </c>
      <c r="R1077">
        <v>634419</v>
      </c>
    </row>
    <row r="1078" spans="1:18" x14ac:dyDescent="0.25">
      <c r="A1078" s="170">
        <v>43593</v>
      </c>
      <c r="B1078" s="116">
        <v>2.94</v>
      </c>
      <c r="C1078" s="116">
        <v>2.87</v>
      </c>
      <c r="D1078" s="116">
        <v>2.85</v>
      </c>
      <c r="E1078" s="116">
        <v>2.9</v>
      </c>
      <c r="F1078" s="116">
        <v>2.87</v>
      </c>
      <c r="G1078">
        <v>104530</v>
      </c>
      <c r="H1078" s="116"/>
      <c r="I1078" s="116"/>
      <c r="L1078" s="170">
        <v>43593</v>
      </c>
      <c r="M1078" s="116">
        <v>2.9</v>
      </c>
      <c r="N1078" s="116">
        <v>2.95</v>
      </c>
      <c r="O1078" s="116">
        <v>2.85</v>
      </c>
      <c r="P1078" s="116">
        <v>2.95</v>
      </c>
      <c r="Q1078" s="116">
        <v>2.9</v>
      </c>
      <c r="R1078">
        <v>512635</v>
      </c>
    </row>
    <row r="1079" spans="1:18" x14ac:dyDescent="0.25">
      <c r="A1079" s="170">
        <v>43594</v>
      </c>
      <c r="B1079" s="116">
        <v>2.91</v>
      </c>
      <c r="C1079" s="116">
        <v>2.87</v>
      </c>
      <c r="D1079" s="116">
        <v>2.85</v>
      </c>
      <c r="E1079" s="116">
        <v>2.85</v>
      </c>
      <c r="F1079" s="116">
        <v>2.87</v>
      </c>
      <c r="G1079">
        <v>29551</v>
      </c>
      <c r="H1079" s="116"/>
      <c r="I1079" s="116"/>
      <c r="L1079" s="170">
        <v>43594</v>
      </c>
      <c r="M1079" s="116">
        <v>2.85</v>
      </c>
      <c r="N1079" s="116">
        <v>2.9</v>
      </c>
      <c r="O1079" s="116">
        <v>2.85</v>
      </c>
      <c r="P1079" s="116">
        <v>2.85</v>
      </c>
      <c r="Q1079" s="116">
        <v>2.85</v>
      </c>
      <c r="R1079">
        <v>236678</v>
      </c>
    </row>
    <row r="1080" spans="1:18" x14ac:dyDescent="0.25">
      <c r="A1080" s="170">
        <v>43595</v>
      </c>
      <c r="B1080" s="116">
        <v>2.93</v>
      </c>
      <c r="C1080" s="116">
        <v>2.84</v>
      </c>
      <c r="D1080" s="116">
        <v>2.81</v>
      </c>
      <c r="E1080" s="116">
        <v>2.92</v>
      </c>
      <c r="F1080" s="116">
        <v>2.84</v>
      </c>
      <c r="G1080">
        <v>30803</v>
      </c>
      <c r="H1080" s="116"/>
      <c r="I1080" s="116"/>
      <c r="L1080" s="170">
        <v>43595</v>
      </c>
      <c r="M1080" s="116">
        <v>2.9</v>
      </c>
      <c r="N1080" s="116">
        <v>2.9</v>
      </c>
      <c r="O1080" s="116">
        <v>2.85</v>
      </c>
      <c r="P1080" s="116">
        <v>2.9</v>
      </c>
      <c r="Q1080" s="116">
        <v>2.9</v>
      </c>
      <c r="R1080">
        <v>183903</v>
      </c>
    </row>
    <row r="1081" spans="1:18" x14ac:dyDescent="0.25">
      <c r="A1081" s="170">
        <v>43598</v>
      </c>
      <c r="B1081" s="116">
        <v>2.94</v>
      </c>
      <c r="C1081" s="116">
        <v>2.7</v>
      </c>
      <c r="D1081" s="116">
        <v>2.65</v>
      </c>
      <c r="E1081" s="116">
        <v>2.87</v>
      </c>
      <c r="F1081" s="116">
        <v>2.7</v>
      </c>
      <c r="G1081">
        <v>248319</v>
      </c>
      <c r="H1081" s="116"/>
      <c r="I1081" s="116"/>
      <c r="L1081" s="170">
        <v>43598</v>
      </c>
      <c r="M1081" s="116">
        <v>2.65</v>
      </c>
      <c r="N1081" s="116">
        <v>2.9</v>
      </c>
      <c r="O1081" s="116">
        <v>2.5</v>
      </c>
      <c r="P1081" s="116">
        <v>2.9</v>
      </c>
      <c r="Q1081" s="116">
        <v>2.65</v>
      </c>
      <c r="R1081">
        <v>1399999</v>
      </c>
    </row>
    <row r="1082" spans="1:18" x14ac:dyDescent="0.25">
      <c r="A1082" s="170">
        <v>43599</v>
      </c>
      <c r="B1082" s="116">
        <v>2.8</v>
      </c>
      <c r="C1082" s="116">
        <v>2.71</v>
      </c>
      <c r="D1082" s="116">
        <v>2.5499999999999998</v>
      </c>
      <c r="E1082" s="116">
        <v>2.78</v>
      </c>
      <c r="F1082" s="116">
        <v>2.71</v>
      </c>
      <c r="G1082">
        <v>177398</v>
      </c>
      <c r="H1082" s="116"/>
      <c r="I1082" s="116"/>
      <c r="L1082" s="170">
        <v>43599</v>
      </c>
      <c r="M1082" s="116">
        <v>2.75</v>
      </c>
      <c r="N1082" s="116">
        <v>2.8</v>
      </c>
      <c r="O1082" s="116">
        <v>2.5499999999999998</v>
      </c>
      <c r="P1082" s="116">
        <v>2.7</v>
      </c>
      <c r="Q1082" s="116">
        <v>2.75</v>
      </c>
      <c r="R1082">
        <v>1057821</v>
      </c>
    </row>
    <row r="1083" spans="1:18" x14ac:dyDescent="0.25">
      <c r="A1083" s="170">
        <v>43600</v>
      </c>
      <c r="B1083" s="116">
        <v>2.79</v>
      </c>
      <c r="C1083" s="116">
        <v>2.71</v>
      </c>
      <c r="D1083" s="116">
        <v>2.7</v>
      </c>
      <c r="E1083" s="116">
        <v>2.79</v>
      </c>
      <c r="F1083" s="116">
        <v>2.71</v>
      </c>
      <c r="G1083">
        <v>99495</v>
      </c>
      <c r="H1083" s="116"/>
      <c r="I1083" s="116"/>
      <c r="L1083" s="170">
        <v>43600</v>
      </c>
      <c r="M1083" s="116">
        <v>2.7</v>
      </c>
      <c r="N1083" s="116">
        <v>2.8</v>
      </c>
      <c r="O1083" s="116">
        <v>2.65</v>
      </c>
      <c r="P1083" s="116">
        <v>2.7</v>
      </c>
      <c r="Q1083" s="116">
        <v>2.7</v>
      </c>
      <c r="R1083">
        <v>313672</v>
      </c>
    </row>
    <row r="1084" spans="1:18" x14ac:dyDescent="0.25">
      <c r="A1084" s="170">
        <v>43601</v>
      </c>
      <c r="B1084" s="116">
        <v>2.74</v>
      </c>
      <c r="C1084" s="116">
        <v>2.67</v>
      </c>
      <c r="D1084" s="116">
        <v>2.63</v>
      </c>
      <c r="E1084" s="116">
        <v>2.72</v>
      </c>
      <c r="F1084" s="116">
        <v>2.67</v>
      </c>
      <c r="G1084">
        <v>41555</v>
      </c>
      <c r="H1084" s="116"/>
      <c r="I1084" s="116"/>
      <c r="L1084" s="170">
        <v>43601</v>
      </c>
      <c r="M1084" s="116">
        <v>2.65</v>
      </c>
      <c r="N1084" s="116">
        <v>2.75</v>
      </c>
      <c r="O1084" s="116">
        <v>2.6</v>
      </c>
      <c r="P1084" s="116">
        <v>2.65</v>
      </c>
      <c r="Q1084" s="116">
        <v>2.65</v>
      </c>
      <c r="R1084">
        <v>316938</v>
      </c>
    </row>
    <row r="1085" spans="1:18" x14ac:dyDescent="0.25">
      <c r="A1085" s="170">
        <v>43602</v>
      </c>
      <c r="B1085" s="116">
        <v>2.75</v>
      </c>
      <c r="C1085" s="116">
        <v>2.64</v>
      </c>
      <c r="D1085" s="116">
        <v>2.62</v>
      </c>
      <c r="E1085" s="116">
        <v>2.62</v>
      </c>
      <c r="F1085" s="116">
        <v>2.64</v>
      </c>
      <c r="G1085">
        <v>159922</v>
      </c>
      <c r="H1085" s="116"/>
      <c r="I1085" s="116"/>
      <c r="L1085" s="170">
        <v>43602</v>
      </c>
      <c r="M1085" s="116">
        <v>2.65</v>
      </c>
      <c r="N1085" s="116">
        <v>2.75</v>
      </c>
      <c r="O1085" s="116">
        <v>2.65</v>
      </c>
      <c r="P1085" s="116">
        <v>2.7</v>
      </c>
      <c r="Q1085" s="116">
        <v>2.65</v>
      </c>
      <c r="R1085">
        <v>358911</v>
      </c>
    </row>
    <row r="1086" spans="1:18" x14ac:dyDescent="0.25">
      <c r="A1086" s="170">
        <v>43605</v>
      </c>
      <c r="B1086" s="116">
        <v>2.8</v>
      </c>
      <c r="C1086" s="116">
        <v>2.63</v>
      </c>
      <c r="D1086" s="116">
        <v>2.58</v>
      </c>
      <c r="E1086" s="116">
        <v>2.8</v>
      </c>
      <c r="F1086" s="116">
        <v>2.63</v>
      </c>
      <c r="G1086">
        <v>446304</v>
      </c>
      <c r="H1086" s="116"/>
      <c r="I1086" s="116"/>
      <c r="L1086" s="170">
        <v>43605</v>
      </c>
      <c r="M1086" s="116">
        <v>2.65</v>
      </c>
      <c r="N1086" s="116">
        <v>2.85</v>
      </c>
      <c r="O1086" s="116">
        <v>2.6</v>
      </c>
      <c r="P1086" s="116">
        <v>2.85</v>
      </c>
      <c r="Q1086" s="116">
        <v>2.65</v>
      </c>
      <c r="R1086">
        <v>804978</v>
      </c>
    </row>
    <row r="1087" spans="1:18" x14ac:dyDescent="0.25">
      <c r="A1087" s="170">
        <v>43606</v>
      </c>
      <c r="B1087" s="116">
        <v>2.73</v>
      </c>
      <c r="C1087" s="116">
        <v>2.69</v>
      </c>
      <c r="D1087" s="116">
        <v>2.64</v>
      </c>
      <c r="E1087" s="116">
        <v>2.67</v>
      </c>
      <c r="F1087" s="116">
        <v>2.69</v>
      </c>
      <c r="G1087">
        <v>239326</v>
      </c>
      <c r="H1087" s="116"/>
      <c r="I1087" s="116"/>
      <c r="L1087" s="170">
        <v>43606</v>
      </c>
      <c r="M1087" s="116">
        <v>2.7</v>
      </c>
      <c r="N1087" s="116">
        <v>2.75</v>
      </c>
      <c r="O1087" s="116">
        <v>2.6</v>
      </c>
      <c r="P1087" s="116">
        <v>2.7</v>
      </c>
      <c r="Q1087" s="116">
        <v>2.7</v>
      </c>
      <c r="R1087">
        <v>552296</v>
      </c>
    </row>
    <row r="1088" spans="1:18" x14ac:dyDescent="0.25">
      <c r="A1088" s="170">
        <v>43607</v>
      </c>
      <c r="B1088" s="116">
        <v>2.72</v>
      </c>
      <c r="C1088" s="116">
        <v>2.62</v>
      </c>
      <c r="D1088" s="116">
        <v>2.6</v>
      </c>
      <c r="E1088" s="116">
        <v>2.67</v>
      </c>
      <c r="F1088" s="116">
        <v>2.62</v>
      </c>
      <c r="G1088">
        <v>137713</v>
      </c>
      <c r="H1088" s="116"/>
      <c r="I1088" s="116"/>
      <c r="L1088" s="170">
        <v>43607</v>
      </c>
      <c r="M1088" s="116">
        <v>2.65</v>
      </c>
      <c r="N1088" s="116">
        <v>2.7</v>
      </c>
      <c r="O1088" s="116">
        <v>2.6</v>
      </c>
      <c r="P1088" s="116">
        <v>2.65</v>
      </c>
      <c r="Q1088" s="116">
        <v>2.65</v>
      </c>
      <c r="R1088">
        <v>350937</v>
      </c>
    </row>
    <row r="1089" spans="1:18" x14ac:dyDescent="0.25">
      <c r="A1089" s="170">
        <v>43608</v>
      </c>
      <c r="B1089" s="116">
        <v>2.78</v>
      </c>
      <c r="C1089" s="116">
        <v>2.62</v>
      </c>
      <c r="D1089" s="116">
        <v>2.6</v>
      </c>
      <c r="E1089" s="116">
        <v>2.64</v>
      </c>
      <c r="F1089" s="116">
        <v>2.62</v>
      </c>
      <c r="G1089">
        <v>179000</v>
      </c>
      <c r="H1089" s="116"/>
      <c r="I1089" s="116"/>
      <c r="L1089" s="170">
        <v>43608</v>
      </c>
      <c r="M1089" s="116">
        <v>2.6</v>
      </c>
      <c r="N1089" s="116">
        <v>2.75</v>
      </c>
      <c r="O1089" s="116">
        <v>2.6</v>
      </c>
      <c r="P1089" s="116">
        <v>2.7</v>
      </c>
      <c r="Q1089" s="116">
        <v>2.6</v>
      </c>
      <c r="R1089">
        <v>662610</v>
      </c>
    </row>
    <row r="1090" spans="1:18" x14ac:dyDescent="0.25">
      <c r="A1090" s="170">
        <v>43609</v>
      </c>
      <c r="B1090" s="116">
        <v>2.67</v>
      </c>
      <c r="C1090" s="116">
        <v>2.64</v>
      </c>
      <c r="D1090" s="116">
        <v>2.58</v>
      </c>
      <c r="E1090" s="116">
        <v>2.62</v>
      </c>
      <c r="F1090" s="116">
        <v>2.64</v>
      </c>
      <c r="G1090">
        <v>144164</v>
      </c>
      <c r="H1090" s="116"/>
      <c r="I1090" s="116"/>
      <c r="L1090" s="170">
        <v>43609</v>
      </c>
      <c r="M1090" s="116">
        <v>2.65</v>
      </c>
      <c r="N1090" s="116">
        <v>2.7</v>
      </c>
      <c r="O1090" s="116">
        <v>2.6</v>
      </c>
      <c r="P1090" s="116">
        <v>2.6</v>
      </c>
      <c r="Q1090" s="116">
        <v>2.65</v>
      </c>
      <c r="R1090">
        <v>668063</v>
      </c>
    </row>
    <row r="1091" spans="1:18" x14ac:dyDescent="0.25">
      <c r="A1091" s="170">
        <v>43612</v>
      </c>
      <c r="B1091" s="116">
        <v>2.7</v>
      </c>
      <c r="C1091" s="116">
        <v>2.68</v>
      </c>
      <c r="D1091" s="116">
        <v>2.62</v>
      </c>
      <c r="E1091" s="116">
        <v>2.65</v>
      </c>
      <c r="F1091" s="116">
        <v>2.68</v>
      </c>
      <c r="G1091">
        <v>203540</v>
      </c>
      <c r="H1091" s="116"/>
      <c r="I1091" s="116"/>
      <c r="L1091" s="170">
        <v>43612</v>
      </c>
      <c r="M1091" s="116">
        <v>2.65</v>
      </c>
      <c r="N1091" s="116">
        <v>2.7</v>
      </c>
      <c r="O1091" s="116">
        <v>2.6</v>
      </c>
      <c r="P1091" s="116">
        <v>2.7</v>
      </c>
      <c r="Q1091" s="116">
        <v>2.65</v>
      </c>
      <c r="R1091">
        <v>273242</v>
      </c>
    </row>
    <row r="1092" spans="1:18" x14ac:dyDescent="0.25">
      <c r="A1092" s="170">
        <v>43613</v>
      </c>
      <c r="B1092" s="116">
        <v>3</v>
      </c>
      <c r="C1092" s="116">
        <v>2.97</v>
      </c>
      <c r="D1092" s="116">
        <v>2.7</v>
      </c>
      <c r="E1092" s="116">
        <v>2.72</v>
      </c>
      <c r="F1092" s="116">
        <v>2.97</v>
      </c>
      <c r="G1092">
        <v>339011</v>
      </c>
      <c r="H1092" s="116"/>
      <c r="I1092" s="116"/>
      <c r="L1092" s="170">
        <v>43613</v>
      </c>
      <c r="M1092" s="116">
        <v>2.95</v>
      </c>
      <c r="N1092" s="116">
        <v>3</v>
      </c>
      <c r="O1092" s="116">
        <v>2.65</v>
      </c>
      <c r="P1092" s="116">
        <v>2.7</v>
      </c>
      <c r="Q1092" s="116">
        <v>2.95</v>
      </c>
      <c r="R1092">
        <v>1699951</v>
      </c>
    </row>
    <row r="1093" spans="1:18" x14ac:dyDescent="0.25">
      <c r="A1093" s="170">
        <v>43614</v>
      </c>
      <c r="B1093" s="116">
        <v>3.2</v>
      </c>
      <c r="C1093" s="116">
        <v>3.17</v>
      </c>
      <c r="D1093" s="116">
        <v>2.97</v>
      </c>
      <c r="E1093" s="116">
        <v>3.09</v>
      </c>
      <c r="F1093" s="116">
        <v>3.17</v>
      </c>
      <c r="G1093">
        <v>542573</v>
      </c>
      <c r="H1093" s="116"/>
      <c r="I1093" s="116"/>
      <c r="L1093" s="170">
        <v>43614</v>
      </c>
      <c r="M1093" s="116">
        <v>3.15</v>
      </c>
      <c r="N1093" s="116">
        <v>3.2</v>
      </c>
      <c r="O1093" s="116">
        <v>2.95</v>
      </c>
      <c r="P1093" s="116">
        <v>3.05</v>
      </c>
      <c r="Q1093" s="116">
        <v>3.15</v>
      </c>
      <c r="R1093">
        <v>2312242</v>
      </c>
    </row>
    <row r="1094" spans="1:18" x14ac:dyDescent="0.25">
      <c r="A1094" s="170">
        <v>43615</v>
      </c>
      <c r="B1094" s="116">
        <v>3.8</v>
      </c>
      <c r="C1094" s="116">
        <v>3.79</v>
      </c>
      <c r="D1094" s="116">
        <v>3.25</v>
      </c>
      <c r="E1094" s="116">
        <v>3.6</v>
      </c>
      <c r="F1094" s="116">
        <v>3.79</v>
      </c>
      <c r="G1094">
        <v>1543527</v>
      </c>
      <c r="H1094" s="116"/>
      <c r="I1094" s="116"/>
      <c r="L1094" s="170">
        <v>43615</v>
      </c>
      <c r="M1094" s="116">
        <v>3.75</v>
      </c>
      <c r="N1094" s="116">
        <v>3.75</v>
      </c>
      <c r="O1094" s="116">
        <v>3.45</v>
      </c>
      <c r="P1094" s="116">
        <v>3.55</v>
      </c>
      <c r="Q1094" s="116">
        <v>3.75</v>
      </c>
      <c r="R1094">
        <v>8209796</v>
      </c>
    </row>
    <row r="1095" spans="1:18" x14ac:dyDescent="0.25">
      <c r="A1095" s="170">
        <v>43616</v>
      </c>
      <c r="B1095" s="116">
        <v>4.16</v>
      </c>
      <c r="C1095" s="116">
        <v>4.16</v>
      </c>
      <c r="D1095" s="116">
        <v>3.99</v>
      </c>
      <c r="E1095" s="116">
        <v>4</v>
      </c>
      <c r="F1095" s="116">
        <v>4.16</v>
      </c>
      <c r="G1095">
        <v>2692503</v>
      </c>
      <c r="H1095" s="116"/>
      <c r="I1095" s="116"/>
      <c r="L1095" s="170">
        <v>43616</v>
      </c>
      <c r="M1095" s="116">
        <v>4.0999999999999996</v>
      </c>
      <c r="N1095" s="116">
        <v>4.0999999999999996</v>
      </c>
      <c r="O1095" s="116">
        <v>3.95</v>
      </c>
      <c r="P1095" s="116">
        <v>4</v>
      </c>
      <c r="Q1095" s="116">
        <v>4.0999999999999996</v>
      </c>
      <c r="R1095">
        <v>2934180</v>
      </c>
    </row>
    <row r="1096" spans="1:18" x14ac:dyDescent="0.25">
      <c r="A1096" s="170">
        <v>43619</v>
      </c>
      <c r="B1096" s="116">
        <v>4.57</v>
      </c>
      <c r="C1096" s="116">
        <v>4.57</v>
      </c>
      <c r="D1096" s="116">
        <v>4.3</v>
      </c>
      <c r="E1096" s="116">
        <v>4.5</v>
      </c>
      <c r="F1096" s="116">
        <v>4.57</v>
      </c>
      <c r="G1096">
        <v>1602663</v>
      </c>
      <c r="H1096" s="116"/>
      <c r="I1096" s="116"/>
      <c r="L1096" s="170">
        <v>43619</v>
      </c>
      <c r="M1096" s="116">
        <v>4.5</v>
      </c>
      <c r="N1096" s="116">
        <v>4.5</v>
      </c>
      <c r="O1096" s="116">
        <v>4.3499999999999996</v>
      </c>
      <c r="P1096" s="116">
        <v>4.5</v>
      </c>
      <c r="Q1096" s="116">
        <v>4.5</v>
      </c>
      <c r="R1096">
        <v>1396299</v>
      </c>
    </row>
    <row r="1097" spans="1:18" x14ac:dyDescent="0.25">
      <c r="A1097" s="170">
        <v>43620</v>
      </c>
      <c r="B1097" s="116">
        <v>5.0199999999999996</v>
      </c>
      <c r="C1097" s="116">
        <v>5.0199999999999996</v>
      </c>
      <c r="D1097" s="116">
        <v>4.9400000000000004</v>
      </c>
      <c r="E1097" s="116">
        <v>4.99</v>
      </c>
      <c r="F1097" s="116">
        <v>5.0199999999999996</v>
      </c>
      <c r="G1097">
        <v>2620205</v>
      </c>
      <c r="H1097" s="116"/>
      <c r="I1097" s="116"/>
      <c r="L1097" s="170">
        <v>43620</v>
      </c>
      <c r="M1097" s="116">
        <v>4.95</v>
      </c>
      <c r="N1097" s="116">
        <v>4.95</v>
      </c>
      <c r="O1097" s="116">
        <v>4.95</v>
      </c>
      <c r="P1097" s="116">
        <v>4.95</v>
      </c>
      <c r="Q1097" s="116">
        <v>4.95</v>
      </c>
      <c r="R1097">
        <v>1746038</v>
      </c>
    </row>
    <row r="1098" spans="1:18" x14ac:dyDescent="0.25">
      <c r="A1098" s="170">
        <v>43622</v>
      </c>
      <c r="B1098" s="116">
        <v>5.27</v>
      </c>
      <c r="C1098" s="116">
        <v>5.27</v>
      </c>
      <c r="D1098" s="116">
        <v>5.04</v>
      </c>
      <c r="E1098" s="116">
        <v>5.27</v>
      </c>
      <c r="F1098" s="116">
        <v>5.27</v>
      </c>
      <c r="G1098">
        <v>4545296</v>
      </c>
      <c r="H1098" s="116"/>
      <c r="I1098" s="116"/>
      <c r="L1098" s="170">
        <v>43622</v>
      </c>
      <c r="M1098" s="116">
        <v>5.15</v>
      </c>
      <c r="N1098" s="116">
        <v>5.15</v>
      </c>
      <c r="O1098" s="116">
        <v>5.15</v>
      </c>
      <c r="P1098" s="116">
        <v>5.15</v>
      </c>
      <c r="Q1098" s="116">
        <v>5.15</v>
      </c>
      <c r="R1098">
        <v>1043172</v>
      </c>
    </row>
    <row r="1099" spans="1:18" x14ac:dyDescent="0.25">
      <c r="A1099" s="170">
        <v>43623</v>
      </c>
      <c r="B1099" s="116">
        <v>5.0199999999999996</v>
      </c>
      <c r="C1099" s="116">
        <v>5.01</v>
      </c>
      <c r="D1099" s="116">
        <v>5.01</v>
      </c>
      <c r="E1099" s="116">
        <v>5.0199999999999996</v>
      </c>
      <c r="F1099" s="116">
        <v>5.01</v>
      </c>
      <c r="G1099">
        <v>429682</v>
      </c>
      <c r="H1099" s="116"/>
      <c r="I1099" s="116"/>
      <c r="L1099" s="170">
        <v>43623</v>
      </c>
      <c r="M1099" s="116">
        <v>4.9000000000000004</v>
      </c>
      <c r="N1099" s="116">
        <v>5.0999999999999996</v>
      </c>
      <c r="O1099" s="116">
        <v>4.9000000000000004</v>
      </c>
      <c r="P1099" s="116">
        <v>5</v>
      </c>
      <c r="Q1099" s="116">
        <v>4.9000000000000004</v>
      </c>
      <c r="R1099">
        <v>1333358</v>
      </c>
    </row>
    <row r="1100" spans="1:18" x14ac:dyDescent="0.25">
      <c r="A1100" s="170">
        <v>43626</v>
      </c>
      <c r="B1100" s="116">
        <v>4.76</v>
      </c>
      <c r="C1100" s="116">
        <v>4.76</v>
      </c>
      <c r="D1100" s="116">
        <v>4.76</v>
      </c>
      <c r="E1100" s="116">
        <v>4.76</v>
      </c>
      <c r="F1100" s="116">
        <v>4.76</v>
      </c>
      <c r="G1100">
        <v>6513</v>
      </c>
      <c r="H1100" s="116"/>
      <c r="I1100" s="116"/>
      <c r="L1100" s="170">
        <v>43626</v>
      </c>
      <c r="M1100" s="116">
        <v>4.7</v>
      </c>
      <c r="N1100" s="116">
        <v>4.7</v>
      </c>
      <c r="O1100" s="116">
        <v>4.7</v>
      </c>
      <c r="P1100" s="116">
        <v>4.7</v>
      </c>
      <c r="Q1100" s="116">
        <v>4.7</v>
      </c>
      <c r="R1100">
        <v>191703</v>
      </c>
    </row>
    <row r="1101" spans="1:18" x14ac:dyDescent="0.25">
      <c r="A1101" s="170">
        <v>43627</v>
      </c>
      <c r="B1101" s="116">
        <v>4.53</v>
      </c>
      <c r="C1101" s="116">
        <v>4.53</v>
      </c>
      <c r="D1101" s="116">
        <v>4.53</v>
      </c>
      <c r="E1101" s="116">
        <v>4.53</v>
      </c>
      <c r="F1101" s="116">
        <v>4.53</v>
      </c>
      <c r="G1101">
        <v>11269</v>
      </c>
      <c r="H1101" s="116"/>
      <c r="I1101" s="116"/>
      <c r="L1101" s="170">
        <v>43627</v>
      </c>
      <c r="M1101" s="116">
        <v>4.5</v>
      </c>
      <c r="N1101" s="116">
        <v>4.5</v>
      </c>
      <c r="O1101" s="116">
        <v>4.5</v>
      </c>
      <c r="P1101" s="116">
        <v>4.5</v>
      </c>
      <c r="Q1101" s="116">
        <v>4.5</v>
      </c>
      <c r="R1101">
        <v>80980</v>
      </c>
    </row>
    <row r="1102" spans="1:18" x14ac:dyDescent="0.25">
      <c r="A1102" s="170">
        <v>43628</v>
      </c>
      <c r="B1102" s="116">
        <v>4.3099999999999996</v>
      </c>
      <c r="C1102" s="116">
        <v>4.3099999999999996</v>
      </c>
      <c r="D1102" s="116">
        <v>4.3099999999999996</v>
      </c>
      <c r="E1102" s="116">
        <v>4.3099999999999996</v>
      </c>
      <c r="F1102" s="116">
        <v>4.3099999999999996</v>
      </c>
      <c r="G1102">
        <v>10615</v>
      </c>
      <c r="H1102" s="116"/>
      <c r="I1102" s="116"/>
      <c r="L1102" s="170">
        <v>43628</v>
      </c>
      <c r="M1102" s="116">
        <v>4.3</v>
      </c>
      <c r="N1102" s="116">
        <v>4.3</v>
      </c>
      <c r="O1102" s="116">
        <v>4.3</v>
      </c>
      <c r="P1102" s="116">
        <v>4.3</v>
      </c>
      <c r="Q1102" s="116">
        <v>4.3</v>
      </c>
      <c r="R1102">
        <v>68368</v>
      </c>
    </row>
    <row r="1103" spans="1:18" x14ac:dyDescent="0.25">
      <c r="A1103" s="170">
        <v>43629</v>
      </c>
      <c r="B1103" s="116">
        <v>4.0999999999999996</v>
      </c>
      <c r="C1103" s="116">
        <v>4.0999999999999996</v>
      </c>
      <c r="D1103" s="116">
        <v>4.0999999999999996</v>
      </c>
      <c r="E1103" s="116">
        <v>4.0999999999999996</v>
      </c>
      <c r="F1103" s="116">
        <v>4.0999999999999996</v>
      </c>
      <c r="G1103">
        <v>30017</v>
      </c>
      <c r="H1103" s="116"/>
      <c r="I1103" s="116"/>
      <c r="L1103" s="170">
        <v>43629</v>
      </c>
      <c r="M1103" s="116">
        <v>4.0999999999999996</v>
      </c>
      <c r="N1103" s="116">
        <v>4.0999999999999996</v>
      </c>
      <c r="O1103" s="116">
        <v>4.0999999999999996</v>
      </c>
      <c r="P1103" s="116">
        <v>4.0999999999999996</v>
      </c>
      <c r="Q1103" s="116">
        <v>4.0999999999999996</v>
      </c>
      <c r="R1103">
        <v>73236</v>
      </c>
    </row>
    <row r="1104" spans="1:18" x14ac:dyDescent="0.25">
      <c r="A1104" s="170">
        <v>43630</v>
      </c>
      <c r="B1104" s="116">
        <v>3.9</v>
      </c>
      <c r="C1104" s="116">
        <v>3.9</v>
      </c>
      <c r="D1104" s="116">
        <v>3.9</v>
      </c>
      <c r="E1104" s="116">
        <v>3.9</v>
      </c>
      <c r="F1104" s="116">
        <v>3.9</v>
      </c>
      <c r="G1104">
        <v>191767</v>
      </c>
      <c r="H1104" s="116"/>
      <c r="I1104" s="116"/>
      <c r="L1104" s="170">
        <v>43630</v>
      </c>
      <c r="M1104" s="116">
        <v>3.9</v>
      </c>
      <c r="N1104" s="116">
        <v>3.9</v>
      </c>
      <c r="O1104" s="116">
        <v>3.9</v>
      </c>
      <c r="P1104" s="116">
        <v>3.9</v>
      </c>
      <c r="Q1104" s="116">
        <v>3.9</v>
      </c>
      <c r="R1104">
        <v>648540</v>
      </c>
    </row>
    <row r="1105" spans="1:18" x14ac:dyDescent="0.25">
      <c r="A1105" s="170">
        <v>43633</v>
      </c>
      <c r="B1105" s="116">
        <v>3.75</v>
      </c>
      <c r="C1105" s="116">
        <v>3.71</v>
      </c>
      <c r="D1105" s="116">
        <v>3.71</v>
      </c>
      <c r="E1105" s="116">
        <v>3.73</v>
      </c>
      <c r="F1105" s="116">
        <v>3.71</v>
      </c>
      <c r="G1105">
        <v>283034</v>
      </c>
      <c r="H1105" s="116"/>
      <c r="I1105" s="116"/>
      <c r="L1105" s="170">
        <v>43633</v>
      </c>
      <c r="M1105" s="116">
        <v>3.75</v>
      </c>
      <c r="N1105" s="116">
        <v>3.8</v>
      </c>
      <c r="O1105" s="116">
        <v>3.75</v>
      </c>
      <c r="P1105" s="116">
        <v>3.75</v>
      </c>
      <c r="Q1105" s="116">
        <v>3.75</v>
      </c>
      <c r="R1105">
        <v>346884</v>
      </c>
    </row>
    <row r="1106" spans="1:18" x14ac:dyDescent="0.25">
      <c r="A1106" s="170">
        <v>43634</v>
      </c>
      <c r="B1106" s="116">
        <v>3.8</v>
      </c>
      <c r="C1106" s="116">
        <v>3.53</v>
      </c>
      <c r="D1106" s="116">
        <v>3.53</v>
      </c>
      <c r="E1106" s="116">
        <v>3.55</v>
      </c>
      <c r="F1106" s="116">
        <v>3.53</v>
      </c>
      <c r="G1106">
        <v>278687</v>
      </c>
      <c r="H1106" s="116"/>
      <c r="I1106" s="116"/>
      <c r="L1106" s="170">
        <v>43634</v>
      </c>
      <c r="M1106" s="116">
        <v>3.6</v>
      </c>
      <c r="N1106" s="116">
        <v>3.6</v>
      </c>
      <c r="O1106" s="116">
        <v>3.6</v>
      </c>
      <c r="P1106" s="116">
        <v>3.6</v>
      </c>
      <c r="Q1106" s="116">
        <v>3.6</v>
      </c>
      <c r="R1106">
        <v>165685</v>
      </c>
    </row>
    <row r="1107" spans="1:18" x14ac:dyDescent="0.25">
      <c r="A1107" s="170">
        <v>43635</v>
      </c>
      <c r="B1107" s="116">
        <v>3.7</v>
      </c>
      <c r="C1107" s="116">
        <v>3.38</v>
      </c>
      <c r="D1107" s="116">
        <v>3.36</v>
      </c>
      <c r="E1107" s="116">
        <v>3.41</v>
      </c>
      <c r="F1107" s="116">
        <v>3.38</v>
      </c>
      <c r="G1107">
        <v>874335</v>
      </c>
      <c r="H1107" s="116"/>
      <c r="I1107" s="116"/>
      <c r="L1107" s="170">
        <v>43635</v>
      </c>
      <c r="M1107" s="116">
        <v>3.45</v>
      </c>
      <c r="N1107" s="116">
        <v>3.75</v>
      </c>
      <c r="O1107" s="116">
        <v>3.45</v>
      </c>
      <c r="P1107" s="116">
        <v>3.5</v>
      </c>
      <c r="Q1107" s="116">
        <v>3.45</v>
      </c>
      <c r="R1107">
        <v>2635175</v>
      </c>
    </row>
    <row r="1108" spans="1:18" x14ac:dyDescent="0.25">
      <c r="A1108" s="170">
        <v>43636</v>
      </c>
      <c r="B1108" s="116">
        <v>3.54</v>
      </c>
      <c r="C1108" s="116">
        <v>3.52</v>
      </c>
      <c r="D1108" s="116">
        <v>3.22</v>
      </c>
      <c r="E1108" s="116">
        <v>3.3</v>
      </c>
      <c r="F1108" s="116">
        <v>3.52</v>
      </c>
      <c r="G1108">
        <v>613728</v>
      </c>
      <c r="H1108" s="116"/>
      <c r="I1108" s="116"/>
      <c r="L1108" s="170">
        <v>43636</v>
      </c>
      <c r="M1108" s="116">
        <v>3.55</v>
      </c>
      <c r="N1108" s="116">
        <v>3.6</v>
      </c>
      <c r="O1108" s="116">
        <v>3.3</v>
      </c>
      <c r="P1108" s="116">
        <v>3.4</v>
      </c>
      <c r="Q1108" s="116">
        <v>3.55</v>
      </c>
      <c r="R1108">
        <v>1903445</v>
      </c>
    </row>
    <row r="1109" spans="1:18" x14ac:dyDescent="0.25">
      <c r="A1109" s="170">
        <v>43637</v>
      </c>
      <c r="B1109" s="116">
        <v>3.67</v>
      </c>
      <c r="C1109" s="116">
        <v>3.47</v>
      </c>
      <c r="D1109" s="116">
        <v>3.35</v>
      </c>
      <c r="E1109" s="116">
        <v>3.67</v>
      </c>
      <c r="F1109" s="116">
        <v>3.47</v>
      </c>
      <c r="G1109">
        <v>301933</v>
      </c>
      <c r="H1109" s="116"/>
      <c r="I1109" s="116"/>
      <c r="L1109" s="170">
        <v>43637</v>
      </c>
      <c r="M1109" s="116">
        <v>3.45</v>
      </c>
      <c r="N1109" s="116">
        <v>3.65</v>
      </c>
      <c r="O1109" s="116">
        <v>3.4</v>
      </c>
      <c r="P1109" s="116">
        <v>3.55</v>
      </c>
      <c r="Q1109" s="116">
        <v>3.45</v>
      </c>
      <c r="R1109">
        <v>1225400</v>
      </c>
    </row>
    <row r="1110" spans="1:18" x14ac:dyDescent="0.25">
      <c r="A1110" s="170">
        <v>43640</v>
      </c>
      <c r="B1110" s="116">
        <v>3.64</v>
      </c>
      <c r="C1110" s="116">
        <v>3.63</v>
      </c>
      <c r="D1110" s="116">
        <v>3.37</v>
      </c>
      <c r="E1110" s="116">
        <v>3.63</v>
      </c>
      <c r="F1110" s="116">
        <v>3.63</v>
      </c>
      <c r="G1110">
        <v>1166447</v>
      </c>
      <c r="H1110" s="116"/>
      <c r="I1110" s="116"/>
      <c r="L1110" s="170">
        <v>43640</v>
      </c>
      <c r="M1110" s="116">
        <v>3.6</v>
      </c>
      <c r="N1110" s="116">
        <v>3.6</v>
      </c>
      <c r="O1110" s="116">
        <v>3.4</v>
      </c>
      <c r="P1110" s="116">
        <v>3.6</v>
      </c>
      <c r="Q1110" s="116">
        <v>3.6</v>
      </c>
      <c r="R1110">
        <v>2637375</v>
      </c>
    </row>
    <row r="1111" spans="1:18" x14ac:dyDescent="0.25">
      <c r="A1111" s="170">
        <v>43641</v>
      </c>
      <c r="B1111" s="116">
        <v>3.64</v>
      </c>
      <c r="C1111" s="116">
        <v>3.49</v>
      </c>
      <c r="D1111" s="116">
        <v>3.45</v>
      </c>
      <c r="E1111" s="116">
        <v>3.63</v>
      </c>
      <c r="F1111" s="116">
        <v>3.49</v>
      </c>
      <c r="G1111">
        <v>234920</v>
      </c>
      <c r="H1111" s="116"/>
      <c r="I1111" s="116"/>
      <c r="L1111" s="170">
        <v>43641</v>
      </c>
      <c r="M1111" s="116">
        <v>3.45</v>
      </c>
      <c r="N1111" s="116">
        <v>3.65</v>
      </c>
      <c r="O1111" s="116">
        <v>3.45</v>
      </c>
      <c r="P1111" s="116">
        <v>3.6</v>
      </c>
      <c r="Q1111" s="116">
        <v>3.45</v>
      </c>
      <c r="R1111">
        <v>620796</v>
      </c>
    </row>
    <row r="1112" spans="1:18" x14ac:dyDescent="0.25">
      <c r="A1112" s="170">
        <v>43642</v>
      </c>
      <c r="B1112" s="116">
        <v>3.55</v>
      </c>
      <c r="C1112" s="116">
        <v>3.52</v>
      </c>
      <c r="D1112" s="116">
        <v>3.4</v>
      </c>
      <c r="E1112" s="116">
        <v>3.55</v>
      </c>
      <c r="F1112" s="116">
        <v>3.52</v>
      </c>
      <c r="G1112">
        <v>129034</v>
      </c>
      <c r="H1112" s="116"/>
      <c r="I1112" s="116"/>
      <c r="L1112" s="170">
        <v>43642</v>
      </c>
      <c r="M1112" s="116">
        <v>3.55</v>
      </c>
      <c r="N1112" s="116">
        <v>3.6</v>
      </c>
      <c r="O1112" s="116">
        <v>3.4</v>
      </c>
      <c r="P1112" s="116">
        <v>3.45</v>
      </c>
      <c r="Q1112" s="116">
        <v>3.55</v>
      </c>
      <c r="R1112">
        <v>430453</v>
      </c>
    </row>
    <row r="1113" spans="1:18" x14ac:dyDescent="0.25">
      <c r="A1113" s="170">
        <v>43643</v>
      </c>
      <c r="B1113" s="116">
        <v>3.69</v>
      </c>
      <c r="C1113" s="116">
        <v>3.69</v>
      </c>
      <c r="D1113" s="116">
        <v>3.5</v>
      </c>
      <c r="E1113" s="116">
        <v>3.55</v>
      </c>
      <c r="F1113" s="116">
        <v>3.69</v>
      </c>
      <c r="G1113">
        <v>211363</v>
      </c>
      <c r="H1113" s="116"/>
      <c r="I1113" s="116"/>
      <c r="L1113" s="170">
        <v>43643</v>
      </c>
      <c r="M1113" s="116">
        <v>3.7</v>
      </c>
      <c r="N1113" s="116">
        <v>3.7</v>
      </c>
      <c r="O1113" s="116">
        <v>3.5</v>
      </c>
      <c r="P1113" s="116">
        <v>3.6</v>
      </c>
      <c r="Q1113" s="116">
        <v>3.7</v>
      </c>
      <c r="R1113">
        <v>834845</v>
      </c>
    </row>
    <row r="1114" spans="1:18" x14ac:dyDescent="0.25">
      <c r="A1114" s="170">
        <v>43644</v>
      </c>
      <c r="B1114" s="116">
        <v>3.87</v>
      </c>
      <c r="C1114" s="116">
        <v>3.69</v>
      </c>
      <c r="D1114" s="116">
        <v>3.55</v>
      </c>
      <c r="E1114" s="116">
        <v>3.55</v>
      </c>
      <c r="F1114" s="116">
        <v>3.69</v>
      </c>
      <c r="G1114">
        <v>231585</v>
      </c>
      <c r="H1114" s="116"/>
      <c r="I1114" s="116"/>
      <c r="L1114" s="170">
        <v>43644</v>
      </c>
      <c r="M1114" s="116">
        <v>3.7</v>
      </c>
      <c r="N1114" s="116">
        <v>3.85</v>
      </c>
      <c r="O1114" s="116">
        <v>3.65</v>
      </c>
      <c r="P1114" s="116">
        <v>3.85</v>
      </c>
      <c r="Q1114" s="116">
        <v>3.7</v>
      </c>
      <c r="R1114">
        <v>876145</v>
      </c>
    </row>
    <row r="1115" spans="1:18" x14ac:dyDescent="0.25">
      <c r="A1115" s="170">
        <v>43647</v>
      </c>
      <c r="B1115" s="116">
        <v>3.87</v>
      </c>
      <c r="C1115" s="116">
        <v>3.79</v>
      </c>
      <c r="D1115" s="116">
        <v>3.7</v>
      </c>
      <c r="E1115" s="116">
        <v>3.87</v>
      </c>
      <c r="F1115" s="116">
        <v>3.79</v>
      </c>
      <c r="G1115">
        <v>156161</v>
      </c>
      <c r="H1115" s="116"/>
      <c r="I1115" s="116"/>
      <c r="L1115" s="170">
        <v>43647</v>
      </c>
      <c r="M1115" s="116">
        <v>3.8</v>
      </c>
      <c r="N1115" s="116">
        <v>3.85</v>
      </c>
      <c r="O1115" s="116">
        <v>3.7</v>
      </c>
      <c r="P1115" s="116">
        <v>3.7</v>
      </c>
      <c r="Q1115" s="116">
        <v>3.8</v>
      </c>
      <c r="R1115">
        <v>307508</v>
      </c>
    </row>
    <row r="1116" spans="1:18" x14ac:dyDescent="0.25">
      <c r="A1116" s="170">
        <v>43648</v>
      </c>
      <c r="B1116" s="116">
        <v>3.97</v>
      </c>
      <c r="C1116" s="116">
        <v>3.97</v>
      </c>
      <c r="D1116" s="116">
        <v>3.91</v>
      </c>
      <c r="E1116" s="116">
        <v>3.91</v>
      </c>
      <c r="F1116" s="116">
        <v>3.97</v>
      </c>
      <c r="G1116">
        <v>173686</v>
      </c>
      <c r="H1116" s="116"/>
      <c r="I1116" s="116"/>
      <c r="L1116" s="170">
        <v>43648</v>
      </c>
      <c r="M1116" s="116">
        <v>3.95</v>
      </c>
      <c r="N1116" s="116">
        <v>3.95</v>
      </c>
      <c r="O1116" s="116">
        <v>3.95</v>
      </c>
      <c r="P1116" s="116">
        <v>3.95</v>
      </c>
      <c r="Q1116" s="116">
        <v>3.95</v>
      </c>
      <c r="R1116">
        <v>668385</v>
      </c>
    </row>
    <row r="1117" spans="1:18" x14ac:dyDescent="0.25">
      <c r="A1117" s="170">
        <v>43649</v>
      </c>
      <c r="B1117" s="116">
        <v>4.16</v>
      </c>
      <c r="C1117" s="116">
        <v>4.16</v>
      </c>
      <c r="D1117" s="116">
        <v>4.16</v>
      </c>
      <c r="E1117" s="116">
        <v>4.16</v>
      </c>
      <c r="F1117" s="116">
        <v>4.16</v>
      </c>
      <c r="G1117">
        <v>179090</v>
      </c>
      <c r="H1117" s="116"/>
      <c r="I1117" s="116"/>
      <c r="L1117" s="170">
        <v>43649</v>
      </c>
      <c r="M1117" s="116">
        <v>4.0999999999999996</v>
      </c>
      <c r="N1117" s="116">
        <v>4.0999999999999996</v>
      </c>
      <c r="O1117" s="116">
        <v>4.0999999999999996</v>
      </c>
      <c r="P1117" s="116">
        <v>4.0999999999999996</v>
      </c>
      <c r="Q1117" s="116">
        <v>4.0999999999999996</v>
      </c>
      <c r="R1117">
        <v>279618</v>
      </c>
    </row>
    <row r="1118" spans="1:18" x14ac:dyDescent="0.25">
      <c r="A1118" s="170">
        <v>43650</v>
      </c>
      <c r="B1118" s="116">
        <v>4.3600000000000003</v>
      </c>
      <c r="C1118" s="116">
        <v>4.1100000000000003</v>
      </c>
      <c r="D1118" s="116">
        <v>4.05</v>
      </c>
      <c r="E1118" s="116">
        <v>4.25</v>
      </c>
      <c r="F1118" s="116">
        <v>4.1100000000000003</v>
      </c>
      <c r="G1118">
        <v>613099</v>
      </c>
      <c r="H1118" s="116"/>
      <c r="I1118" s="116"/>
      <c r="L1118" s="170">
        <v>43650</v>
      </c>
      <c r="M1118" s="116">
        <v>4.0999999999999996</v>
      </c>
      <c r="N1118" s="116">
        <v>4.3</v>
      </c>
      <c r="O1118" s="116">
        <v>4</v>
      </c>
      <c r="P1118" s="116">
        <v>4.3</v>
      </c>
      <c r="Q1118" s="116">
        <v>4.0999999999999996</v>
      </c>
      <c r="R1118">
        <v>1630495</v>
      </c>
    </row>
    <row r="1119" spans="1:18" x14ac:dyDescent="0.25">
      <c r="A1119" s="170">
        <v>43651</v>
      </c>
      <c r="B1119" s="116">
        <v>4.0999999999999996</v>
      </c>
      <c r="C1119" s="116">
        <v>3.91</v>
      </c>
      <c r="D1119" s="116">
        <v>3.91</v>
      </c>
      <c r="E1119" s="116">
        <v>4.0999999999999996</v>
      </c>
      <c r="F1119" s="116">
        <v>3.91</v>
      </c>
      <c r="G1119">
        <v>238979</v>
      </c>
      <c r="H1119" s="116"/>
      <c r="I1119" s="116"/>
      <c r="L1119" s="170">
        <v>43651</v>
      </c>
      <c r="M1119" s="116">
        <v>3.9</v>
      </c>
      <c r="N1119" s="116">
        <v>4.2</v>
      </c>
      <c r="O1119" s="116">
        <v>3.9</v>
      </c>
      <c r="P1119" s="116">
        <v>4.2</v>
      </c>
      <c r="Q1119" s="116">
        <v>3.9</v>
      </c>
      <c r="R1119">
        <v>777118</v>
      </c>
    </row>
    <row r="1120" spans="1:18" x14ac:dyDescent="0.25">
      <c r="A1120" s="170">
        <v>43654</v>
      </c>
      <c r="B1120" s="116">
        <v>3.91</v>
      </c>
      <c r="C1120" s="116">
        <v>3.76</v>
      </c>
      <c r="D1120" s="116">
        <v>3.72</v>
      </c>
      <c r="E1120" s="116">
        <v>3.91</v>
      </c>
      <c r="F1120" s="116">
        <v>3.76</v>
      </c>
      <c r="G1120">
        <v>299604</v>
      </c>
      <c r="H1120" s="116"/>
      <c r="I1120" s="116"/>
      <c r="L1120" s="170">
        <v>43654</v>
      </c>
      <c r="M1120" s="116">
        <v>3.75</v>
      </c>
      <c r="N1120" s="116">
        <v>3.8</v>
      </c>
      <c r="O1120" s="116">
        <v>3.75</v>
      </c>
      <c r="P1120" s="116">
        <v>3.8</v>
      </c>
      <c r="Q1120" s="116">
        <v>3.75</v>
      </c>
      <c r="R1120">
        <v>204789</v>
      </c>
    </row>
    <row r="1121" spans="1:18" x14ac:dyDescent="0.25">
      <c r="A1121" s="170">
        <v>43655</v>
      </c>
      <c r="B1121" s="116">
        <v>3.94</v>
      </c>
      <c r="C1121" s="116">
        <v>3.94</v>
      </c>
      <c r="D1121" s="116">
        <v>3.8</v>
      </c>
      <c r="E1121" s="116">
        <v>3.8</v>
      </c>
      <c r="F1121" s="116">
        <v>3.94</v>
      </c>
      <c r="G1121">
        <v>250344</v>
      </c>
      <c r="H1121" s="116"/>
      <c r="I1121" s="116"/>
      <c r="L1121" s="170">
        <v>43655</v>
      </c>
      <c r="M1121" s="116">
        <v>3.9</v>
      </c>
      <c r="N1121" s="116">
        <v>3.9</v>
      </c>
      <c r="O1121" s="116">
        <v>3.9</v>
      </c>
      <c r="P1121" s="116">
        <v>3.9</v>
      </c>
      <c r="Q1121" s="116">
        <v>3.9</v>
      </c>
      <c r="R1121">
        <v>345318</v>
      </c>
    </row>
    <row r="1122" spans="1:18" x14ac:dyDescent="0.25">
      <c r="A1122" s="170">
        <v>43656</v>
      </c>
      <c r="B1122" s="116">
        <v>4.13</v>
      </c>
      <c r="C1122" s="116">
        <v>4.13</v>
      </c>
      <c r="D1122" s="116">
        <v>4.04</v>
      </c>
      <c r="E1122" s="116">
        <v>4.13</v>
      </c>
      <c r="F1122" s="116">
        <v>4.13</v>
      </c>
      <c r="G1122">
        <v>617088</v>
      </c>
      <c r="H1122" s="116"/>
      <c r="I1122" s="116"/>
      <c r="L1122" s="170">
        <v>43656</v>
      </c>
      <c r="M1122" s="116">
        <v>4.05</v>
      </c>
      <c r="N1122" s="116">
        <v>4.05</v>
      </c>
      <c r="O1122" s="116">
        <v>4.05</v>
      </c>
      <c r="P1122" s="116">
        <v>4.05</v>
      </c>
      <c r="Q1122" s="116">
        <v>4.05</v>
      </c>
      <c r="R1122">
        <v>474422</v>
      </c>
    </row>
    <row r="1123" spans="1:18" x14ac:dyDescent="0.25">
      <c r="A1123" s="170">
        <v>43657</v>
      </c>
      <c r="B1123" s="116">
        <v>4.3</v>
      </c>
      <c r="C1123" s="116">
        <v>4.08</v>
      </c>
      <c r="D1123" s="116">
        <v>3.95</v>
      </c>
      <c r="E1123" s="116">
        <v>4.0999999999999996</v>
      </c>
      <c r="F1123" s="116">
        <v>4.08</v>
      </c>
      <c r="G1123">
        <v>641906</v>
      </c>
      <c r="H1123" s="116"/>
      <c r="I1123" s="116"/>
      <c r="L1123" s="170">
        <v>43657</v>
      </c>
      <c r="M1123" s="116">
        <v>4</v>
      </c>
      <c r="N1123" s="116">
        <v>4.25</v>
      </c>
      <c r="O1123" s="116">
        <v>3.85</v>
      </c>
      <c r="P1123" s="116">
        <v>4.05</v>
      </c>
      <c r="Q1123" s="116">
        <v>4</v>
      </c>
      <c r="R1123">
        <v>1095431</v>
      </c>
    </row>
    <row r="1124" spans="1:18" x14ac:dyDescent="0.25">
      <c r="A1124" s="170">
        <v>43658</v>
      </c>
      <c r="B1124" s="116">
        <v>4</v>
      </c>
      <c r="C1124" s="116">
        <v>3.95</v>
      </c>
      <c r="D1124" s="116">
        <v>3.88</v>
      </c>
      <c r="E1124" s="116">
        <v>4</v>
      </c>
      <c r="F1124" s="116">
        <v>3.95</v>
      </c>
      <c r="G1124">
        <v>137148</v>
      </c>
      <c r="H1124" s="116"/>
      <c r="I1124" s="116"/>
      <c r="L1124" s="170">
        <v>43658</v>
      </c>
      <c r="M1124" s="116">
        <v>3.8</v>
      </c>
      <c r="N1124" s="116">
        <v>4</v>
      </c>
      <c r="O1124" s="116">
        <v>3.8</v>
      </c>
      <c r="P1124" s="116">
        <v>4</v>
      </c>
      <c r="Q1124" s="116">
        <v>3.8</v>
      </c>
      <c r="R1124">
        <v>835453</v>
      </c>
    </row>
    <row r="1125" spans="1:18" x14ac:dyDescent="0.25">
      <c r="A1125" s="170">
        <v>43661</v>
      </c>
      <c r="B1125" s="116">
        <v>3.95</v>
      </c>
      <c r="C1125" s="116">
        <v>3.82</v>
      </c>
      <c r="D1125" s="116">
        <v>3.76</v>
      </c>
      <c r="E1125" s="116">
        <v>3.95</v>
      </c>
      <c r="F1125" s="116">
        <v>3.82</v>
      </c>
      <c r="G1125">
        <v>115411</v>
      </c>
      <c r="H1125" s="116"/>
      <c r="I1125" s="116"/>
      <c r="L1125" s="170">
        <v>43661</v>
      </c>
      <c r="M1125" s="116">
        <v>3.85</v>
      </c>
      <c r="N1125" s="116">
        <v>3.95</v>
      </c>
      <c r="O1125" s="116">
        <v>3.65</v>
      </c>
      <c r="P1125" s="116">
        <v>3.7</v>
      </c>
      <c r="Q1125" s="116">
        <v>3.85</v>
      </c>
      <c r="R1125">
        <v>907979</v>
      </c>
    </row>
    <row r="1126" spans="1:18" x14ac:dyDescent="0.25">
      <c r="A1126" s="170">
        <v>43662</v>
      </c>
      <c r="B1126" s="116">
        <v>3.9</v>
      </c>
      <c r="C1126" s="116">
        <v>3.71</v>
      </c>
      <c r="D1126" s="116">
        <v>3.63</v>
      </c>
      <c r="E1126" s="116">
        <v>3.81</v>
      </c>
      <c r="F1126" s="116">
        <v>3.71</v>
      </c>
      <c r="G1126">
        <v>119041</v>
      </c>
      <c r="H1126" s="116"/>
      <c r="I1126" s="116"/>
      <c r="L1126" s="170">
        <v>43662</v>
      </c>
      <c r="M1126" s="116">
        <v>3.7</v>
      </c>
      <c r="N1126" s="116">
        <v>3.85</v>
      </c>
      <c r="O1126" s="116">
        <v>3.7</v>
      </c>
      <c r="P1126" s="116">
        <v>3.8</v>
      </c>
      <c r="Q1126" s="116">
        <v>3.7</v>
      </c>
      <c r="R1126">
        <v>275976</v>
      </c>
    </row>
    <row r="1127" spans="1:18" x14ac:dyDescent="0.25">
      <c r="A1127" s="170">
        <v>43663</v>
      </c>
      <c r="B1127" s="116">
        <v>3.85</v>
      </c>
      <c r="C1127" s="116">
        <v>3.53</v>
      </c>
      <c r="D1127" s="116">
        <v>3.53</v>
      </c>
      <c r="E1127" s="116">
        <v>3.58</v>
      </c>
      <c r="F1127" s="116">
        <v>3.53</v>
      </c>
      <c r="G1127">
        <v>69103</v>
      </c>
      <c r="H1127" s="116"/>
      <c r="I1127" s="116"/>
      <c r="L1127" s="170">
        <v>43663</v>
      </c>
      <c r="M1127" s="116">
        <v>3.55</v>
      </c>
      <c r="N1127" s="116">
        <v>3.85</v>
      </c>
      <c r="O1127" s="116">
        <v>3.55</v>
      </c>
      <c r="P1127" s="116">
        <v>3.55</v>
      </c>
      <c r="Q1127" s="116">
        <v>3.55</v>
      </c>
      <c r="R1127">
        <v>520209</v>
      </c>
    </row>
    <row r="1128" spans="1:18" x14ac:dyDescent="0.25">
      <c r="A1128" s="170">
        <v>43664</v>
      </c>
      <c r="B1128" s="116">
        <v>3.5</v>
      </c>
      <c r="C1128" s="116">
        <v>3.36</v>
      </c>
      <c r="D1128" s="116">
        <v>3.36</v>
      </c>
      <c r="E1128" s="116">
        <v>3.5</v>
      </c>
      <c r="F1128" s="116">
        <v>3.36</v>
      </c>
      <c r="G1128">
        <v>233777</v>
      </c>
      <c r="H1128" s="116"/>
      <c r="I1128" s="116"/>
      <c r="L1128" s="170">
        <v>43664</v>
      </c>
      <c r="M1128" s="116">
        <v>3.4</v>
      </c>
      <c r="N1128" s="116">
        <v>3.55</v>
      </c>
      <c r="O1128" s="116">
        <v>3.4</v>
      </c>
      <c r="P1128" s="116">
        <v>3.55</v>
      </c>
      <c r="Q1128" s="116">
        <v>3.4</v>
      </c>
      <c r="R1128">
        <v>486234</v>
      </c>
    </row>
    <row r="1129" spans="1:18" x14ac:dyDescent="0.25">
      <c r="A1129" s="170">
        <v>43665</v>
      </c>
      <c r="B1129" s="116">
        <v>3.45</v>
      </c>
      <c r="C1129" s="116">
        <v>3.25</v>
      </c>
      <c r="D1129" s="116">
        <v>3.2</v>
      </c>
      <c r="E1129" s="116">
        <v>3.3</v>
      </c>
      <c r="F1129" s="116">
        <v>3.25</v>
      </c>
      <c r="G1129">
        <v>297506</v>
      </c>
      <c r="H1129" s="116"/>
      <c r="I1129" s="116"/>
      <c r="L1129" s="170">
        <v>43665</v>
      </c>
      <c r="M1129" s="116">
        <v>3.25</v>
      </c>
      <c r="N1129" s="116">
        <v>3.5</v>
      </c>
      <c r="O1129" s="116">
        <v>3.25</v>
      </c>
      <c r="P1129" s="116">
        <v>3.5</v>
      </c>
      <c r="Q1129" s="116">
        <v>3.25</v>
      </c>
      <c r="R1129">
        <v>320207</v>
      </c>
    </row>
    <row r="1130" spans="1:18" x14ac:dyDescent="0.25">
      <c r="A1130" s="170">
        <v>43668</v>
      </c>
      <c r="B1130" s="116">
        <v>3.2</v>
      </c>
      <c r="C1130" s="116">
        <v>3.09</v>
      </c>
      <c r="D1130" s="116">
        <v>3.09</v>
      </c>
      <c r="E1130" s="116">
        <v>3.2</v>
      </c>
      <c r="F1130" s="116">
        <v>3.09</v>
      </c>
      <c r="G1130">
        <v>101500</v>
      </c>
      <c r="H1130" s="116"/>
      <c r="I1130" s="116"/>
      <c r="L1130" s="170">
        <v>43668</v>
      </c>
      <c r="M1130" s="116">
        <v>3.1</v>
      </c>
      <c r="N1130" s="116">
        <v>3.2</v>
      </c>
      <c r="O1130" s="116">
        <v>3.1</v>
      </c>
      <c r="P1130" s="116">
        <v>3.1</v>
      </c>
      <c r="Q1130" s="116">
        <v>3.1</v>
      </c>
      <c r="R1130">
        <v>309961</v>
      </c>
    </row>
    <row r="1131" spans="1:18" x14ac:dyDescent="0.25">
      <c r="A1131" s="170">
        <v>43669</v>
      </c>
      <c r="B1131" s="116">
        <v>3.23</v>
      </c>
      <c r="C1131" s="116">
        <v>3.1</v>
      </c>
      <c r="D1131" s="116">
        <v>2.94</v>
      </c>
      <c r="E1131" s="116">
        <v>2.95</v>
      </c>
      <c r="F1131" s="116">
        <v>3.1</v>
      </c>
      <c r="G1131">
        <v>179932</v>
      </c>
      <c r="H1131" s="116"/>
      <c r="I1131" s="116"/>
      <c r="L1131" s="170">
        <v>43669</v>
      </c>
      <c r="M1131" s="116">
        <v>3.15</v>
      </c>
      <c r="N1131" s="116">
        <v>3.2</v>
      </c>
      <c r="O1131" s="116">
        <v>2.95</v>
      </c>
      <c r="P1131" s="116">
        <v>3.1</v>
      </c>
      <c r="Q1131" s="116">
        <v>3.15</v>
      </c>
      <c r="R1131">
        <v>489002</v>
      </c>
    </row>
    <row r="1132" spans="1:18" x14ac:dyDescent="0.25">
      <c r="A1132" s="170">
        <v>43670</v>
      </c>
      <c r="B1132" s="116">
        <v>3.24</v>
      </c>
      <c r="C1132" s="116">
        <v>2.99</v>
      </c>
      <c r="D1132" s="116">
        <v>2.97</v>
      </c>
      <c r="E1132" s="116">
        <v>3.22</v>
      </c>
      <c r="F1132" s="116">
        <v>2.99</v>
      </c>
      <c r="G1132">
        <v>155623</v>
      </c>
      <c r="H1132" s="116"/>
      <c r="I1132" s="116"/>
      <c r="L1132" s="170">
        <v>43670</v>
      </c>
      <c r="M1132" s="116">
        <v>3</v>
      </c>
      <c r="N1132" s="116">
        <v>3.2</v>
      </c>
      <c r="O1132" s="116">
        <v>3</v>
      </c>
      <c r="P1132" s="116">
        <v>3.15</v>
      </c>
      <c r="Q1132" s="116">
        <v>3</v>
      </c>
      <c r="R1132">
        <v>563345</v>
      </c>
    </row>
    <row r="1133" spans="1:18" x14ac:dyDescent="0.25">
      <c r="A1133" s="170">
        <v>43671</v>
      </c>
      <c r="B1133" s="116">
        <v>3.12</v>
      </c>
      <c r="C1133" s="116">
        <v>3.06</v>
      </c>
      <c r="D1133" s="116">
        <v>2.85</v>
      </c>
      <c r="E1133" s="116">
        <v>3.12</v>
      </c>
      <c r="F1133" s="116">
        <v>3.06</v>
      </c>
      <c r="G1133">
        <v>182176</v>
      </c>
      <c r="H1133" s="116"/>
      <c r="I1133" s="116"/>
      <c r="L1133" s="170">
        <v>43671</v>
      </c>
      <c r="M1133" s="116">
        <v>3.15</v>
      </c>
      <c r="N1133" s="116">
        <v>3.15</v>
      </c>
      <c r="O1133" s="116">
        <v>2.85</v>
      </c>
      <c r="P1133" s="116">
        <v>3.1</v>
      </c>
      <c r="Q1133" s="116">
        <v>3.15</v>
      </c>
      <c r="R1133">
        <v>589419</v>
      </c>
    </row>
    <row r="1134" spans="1:18" x14ac:dyDescent="0.25">
      <c r="A1134" s="170">
        <v>43672</v>
      </c>
      <c r="B1134" s="116">
        <v>3.2</v>
      </c>
      <c r="C1134" s="116">
        <v>3.14</v>
      </c>
      <c r="D1134" s="116">
        <v>2.97</v>
      </c>
      <c r="E1134" s="116">
        <v>2.97</v>
      </c>
      <c r="F1134" s="116">
        <v>3.14</v>
      </c>
      <c r="G1134">
        <v>72575</v>
      </c>
      <c r="H1134" s="116"/>
      <c r="I1134" s="116"/>
      <c r="L1134" s="170">
        <v>43672</v>
      </c>
      <c r="M1134" s="116">
        <v>3.15</v>
      </c>
      <c r="N1134" s="116">
        <v>3.25</v>
      </c>
      <c r="O1134" s="116">
        <v>3.1</v>
      </c>
      <c r="P1134" s="116">
        <v>3.1</v>
      </c>
      <c r="Q1134" s="116">
        <v>3.15</v>
      </c>
      <c r="R1134">
        <v>445926</v>
      </c>
    </row>
    <row r="1135" spans="1:18" x14ac:dyDescent="0.25">
      <c r="A1135" s="170">
        <v>43675</v>
      </c>
      <c r="B1135" s="116">
        <v>3.27</v>
      </c>
      <c r="C1135" s="116">
        <v>3.04</v>
      </c>
      <c r="D1135" s="116">
        <v>3</v>
      </c>
      <c r="E1135" s="116">
        <v>3.27</v>
      </c>
      <c r="F1135" s="116">
        <v>3.04</v>
      </c>
      <c r="G1135">
        <v>127218</v>
      </c>
      <c r="H1135" s="116"/>
      <c r="I1135" s="116"/>
      <c r="L1135" s="170">
        <v>43675</v>
      </c>
      <c r="M1135" s="116">
        <v>3</v>
      </c>
      <c r="N1135" s="116">
        <v>3.2</v>
      </c>
      <c r="O1135" s="116">
        <v>3</v>
      </c>
      <c r="P1135" s="116">
        <v>3.1</v>
      </c>
      <c r="Q1135" s="116">
        <v>3</v>
      </c>
      <c r="R1135">
        <v>364936</v>
      </c>
    </row>
    <row r="1136" spans="1:18" x14ac:dyDescent="0.25">
      <c r="A1136" s="170">
        <v>43676</v>
      </c>
      <c r="B1136" s="116">
        <v>3.17</v>
      </c>
      <c r="C1136" s="116">
        <v>2.9</v>
      </c>
      <c r="D1136" s="116">
        <v>2.89</v>
      </c>
      <c r="E1136" s="116">
        <v>2.95</v>
      </c>
      <c r="F1136" s="116">
        <v>2.9</v>
      </c>
      <c r="G1136">
        <v>308832</v>
      </c>
      <c r="H1136" s="116"/>
      <c r="I1136" s="116"/>
      <c r="L1136" s="170">
        <v>43676</v>
      </c>
      <c r="M1136" s="116">
        <v>2.95</v>
      </c>
      <c r="N1136" s="116">
        <v>3.1</v>
      </c>
      <c r="O1136" s="116">
        <v>2.85</v>
      </c>
      <c r="P1136" s="116">
        <v>3.1</v>
      </c>
      <c r="Q1136" s="116">
        <v>2.95</v>
      </c>
      <c r="R1136">
        <v>343987</v>
      </c>
    </row>
    <row r="1137" spans="1:18" x14ac:dyDescent="0.25">
      <c r="A1137" s="170">
        <v>43677</v>
      </c>
      <c r="B1137" s="116">
        <v>3</v>
      </c>
      <c r="C1137" s="116">
        <v>2.93</v>
      </c>
      <c r="D1137" s="116">
        <v>2.85</v>
      </c>
      <c r="E1137" s="116">
        <v>3</v>
      </c>
      <c r="F1137" s="116">
        <v>2.93</v>
      </c>
      <c r="G1137">
        <v>178821</v>
      </c>
      <c r="H1137" s="116"/>
      <c r="I1137" s="116"/>
      <c r="L1137" s="170">
        <v>43677</v>
      </c>
      <c r="M1137" s="116">
        <v>2.95</v>
      </c>
      <c r="N1137" s="116">
        <v>3.05</v>
      </c>
      <c r="O1137" s="116">
        <v>2.85</v>
      </c>
      <c r="P1137" s="116">
        <v>3.05</v>
      </c>
      <c r="Q1137" s="116">
        <v>2.95</v>
      </c>
      <c r="R1137">
        <v>305623</v>
      </c>
    </row>
    <row r="1138" spans="1:18" x14ac:dyDescent="0.25">
      <c r="A1138" s="170">
        <v>43678</v>
      </c>
      <c r="B1138" s="116">
        <v>3.06</v>
      </c>
      <c r="C1138" s="116">
        <v>2.97</v>
      </c>
      <c r="D1138" s="116">
        <v>2.94</v>
      </c>
      <c r="E1138" s="116">
        <v>3</v>
      </c>
      <c r="F1138" s="116">
        <v>2.97</v>
      </c>
      <c r="G1138">
        <v>133493</v>
      </c>
      <c r="H1138" s="116"/>
      <c r="I1138" s="116"/>
      <c r="L1138" s="170">
        <v>43678</v>
      </c>
      <c r="M1138" s="116">
        <v>2.95</v>
      </c>
      <c r="N1138" s="116">
        <v>3.05</v>
      </c>
      <c r="O1138" s="116">
        <v>2.85</v>
      </c>
      <c r="P1138" s="116">
        <v>2.95</v>
      </c>
      <c r="Q1138" s="116">
        <v>2.95</v>
      </c>
      <c r="R1138">
        <v>940325</v>
      </c>
    </row>
    <row r="1139" spans="1:18" x14ac:dyDescent="0.25">
      <c r="A1139" s="170">
        <v>43679</v>
      </c>
      <c r="B1139" s="116">
        <v>3.1</v>
      </c>
      <c r="C1139" s="116">
        <v>3.04</v>
      </c>
      <c r="D1139" s="116">
        <v>2.85</v>
      </c>
      <c r="E1139" s="116">
        <v>3.09</v>
      </c>
      <c r="F1139" s="116">
        <v>3.04</v>
      </c>
      <c r="G1139">
        <v>159199</v>
      </c>
      <c r="H1139" s="116"/>
      <c r="I1139" s="116"/>
      <c r="L1139" s="170">
        <v>43679</v>
      </c>
      <c r="M1139" s="116">
        <v>2.95</v>
      </c>
      <c r="N1139" s="116">
        <v>3.05</v>
      </c>
      <c r="O1139" s="116">
        <v>2.85</v>
      </c>
      <c r="P1139" s="116">
        <v>3.05</v>
      </c>
      <c r="Q1139" s="116">
        <v>2.95</v>
      </c>
      <c r="R1139">
        <v>1168678</v>
      </c>
    </row>
    <row r="1140" spans="1:18" x14ac:dyDescent="0.25">
      <c r="A1140" s="170">
        <v>43682</v>
      </c>
      <c r="B1140" s="116">
        <v>3.05</v>
      </c>
      <c r="C1140" s="116">
        <v>2.98</v>
      </c>
      <c r="D1140" s="116">
        <v>2.89</v>
      </c>
      <c r="E1140" s="116">
        <v>3</v>
      </c>
      <c r="F1140" s="116">
        <v>2.98</v>
      </c>
      <c r="G1140">
        <v>125874</v>
      </c>
      <c r="H1140" s="116"/>
      <c r="I1140" s="116"/>
      <c r="L1140" s="170">
        <v>43682</v>
      </c>
      <c r="M1140" s="116">
        <v>2.9</v>
      </c>
      <c r="N1140" s="116">
        <v>3.05</v>
      </c>
      <c r="O1140" s="116">
        <v>2.85</v>
      </c>
      <c r="P1140" s="116">
        <v>2.9</v>
      </c>
      <c r="Q1140" s="116">
        <v>2.9</v>
      </c>
      <c r="R1140">
        <v>959041</v>
      </c>
    </row>
    <row r="1141" spans="1:18" x14ac:dyDescent="0.25">
      <c r="A1141" s="170">
        <v>43683</v>
      </c>
      <c r="B1141" s="116">
        <v>3</v>
      </c>
      <c r="C1141" s="116">
        <v>2.85</v>
      </c>
      <c r="D1141" s="116">
        <v>2.84</v>
      </c>
      <c r="E1141" s="116">
        <v>3</v>
      </c>
      <c r="F1141" s="116">
        <v>2.85</v>
      </c>
      <c r="G1141">
        <v>145701</v>
      </c>
      <c r="H1141" s="116"/>
      <c r="I1141" s="116"/>
      <c r="L1141" s="170">
        <v>43683</v>
      </c>
      <c r="M1141" s="116">
        <v>2.8</v>
      </c>
      <c r="N1141" s="116">
        <v>3</v>
      </c>
      <c r="O1141" s="116">
        <v>2.8</v>
      </c>
      <c r="P1141" s="116">
        <v>2.9</v>
      </c>
      <c r="Q1141" s="116">
        <v>2.8</v>
      </c>
      <c r="R1141">
        <v>1202495</v>
      </c>
    </row>
    <row r="1142" spans="1:18" x14ac:dyDescent="0.25">
      <c r="A1142" s="170">
        <v>43684</v>
      </c>
      <c r="B1142" s="116">
        <v>2.91</v>
      </c>
      <c r="C1142" s="116">
        <v>2.85</v>
      </c>
      <c r="D1142" s="116">
        <v>2.75</v>
      </c>
      <c r="E1142" s="116">
        <v>2.75</v>
      </c>
      <c r="F1142" s="116">
        <v>2.85</v>
      </c>
      <c r="G1142">
        <v>137126</v>
      </c>
      <c r="H1142" s="116"/>
      <c r="I1142" s="116"/>
      <c r="L1142" s="170">
        <v>43684</v>
      </c>
      <c r="M1142" s="116">
        <v>2.8</v>
      </c>
      <c r="N1142" s="116">
        <v>2.9</v>
      </c>
      <c r="O1142" s="116">
        <v>2.75</v>
      </c>
      <c r="P1142" s="116">
        <v>2.85</v>
      </c>
      <c r="Q1142" s="116">
        <v>2.8</v>
      </c>
      <c r="R1142">
        <v>925376</v>
      </c>
    </row>
    <row r="1143" spans="1:18" x14ac:dyDescent="0.25">
      <c r="A1143" s="170">
        <v>43685</v>
      </c>
      <c r="B1143" s="116">
        <v>2.99</v>
      </c>
      <c r="C1143" s="116">
        <v>2.81</v>
      </c>
      <c r="D1143" s="116">
        <v>2.77</v>
      </c>
      <c r="E1143" s="116">
        <v>2.99</v>
      </c>
      <c r="F1143" s="116">
        <v>2.81</v>
      </c>
      <c r="G1143">
        <v>55074</v>
      </c>
      <c r="H1143" s="116"/>
      <c r="I1143" s="116"/>
      <c r="L1143" s="170">
        <v>43685</v>
      </c>
      <c r="M1143" s="116">
        <v>2.85</v>
      </c>
      <c r="N1143" s="116">
        <v>2.9</v>
      </c>
      <c r="O1143" s="116">
        <v>2.75</v>
      </c>
      <c r="P1143" s="116">
        <v>2.75</v>
      </c>
      <c r="Q1143" s="116">
        <v>2.85</v>
      </c>
      <c r="R1143">
        <v>164356</v>
      </c>
    </row>
    <row r="1144" spans="1:18" x14ac:dyDescent="0.25">
      <c r="A1144" s="170">
        <v>43686</v>
      </c>
      <c r="B1144" s="116">
        <v>2.94</v>
      </c>
      <c r="C1144" s="116">
        <v>2.92</v>
      </c>
      <c r="D1144" s="116">
        <v>2.75</v>
      </c>
      <c r="E1144" s="116">
        <v>2.92</v>
      </c>
      <c r="F1144" s="116">
        <v>2.92</v>
      </c>
      <c r="G1144">
        <v>102223</v>
      </c>
      <c r="H1144" s="116"/>
      <c r="I1144" s="116"/>
      <c r="L1144" s="170">
        <v>43686</v>
      </c>
      <c r="M1144" s="116">
        <v>2.85</v>
      </c>
      <c r="N1144" s="116">
        <v>2.95</v>
      </c>
      <c r="O1144" s="116">
        <v>2.8</v>
      </c>
      <c r="P1144" s="116">
        <v>2.95</v>
      </c>
      <c r="Q1144" s="116">
        <v>2.85</v>
      </c>
      <c r="R1144">
        <v>326323</v>
      </c>
    </row>
    <row r="1145" spans="1:18" x14ac:dyDescent="0.25">
      <c r="A1145" s="170">
        <v>43690</v>
      </c>
      <c r="B1145" s="116">
        <v>2.9</v>
      </c>
      <c r="C1145" s="116">
        <v>2.78</v>
      </c>
      <c r="D1145" s="116">
        <v>2.78</v>
      </c>
      <c r="E1145" s="116">
        <v>2.9</v>
      </c>
      <c r="F1145" s="116">
        <v>2.78</v>
      </c>
      <c r="G1145">
        <v>91975</v>
      </c>
      <c r="H1145" s="116"/>
      <c r="I1145" s="116"/>
      <c r="L1145" s="170">
        <v>43690</v>
      </c>
      <c r="M1145" s="116">
        <v>2.75</v>
      </c>
      <c r="N1145" s="116">
        <v>2.85</v>
      </c>
      <c r="O1145" s="116">
        <v>2.75</v>
      </c>
      <c r="P1145" s="116">
        <v>2.75</v>
      </c>
      <c r="Q1145" s="116">
        <v>2.75</v>
      </c>
      <c r="R1145">
        <v>750448</v>
      </c>
    </row>
    <row r="1146" spans="1:18" x14ac:dyDescent="0.25">
      <c r="A1146" s="170">
        <v>43691</v>
      </c>
      <c r="B1146" s="116">
        <v>2.87</v>
      </c>
      <c r="C1146" s="116">
        <v>2.69</v>
      </c>
      <c r="D1146" s="116">
        <v>2.65</v>
      </c>
      <c r="E1146" s="116">
        <v>2.65</v>
      </c>
      <c r="F1146" s="116">
        <v>2.69</v>
      </c>
      <c r="G1146">
        <v>140978</v>
      </c>
      <c r="H1146" s="116"/>
      <c r="I1146" s="116"/>
      <c r="L1146" s="170">
        <v>43691</v>
      </c>
      <c r="M1146" s="116">
        <v>2.7</v>
      </c>
      <c r="N1146" s="116">
        <v>2.8</v>
      </c>
      <c r="O1146" s="116">
        <v>2.65</v>
      </c>
      <c r="P1146" s="116">
        <v>2.75</v>
      </c>
      <c r="Q1146" s="116">
        <v>2.7</v>
      </c>
      <c r="R1146">
        <v>830794</v>
      </c>
    </row>
    <row r="1147" spans="1:18" x14ac:dyDescent="0.25">
      <c r="A1147" s="170">
        <v>43693</v>
      </c>
      <c r="B1147" s="116">
        <v>2.82</v>
      </c>
      <c r="C1147" s="116">
        <v>2.82</v>
      </c>
      <c r="D1147" s="116">
        <v>2.56</v>
      </c>
      <c r="E1147" s="116">
        <v>2.69</v>
      </c>
      <c r="F1147" s="116">
        <v>2.82</v>
      </c>
      <c r="G1147">
        <v>316671</v>
      </c>
      <c r="H1147" s="116"/>
      <c r="I1147" s="116"/>
      <c r="L1147" s="170">
        <v>43693</v>
      </c>
      <c r="M1147" s="116">
        <v>2.8</v>
      </c>
      <c r="N1147" s="116">
        <v>2.8</v>
      </c>
      <c r="O1147" s="116">
        <v>2.6</v>
      </c>
      <c r="P1147" s="116">
        <v>2.6</v>
      </c>
      <c r="Q1147" s="116">
        <v>2.8</v>
      </c>
      <c r="R1147">
        <v>445053</v>
      </c>
    </row>
    <row r="1148" spans="1:18" x14ac:dyDescent="0.25">
      <c r="A1148" s="170">
        <v>43696</v>
      </c>
      <c r="B1148" s="116">
        <v>2.89</v>
      </c>
      <c r="C1148" s="116">
        <v>2.75</v>
      </c>
      <c r="D1148" s="116">
        <v>2.7</v>
      </c>
      <c r="E1148" s="116">
        <v>2.82</v>
      </c>
      <c r="F1148" s="116">
        <v>2.75</v>
      </c>
      <c r="G1148">
        <v>87281</v>
      </c>
      <c r="H1148" s="116"/>
      <c r="I1148" s="116"/>
      <c r="L1148" s="170">
        <v>43696</v>
      </c>
      <c r="M1148" s="116">
        <v>2.7</v>
      </c>
      <c r="N1148" s="116">
        <v>2.9</v>
      </c>
      <c r="O1148" s="116">
        <v>2.7</v>
      </c>
      <c r="P1148" s="116">
        <v>2.75</v>
      </c>
      <c r="Q1148" s="116">
        <v>2.7</v>
      </c>
      <c r="R1148">
        <v>219379</v>
      </c>
    </row>
    <row r="1149" spans="1:18" x14ac:dyDescent="0.25">
      <c r="A1149" s="170">
        <v>43697</v>
      </c>
      <c r="B1149" s="116">
        <v>2.88</v>
      </c>
      <c r="C1149" s="116">
        <v>2.81</v>
      </c>
      <c r="D1149" s="116">
        <v>2.75</v>
      </c>
      <c r="E1149" s="116">
        <v>2.75</v>
      </c>
      <c r="F1149" s="116">
        <v>2.81</v>
      </c>
      <c r="G1149">
        <v>484965</v>
      </c>
      <c r="H1149" s="116"/>
      <c r="I1149" s="116"/>
      <c r="L1149" s="170">
        <v>43697</v>
      </c>
      <c r="M1149" s="116">
        <v>2.8</v>
      </c>
      <c r="N1149" s="116">
        <v>2.8</v>
      </c>
      <c r="O1149" s="116">
        <v>2.7</v>
      </c>
      <c r="P1149" s="116">
        <v>2.75</v>
      </c>
      <c r="Q1149" s="116">
        <v>2.8</v>
      </c>
      <c r="R1149">
        <v>978376</v>
      </c>
    </row>
    <row r="1150" spans="1:18" x14ac:dyDescent="0.25">
      <c r="A1150" s="170">
        <v>43698</v>
      </c>
      <c r="B1150" s="116">
        <v>2.93</v>
      </c>
      <c r="C1150" s="116">
        <v>2.72</v>
      </c>
      <c r="D1150" s="116">
        <v>2.67</v>
      </c>
      <c r="E1150" s="116">
        <v>2.93</v>
      </c>
      <c r="F1150" s="116">
        <v>2.72</v>
      </c>
      <c r="G1150">
        <v>128813</v>
      </c>
      <c r="H1150" s="116"/>
      <c r="I1150" s="116"/>
      <c r="L1150" s="170">
        <v>43698</v>
      </c>
      <c r="M1150" s="116">
        <v>2.7</v>
      </c>
      <c r="N1150" s="116">
        <v>2.85</v>
      </c>
      <c r="O1150" s="116">
        <v>2.7</v>
      </c>
      <c r="P1150" s="116">
        <v>2.8</v>
      </c>
      <c r="Q1150" s="116">
        <v>2.7</v>
      </c>
      <c r="R1150">
        <v>476787</v>
      </c>
    </row>
    <row r="1151" spans="1:18" x14ac:dyDescent="0.25">
      <c r="A1151" s="170">
        <v>43699</v>
      </c>
      <c r="B1151" s="116">
        <v>2.84</v>
      </c>
      <c r="C1151" s="116">
        <v>2.59</v>
      </c>
      <c r="D1151" s="116">
        <v>2.59</v>
      </c>
      <c r="E1151" s="116">
        <v>2.61</v>
      </c>
      <c r="F1151" s="116">
        <v>2.59</v>
      </c>
      <c r="G1151">
        <v>303830</v>
      </c>
      <c r="H1151" s="116"/>
      <c r="I1151" s="116"/>
      <c r="L1151" s="170">
        <v>43699</v>
      </c>
      <c r="M1151" s="116">
        <v>2.6</v>
      </c>
      <c r="N1151" s="116">
        <v>2.7</v>
      </c>
      <c r="O1151" s="116">
        <v>2.6</v>
      </c>
      <c r="P1151" s="116">
        <v>2.65</v>
      </c>
      <c r="Q1151" s="116">
        <v>2.6</v>
      </c>
      <c r="R1151">
        <v>548198</v>
      </c>
    </row>
    <row r="1152" spans="1:18" x14ac:dyDescent="0.25">
      <c r="A1152" s="170">
        <v>43700</v>
      </c>
      <c r="B1152" s="116">
        <v>2.7</v>
      </c>
      <c r="C1152" s="116">
        <v>2.57</v>
      </c>
      <c r="D1152" s="116">
        <v>2.4700000000000002</v>
      </c>
      <c r="E1152" s="116">
        <v>2.5</v>
      </c>
      <c r="F1152" s="116">
        <v>2.57</v>
      </c>
      <c r="G1152">
        <v>302584</v>
      </c>
      <c r="H1152" s="116"/>
      <c r="I1152" s="116"/>
      <c r="L1152" s="170">
        <v>43700</v>
      </c>
      <c r="M1152" s="116">
        <v>2.65</v>
      </c>
      <c r="N1152" s="116">
        <v>2.7</v>
      </c>
      <c r="O1152" s="116">
        <v>2.5</v>
      </c>
      <c r="P1152" s="116">
        <v>2.6</v>
      </c>
      <c r="Q1152" s="116">
        <v>2.65</v>
      </c>
      <c r="R1152">
        <v>819987</v>
      </c>
    </row>
    <row r="1153" spans="1:18" x14ac:dyDescent="0.25">
      <c r="A1153" s="170">
        <v>43703</v>
      </c>
      <c r="B1153" s="116">
        <v>2.69</v>
      </c>
      <c r="C1153" s="116">
        <v>2.67</v>
      </c>
      <c r="D1153" s="116">
        <v>2.5499999999999998</v>
      </c>
      <c r="E1153" s="116">
        <v>2.57</v>
      </c>
      <c r="F1153" s="116">
        <v>2.67</v>
      </c>
      <c r="G1153">
        <v>84331</v>
      </c>
      <c r="H1153" s="116"/>
      <c r="I1153" s="116"/>
      <c r="L1153" s="170">
        <v>43703</v>
      </c>
      <c r="M1153" s="116">
        <v>2.6</v>
      </c>
      <c r="N1153" s="116">
        <v>2.7</v>
      </c>
      <c r="O1153" s="116">
        <v>2.5499999999999998</v>
      </c>
      <c r="P1153" s="116">
        <v>2.7</v>
      </c>
      <c r="Q1153" s="116">
        <v>2.6</v>
      </c>
      <c r="R1153">
        <v>322760</v>
      </c>
    </row>
    <row r="1154" spans="1:18" x14ac:dyDescent="0.25">
      <c r="A1154" s="170">
        <v>43704</v>
      </c>
      <c r="B1154" s="116">
        <v>2.75</v>
      </c>
      <c r="C1154" s="116">
        <v>2.57</v>
      </c>
      <c r="D1154" s="116">
        <v>2.5499999999999998</v>
      </c>
      <c r="E1154" s="116">
        <v>2.75</v>
      </c>
      <c r="F1154" s="116">
        <v>2.57</v>
      </c>
      <c r="G1154">
        <v>75072</v>
      </c>
      <c r="H1154" s="116"/>
      <c r="I1154" s="116"/>
      <c r="L1154" s="170">
        <v>43704</v>
      </c>
      <c r="M1154" s="116">
        <v>2.5499999999999998</v>
      </c>
      <c r="N1154" s="116">
        <v>2.65</v>
      </c>
      <c r="O1154" s="116">
        <v>2.5</v>
      </c>
      <c r="P1154" s="116">
        <v>2.65</v>
      </c>
      <c r="Q1154" s="116">
        <v>2.5499999999999998</v>
      </c>
      <c r="R1154">
        <v>363211</v>
      </c>
    </row>
    <row r="1155" spans="1:18" x14ac:dyDescent="0.25">
      <c r="A1155" s="170">
        <v>43705</v>
      </c>
      <c r="B1155" s="116">
        <v>2.6</v>
      </c>
      <c r="C1155" s="116">
        <v>2.46</v>
      </c>
      <c r="D1155" s="116">
        <v>2.46</v>
      </c>
      <c r="E1155" s="116">
        <v>2.6</v>
      </c>
      <c r="F1155" s="116">
        <v>2.46</v>
      </c>
      <c r="G1155">
        <v>153365</v>
      </c>
      <c r="H1155" s="116"/>
      <c r="I1155" s="116"/>
      <c r="L1155" s="170">
        <v>43705</v>
      </c>
      <c r="M1155" s="116">
        <v>2.4500000000000002</v>
      </c>
      <c r="N1155" s="116">
        <v>2.6</v>
      </c>
      <c r="O1155" s="116">
        <v>2.4500000000000002</v>
      </c>
      <c r="P1155" s="116">
        <v>2.5499999999999998</v>
      </c>
      <c r="Q1155" s="116">
        <v>2.4500000000000002</v>
      </c>
      <c r="R1155">
        <v>642736</v>
      </c>
    </row>
    <row r="1156" spans="1:18" x14ac:dyDescent="0.25">
      <c r="A1156" s="170">
        <v>43706</v>
      </c>
      <c r="B1156" s="116">
        <v>2.5499999999999998</v>
      </c>
      <c r="C1156" s="116">
        <v>2.44</v>
      </c>
      <c r="D1156" s="116">
        <v>2.34</v>
      </c>
      <c r="E1156" s="116">
        <v>2.4500000000000002</v>
      </c>
      <c r="F1156" s="116">
        <v>2.44</v>
      </c>
      <c r="G1156">
        <v>117938</v>
      </c>
      <c r="H1156" s="116"/>
      <c r="I1156" s="116"/>
      <c r="L1156" s="170">
        <v>43706</v>
      </c>
      <c r="M1156" s="116">
        <v>2.4500000000000002</v>
      </c>
      <c r="N1156" s="116">
        <v>2.5</v>
      </c>
      <c r="O1156" s="116">
        <v>2.35</v>
      </c>
      <c r="P1156" s="116">
        <v>2.4500000000000002</v>
      </c>
      <c r="Q1156" s="116">
        <v>2.4500000000000002</v>
      </c>
      <c r="R1156">
        <v>574895</v>
      </c>
    </row>
    <row r="1157" spans="1:18" x14ac:dyDescent="0.25">
      <c r="A1157" s="170">
        <v>43707</v>
      </c>
      <c r="B1157" s="116">
        <v>2.52</v>
      </c>
      <c r="C1157" s="116">
        <v>2.4500000000000002</v>
      </c>
      <c r="D1157" s="116">
        <v>2.37</v>
      </c>
      <c r="E1157" s="116">
        <v>2.4500000000000002</v>
      </c>
      <c r="F1157" s="116">
        <v>2.4500000000000002</v>
      </c>
      <c r="G1157">
        <v>63603</v>
      </c>
      <c r="H1157" s="116"/>
      <c r="I1157" s="116"/>
      <c r="L1157" s="170">
        <v>43707</v>
      </c>
      <c r="M1157" s="116">
        <v>2.4500000000000002</v>
      </c>
      <c r="N1157" s="116">
        <v>2.5</v>
      </c>
      <c r="O1157" s="116">
        <v>2.4</v>
      </c>
      <c r="P1157" s="116">
        <v>2.4500000000000002</v>
      </c>
      <c r="Q1157" s="116">
        <v>2.4500000000000002</v>
      </c>
      <c r="R1157">
        <v>185783</v>
      </c>
    </row>
    <row r="1158" spans="1:18" x14ac:dyDescent="0.25">
      <c r="A1158" s="170">
        <v>43711</v>
      </c>
      <c r="B1158" s="116">
        <v>2.48</v>
      </c>
      <c r="C1158" s="116">
        <v>2.37</v>
      </c>
      <c r="D1158" s="116">
        <v>2.35</v>
      </c>
      <c r="E1158" s="116">
        <v>2.44</v>
      </c>
      <c r="F1158" s="116">
        <v>2.37</v>
      </c>
      <c r="G1158">
        <v>53180</v>
      </c>
      <c r="H1158" s="116"/>
      <c r="I1158" s="116"/>
      <c r="L1158" s="170">
        <v>43711</v>
      </c>
      <c r="M1158" s="116">
        <v>2.4500000000000002</v>
      </c>
      <c r="N1158" s="116">
        <v>2.5</v>
      </c>
      <c r="O1158" s="116">
        <v>2.35</v>
      </c>
      <c r="P1158" s="116">
        <v>2.5</v>
      </c>
      <c r="Q1158" s="116">
        <v>2.4500000000000002</v>
      </c>
      <c r="R1158">
        <v>351921</v>
      </c>
    </row>
    <row r="1159" spans="1:18" x14ac:dyDescent="0.25">
      <c r="A1159" s="170">
        <v>43712</v>
      </c>
      <c r="B1159" s="116">
        <v>2.4700000000000002</v>
      </c>
      <c r="C1159" s="116">
        <v>2.41</v>
      </c>
      <c r="D1159" s="116">
        <v>2.36</v>
      </c>
      <c r="E1159" s="116">
        <v>2.37</v>
      </c>
      <c r="F1159" s="116">
        <v>2.41</v>
      </c>
      <c r="G1159">
        <v>64478</v>
      </c>
      <c r="H1159" s="116"/>
      <c r="I1159" s="116"/>
      <c r="L1159" s="170">
        <v>43712</v>
      </c>
      <c r="M1159" s="116">
        <v>2.4</v>
      </c>
      <c r="N1159" s="116">
        <v>2.5</v>
      </c>
      <c r="O1159" s="116">
        <v>2.35</v>
      </c>
      <c r="P1159" s="116">
        <v>2.5</v>
      </c>
      <c r="Q1159" s="116">
        <v>2.4</v>
      </c>
      <c r="R1159">
        <v>327134</v>
      </c>
    </row>
    <row r="1160" spans="1:18" x14ac:dyDescent="0.25">
      <c r="A1160" s="170">
        <v>43713</v>
      </c>
      <c r="B1160" s="116">
        <v>2.5299999999999998</v>
      </c>
      <c r="C1160" s="116">
        <v>2.48</v>
      </c>
      <c r="D1160" s="116">
        <v>2.36</v>
      </c>
      <c r="E1160" s="116">
        <v>2.5299999999999998</v>
      </c>
      <c r="F1160" s="116">
        <v>2.48</v>
      </c>
      <c r="G1160">
        <v>68234</v>
      </c>
      <c r="H1160" s="116"/>
      <c r="I1160" s="116"/>
      <c r="L1160" s="170">
        <v>43713</v>
      </c>
      <c r="M1160" s="116">
        <v>2.4500000000000002</v>
      </c>
      <c r="N1160" s="116">
        <v>2.5</v>
      </c>
      <c r="O1160" s="116">
        <v>2.4</v>
      </c>
      <c r="P1160" s="116">
        <v>2.5</v>
      </c>
      <c r="Q1160" s="116">
        <v>2.4500000000000002</v>
      </c>
      <c r="R1160">
        <v>194210</v>
      </c>
    </row>
    <row r="1161" spans="1:18" x14ac:dyDescent="0.25">
      <c r="A1161" s="170">
        <v>43714</v>
      </c>
      <c r="B1161" s="116">
        <v>2.6</v>
      </c>
      <c r="C1161" s="116">
        <v>2.6</v>
      </c>
      <c r="D1161" s="116">
        <v>2.4</v>
      </c>
      <c r="E1161" s="116">
        <v>2.4500000000000002</v>
      </c>
      <c r="F1161" s="116">
        <v>2.6</v>
      </c>
      <c r="G1161">
        <v>747251</v>
      </c>
      <c r="H1161" s="116"/>
      <c r="I1161" s="116"/>
      <c r="L1161" s="170">
        <v>43714</v>
      </c>
      <c r="M1161" s="116">
        <v>2.5499999999999998</v>
      </c>
      <c r="N1161" s="116">
        <v>2.5499999999999998</v>
      </c>
      <c r="O1161" s="116">
        <v>2.4</v>
      </c>
      <c r="P1161" s="116">
        <v>2.4500000000000002</v>
      </c>
      <c r="Q1161" s="116">
        <v>2.5499999999999998</v>
      </c>
      <c r="R1161">
        <v>543277</v>
      </c>
    </row>
    <row r="1162" spans="1:18" x14ac:dyDescent="0.25">
      <c r="A1162" s="170">
        <v>43717</v>
      </c>
      <c r="B1162" s="116">
        <v>2.73</v>
      </c>
      <c r="C1162" s="116">
        <v>2.73</v>
      </c>
      <c r="D1162" s="116">
        <v>2.5499999999999998</v>
      </c>
      <c r="E1162" s="116">
        <v>2.65</v>
      </c>
      <c r="F1162" s="116">
        <v>2.73</v>
      </c>
      <c r="G1162">
        <v>240503</v>
      </c>
      <c r="H1162" s="116"/>
      <c r="I1162" s="116"/>
      <c r="L1162" s="170">
        <v>43717</v>
      </c>
      <c r="M1162" s="116">
        <v>2.65</v>
      </c>
      <c r="N1162" s="116">
        <v>2.65</v>
      </c>
      <c r="O1162" s="116">
        <v>2.5499999999999998</v>
      </c>
      <c r="P1162" s="116">
        <v>2.6</v>
      </c>
      <c r="Q1162" s="116">
        <v>2.65</v>
      </c>
      <c r="R1162">
        <v>357905</v>
      </c>
    </row>
    <row r="1163" spans="1:18" x14ac:dyDescent="0.25">
      <c r="A1163" s="170">
        <v>43719</v>
      </c>
      <c r="B1163" s="116">
        <v>2.86</v>
      </c>
      <c r="C1163" s="116">
        <v>2.86</v>
      </c>
      <c r="D1163" s="116">
        <v>2.73</v>
      </c>
      <c r="E1163" s="116">
        <v>2.85</v>
      </c>
      <c r="F1163" s="116">
        <v>2.86</v>
      </c>
      <c r="G1163">
        <v>265104</v>
      </c>
      <c r="H1163" s="116"/>
      <c r="I1163" s="116"/>
      <c r="L1163" s="170">
        <v>43719</v>
      </c>
      <c r="M1163" s="116">
        <v>2.75</v>
      </c>
      <c r="N1163" s="116">
        <v>2.75</v>
      </c>
      <c r="O1163" s="116">
        <v>2.75</v>
      </c>
      <c r="P1163" s="116">
        <v>2.75</v>
      </c>
      <c r="Q1163" s="116">
        <v>2.75</v>
      </c>
      <c r="R1163">
        <v>186228</v>
      </c>
    </row>
    <row r="1164" spans="1:18" x14ac:dyDescent="0.25">
      <c r="A1164" s="170">
        <v>43720</v>
      </c>
      <c r="B1164" s="116">
        <v>3</v>
      </c>
      <c r="C1164" s="116">
        <v>2.96</v>
      </c>
      <c r="D1164" s="116">
        <v>2.87</v>
      </c>
      <c r="E1164" s="116">
        <v>2.99</v>
      </c>
      <c r="F1164" s="116">
        <v>2.96</v>
      </c>
      <c r="G1164">
        <v>211498</v>
      </c>
      <c r="H1164" s="116"/>
      <c r="I1164" s="116"/>
      <c r="L1164" s="170">
        <v>43720</v>
      </c>
      <c r="M1164" s="116">
        <v>2.85</v>
      </c>
      <c r="N1164" s="116">
        <v>2.85</v>
      </c>
      <c r="O1164" s="116">
        <v>2.85</v>
      </c>
      <c r="P1164" s="116">
        <v>2.85</v>
      </c>
      <c r="Q1164" s="116">
        <v>2.85</v>
      </c>
      <c r="R1164">
        <v>117459</v>
      </c>
    </row>
    <row r="1165" spans="1:18" x14ac:dyDescent="0.25">
      <c r="A1165" s="170">
        <v>43721</v>
      </c>
      <c r="B1165" s="116">
        <v>3.1</v>
      </c>
      <c r="C1165" s="116">
        <v>3.1</v>
      </c>
      <c r="D1165" s="116">
        <v>2.9</v>
      </c>
      <c r="E1165" s="116">
        <v>2.9</v>
      </c>
      <c r="F1165" s="116">
        <v>3.1</v>
      </c>
      <c r="G1165">
        <v>415850</v>
      </c>
      <c r="H1165" s="116"/>
      <c r="I1165" s="116"/>
      <c r="L1165" s="170">
        <v>43721</v>
      </c>
      <c r="M1165" s="116">
        <v>2.95</v>
      </c>
      <c r="N1165" s="116">
        <v>2.95</v>
      </c>
      <c r="O1165" s="116">
        <v>2.9</v>
      </c>
      <c r="P1165" s="116">
        <v>2.95</v>
      </c>
      <c r="Q1165" s="116">
        <v>2.95</v>
      </c>
      <c r="R1165">
        <v>174468</v>
      </c>
    </row>
    <row r="1166" spans="1:18" x14ac:dyDescent="0.25">
      <c r="A1166" s="170">
        <v>43724</v>
      </c>
      <c r="B1166" s="116">
        <v>3.25</v>
      </c>
      <c r="C1166" s="116">
        <v>3.25</v>
      </c>
      <c r="D1166" s="116">
        <v>3.1</v>
      </c>
      <c r="E1166" s="116">
        <v>3.1</v>
      </c>
      <c r="F1166" s="116">
        <v>3.25</v>
      </c>
      <c r="G1166">
        <v>235795</v>
      </c>
      <c r="H1166" s="116"/>
      <c r="I1166" s="116"/>
      <c r="L1166" s="170">
        <v>43724</v>
      </c>
      <c r="M1166" s="116">
        <v>3.05</v>
      </c>
      <c r="N1166" s="116">
        <v>3.05</v>
      </c>
      <c r="O1166" s="116">
        <v>3.05</v>
      </c>
      <c r="P1166" s="116">
        <v>3.05</v>
      </c>
      <c r="Q1166" s="116">
        <v>3.05</v>
      </c>
      <c r="R1166">
        <v>210120</v>
      </c>
    </row>
    <row r="1167" spans="1:18" x14ac:dyDescent="0.25">
      <c r="A1167" s="170">
        <v>43725</v>
      </c>
      <c r="B1167" s="116">
        <v>3.41</v>
      </c>
      <c r="C1167" s="116">
        <v>3.37</v>
      </c>
      <c r="D1167" s="116">
        <v>3.26</v>
      </c>
      <c r="E1167" s="116">
        <v>3.41</v>
      </c>
      <c r="F1167" s="116">
        <v>3.37</v>
      </c>
      <c r="G1167">
        <v>406323</v>
      </c>
      <c r="H1167" s="116"/>
      <c r="I1167" s="116"/>
      <c r="L1167" s="170">
        <v>43725</v>
      </c>
      <c r="M1167" s="116">
        <v>3.2</v>
      </c>
      <c r="N1167" s="116">
        <v>3.2</v>
      </c>
      <c r="O1167" s="116">
        <v>3.2</v>
      </c>
      <c r="P1167" s="116">
        <v>3.2</v>
      </c>
      <c r="Q1167" s="116">
        <v>3.2</v>
      </c>
      <c r="R1167">
        <v>125361</v>
      </c>
    </row>
    <row r="1168" spans="1:18" x14ac:dyDescent="0.25">
      <c r="A1168" s="170">
        <v>43726</v>
      </c>
      <c r="B1168" s="116">
        <v>3.53</v>
      </c>
      <c r="C1168" s="116">
        <v>3.53</v>
      </c>
      <c r="D1168" s="116">
        <v>3.53</v>
      </c>
      <c r="E1168" s="116">
        <v>3.53</v>
      </c>
      <c r="F1168" s="116">
        <v>3.53</v>
      </c>
      <c r="G1168">
        <v>338323</v>
      </c>
      <c r="H1168" s="116"/>
      <c r="I1168" s="116"/>
      <c r="L1168" s="170">
        <v>43726</v>
      </c>
      <c r="M1168" s="116">
        <v>3.35</v>
      </c>
      <c r="N1168" s="116">
        <v>3.35</v>
      </c>
      <c r="O1168" s="116">
        <v>3.35</v>
      </c>
      <c r="P1168" s="116">
        <v>3.35</v>
      </c>
      <c r="Q1168" s="116">
        <v>3.35</v>
      </c>
      <c r="R1168">
        <v>145214</v>
      </c>
    </row>
    <row r="1169" spans="1:18" x14ac:dyDescent="0.25">
      <c r="A1169" s="170">
        <v>43727</v>
      </c>
      <c r="B1169" s="116">
        <v>3.7</v>
      </c>
      <c r="C1169" s="116">
        <v>3.69</v>
      </c>
      <c r="D1169" s="116">
        <v>3.53</v>
      </c>
      <c r="E1169" s="116">
        <v>3.7</v>
      </c>
      <c r="F1169" s="116">
        <v>3.69</v>
      </c>
      <c r="G1169">
        <v>1643930</v>
      </c>
      <c r="H1169" s="116"/>
      <c r="I1169" s="116"/>
      <c r="L1169" s="170">
        <v>43727</v>
      </c>
      <c r="M1169" s="116">
        <v>3.5</v>
      </c>
      <c r="N1169" s="116">
        <v>3.5</v>
      </c>
      <c r="O1169" s="116">
        <v>3.5</v>
      </c>
      <c r="P1169" s="116">
        <v>3.5</v>
      </c>
      <c r="Q1169" s="116">
        <v>3.5</v>
      </c>
      <c r="R1169">
        <v>197276</v>
      </c>
    </row>
    <row r="1170" spans="1:18" x14ac:dyDescent="0.25">
      <c r="A1170" s="170">
        <v>43728</v>
      </c>
      <c r="B1170" s="116">
        <v>3.79</v>
      </c>
      <c r="C1170" s="116">
        <v>3.51</v>
      </c>
      <c r="D1170" s="116">
        <v>3.51</v>
      </c>
      <c r="E1170" s="116">
        <v>3.7</v>
      </c>
      <c r="F1170" s="116">
        <v>3.51</v>
      </c>
      <c r="G1170">
        <v>448144</v>
      </c>
      <c r="H1170" s="116"/>
      <c r="I1170" s="116"/>
      <c r="L1170" s="170">
        <v>43728</v>
      </c>
      <c r="M1170" s="116">
        <v>3.35</v>
      </c>
      <c r="N1170" s="116">
        <v>3.65</v>
      </c>
      <c r="O1170" s="116">
        <v>3.35</v>
      </c>
      <c r="P1170" s="116">
        <v>3.65</v>
      </c>
      <c r="Q1170" s="116">
        <v>3.35</v>
      </c>
      <c r="R1170">
        <v>2701656</v>
      </c>
    </row>
    <row r="1171" spans="1:18" x14ac:dyDescent="0.25">
      <c r="A1171" s="170">
        <v>43731</v>
      </c>
      <c r="B1171" s="116">
        <v>3.34</v>
      </c>
      <c r="C1171" s="116">
        <v>3.34</v>
      </c>
      <c r="D1171" s="116">
        <v>3.34</v>
      </c>
      <c r="E1171" s="116">
        <v>3.34</v>
      </c>
      <c r="F1171" s="116">
        <v>3.34</v>
      </c>
      <c r="G1171">
        <v>57562</v>
      </c>
      <c r="H1171" s="116"/>
      <c r="I1171" s="116"/>
      <c r="L1171" s="170">
        <v>43731</v>
      </c>
      <c r="M1171" s="116">
        <v>3.2</v>
      </c>
      <c r="N1171" s="116">
        <v>3.35</v>
      </c>
      <c r="O1171" s="116">
        <v>3.2</v>
      </c>
      <c r="P1171" s="116">
        <v>3.3</v>
      </c>
      <c r="Q1171" s="116">
        <v>3.2</v>
      </c>
      <c r="R1171">
        <v>324672</v>
      </c>
    </row>
    <row r="1172" spans="1:18" x14ac:dyDescent="0.25">
      <c r="A1172" s="170">
        <v>43732</v>
      </c>
      <c r="B1172" s="116">
        <v>3.18</v>
      </c>
      <c r="C1172" s="116">
        <v>3.18</v>
      </c>
      <c r="D1172" s="116">
        <v>3.18</v>
      </c>
      <c r="E1172" s="116">
        <v>3.18</v>
      </c>
      <c r="F1172" s="116">
        <v>3.18</v>
      </c>
      <c r="G1172">
        <v>29615</v>
      </c>
      <c r="H1172" s="116"/>
      <c r="I1172" s="116"/>
      <c r="L1172" s="170">
        <v>43732</v>
      </c>
      <c r="M1172" s="116">
        <v>3.05</v>
      </c>
      <c r="N1172" s="116">
        <v>3.1</v>
      </c>
      <c r="O1172" s="116">
        <v>3.05</v>
      </c>
      <c r="P1172" s="116">
        <v>3.05</v>
      </c>
      <c r="Q1172" s="116">
        <v>3.05</v>
      </c>
      <c r="R1172">
        <v>210710</v>
      </c>
    </row>
    <row r="1173" spans="1:18" x14ac:dyDescent="0.25">
      <c r="A1173" s="170">
        <v>43733</v>
      </c>
      <c r="B1173" s="116">
        <v>3.03</v>
      </c>
      <c r="C1173" s="116">
        <v>3.03</v>
      </c>
      <c r="D1173" s="116">
        <v>3.03</v>
      </c>
      <c r="E1173" s="116">
        <v>3.03</v>
      </c>
      <c r="F1173" s="116">
        <v>3.03</v>
      </c>
      <c r="G1173">
        <v>2646</v>
      </c>
      <c r="H1173" s="116"/>
      <c r="I1173" s="116"/>
      <c r="L1173" s="170">
        <v>43733</v>
      </c>
      <c r="M1173" s="116">
        <v>2.9</v>
      </c>
      <c r="N1173" s="116">
        <v>2.95</v>
      </c>
      <c r="O1173" s="116">
        <v>2.9</v>
      </c>
      <c r="P1173" s="116">
        <v>2.9</v>
      </c>
      <c r="Q1173" s="116">
        <v>2.9</v>
      </c>
      <c r="R1173">
        <v>263075</v>
      </c>
    </row>
    <row r="1174" spans="1:18" x14ac:dyDescent="0.25">
      <c r="A1174" s="170">
        <v>43734</v>
      </c>
      <c r="B1174" s="116">
        <v>3.09</v>
      </c>
      <c r="C1174" s="116">
        <v>2.94</v>
      </c>
      <c r="D1174" s="116">
        <v>2.88</v>
      </c>
      <c r="E1174" s="116">
        <v>2.88</v>
      </c>
      <c r="F1174" s="116">
        <v>2.94</v>
      </c>
      <c r="G1174">
        <v>312826</v>
      </c>
      <c r="H1174" s="116"/>
      <c r="I1174" s="116"/>
      <c r="L1174" s="170">
        <v>43734</v>
      </c>
      <c r="M1174" s="116">
        <v>3</v>
      </c>
      <c r="N1174" s="116">
        <v>3</v>
      </c>
      <c r="O1174" s="116">
        <v>2.8</v>
      </c>
      <c r="P1174" s="116">
        <v>2.85</v>
      </c>
      <c r="Q1174" s="116">
        <v>3</v>
      </c>
      <c r="R1174">
        <v>1003438</v>
      </c>
    </row>
    <row r="1175" spans="1:18" x14ac:dyDescent="0.25">
      <c r="A1175" s="170">
        <v>43735</v>
      </c>
      <c r="B1175" s="116">
        <v>3.04</v>
      </c>
      <c r="C1175" s="116">
        <v>2.87</v>
      </c>
      <c r="D1175" s="116">
        <v>2.84</v>
      </c>
      <c r="E1175" s="116">
        <v>2.91</v>
      </c>
      <c r="F1175" s="116">
        <v>2.87</v>
      </c>
      <c r="G1175">
        <v>125087</v>
      </c>
      <c r="H1175" s="116"/>
      <c r="I1175" s="116"/>
      <c r="L1175" s="170">
        <v>43735</v>
      </c>
      <c r="M1175" s="116">
        <v>2.85</v>
      </c>
      <c r="N1175" s="116">
        <v>3.05</v>
      </c>
      <c r="O1175" s="116">
        <v>2.85</v>
      </c>
      <c r="P1175" s="116">
        <v>3</v>
      </c>
      <c r="Q1175" s="116">
        <v>2.85</v>
      </c>
      <c r="R1175">
        <v>287443</v>
      </c>
    </row>
    <row r="1176" spans="1:18" x14ac:dyDescent="0.25">
      <c r="A1176" s="170">
        <v>43738</v>
      </c>
      <c r="B1176" s="116">
        <v>2.96</v>
      </c>
      <c r="C1176" s="116">
        <v>2.82</v>
      </c>
      <c r="D1176" s="116">
        <v>2.76</v>
      </c>
      <c r="E1176" s="116">
        <v>2.96</v>
      </c>
      <c r="F1176" s="116">
        <v>2.82</v>
      </c>
      <c r="G1176">
        <v>124485</v>
      </c>
      <c r="H1176" s="116"/>
      <c r="I1176" s="116"/>
      <c r="L1176" s="170">
        <v>43738</v>
      </c>
      <c r="M1176" s="116">
        <v>2.8</v>
      </c>
      <c r="N1176" s="116">
        <v>2.9</v>
      </c>
      <c r="O1176" s="116">
        <v>2.75</v>
      </c>
      <c r="P1176" s="116">
        <v>2.85</v>
      </c>
      <c r="Q1176" s="116">
        <v>2.8</v>
      </c>
      <c r="R1176">
        <v>396352</v>
      </c>
    </row>
    <row r="1177" spans="1:18" x14ac:dyDescent="0.25">
      <c r="A1177" s="170">
        <v>43739</v>
      </c>
      <c r="B1177" s="116">
        <v>2.89</v>
      </c>
      <c r="C1177" s="116">
        <v>2.68</v>
      </c>
      <c r="D1177" s="116">
        <v>2.68</v>
      </c>
      <c r="E1177" s="116">
        <v>2.89</v>
      </c>
      <c r="F1177" s="116">
        <v>2.68</v>
      </c>
      <c r="G1177">
        <v>110793</v>
      </c>
      <c r="H1177" s="116"/>
      <c r="I1177" s="116"/>
      <c r="L1177" s="170">
        <v>43739</v>
      </c>
      <c r="M1177" s="116">
        <v>2.7</v>
      </c>
      <c r="N1177" s="116">
        <v>2.85</v>
      </c>
      <c r="O1177" s="116">
        <v>2.7</v>
      </c>
      <c r="P1177" s="116">
        <v>2.8</v>
      </c>
      <c r="Q1177" s="116">
        <v>2.7</v>
      </c>
      <c r="R1177">
        <v>362337</v>
      </c>
    </row>
    <row r="1178" spans="1:18" x14ac:dyDescent="0.25">
      <c r="A1178" s="170">
        <v>43741</v>
      </c>
      <c r="B1178" s="116">
        <v>2.81</v>
      </c>
      <c r="C1178" s="116">
        <v>2.76</v>
      </c>
      <c r="D1178" s="116">
        <v>2.56</v>
      </c>
      <c r="E1178" s="116">
        <v>2.65</v>
      </c>
      <c r="F1178" s="116">
        <v>2.76</v>
      </c>
      <c r="G1178">
        <v>315980</v>
      </c>
      <c r="H1178" s="116"/>
      <c r="I1178" s="116"/>
      <c r="L1178" s="170">
        <v>43741</v>
      </c>
      <c r="M1178" s="116">
        <v>2.75</v>
      </c>
      <c r="N1178" s="116">
        <v>2.8</v>
      </c>
      <c r="O1178" s="116">
        <v>2.6</v>
      </c>
      <c r="P1178" s="116">
        <v>2.6</v>
      </c>
      <c r="Q1178" s="116">
        <v>2.75</v>
      </c>
      <c r="R1178">
        <v>498775</v>
      </c>
    </row>
    <row r="1179" spans="1:18" x14ac:dyDescent="0.25">
      <c r="A1179" s="170">
        <v>43742</v>
      </c>
      <c r="B1179" s="116">
        <v>2.81</v>
      </c>
      <c r="C1179" s="116">
        <v>2.66</v>
      </c>
      <c r="D1179" s="116">
        <v>2.64</v>
      </c>
      <c r="E1179" s="116">
        <v>2.7</v>
      </c>
      <c r="F1179" s="116">
        <v>2.66</v>
      </c>
      <c r="G1179">
        <v>84290</v>
      </c>
      <c r="H1179" s="116"/>
      <c r="I1179" s="116"/>
      <c r="L1179" s="170">
        <v>43742</v>
      </c>
      <c r="M1179" s="116">
        <v>2.65</v>
      </c>
      <c r="N1179" s="116">
        <v>2.8</v>
      </c>
      <c r="O1179" s="116">
        <v>2.65</v>
      </c>
      <c r="P1179" s="116">
        <v>2.8</v>
      </c>
      <c r="Q1179" s="116">
        <v>2.65</v>
      </c>
      <c r="R1179">
        <v>320961</v>
      </c>
    </row>
    <row r="1180" spans="1:18" x14ac:dyDescent="0.25">
      <c r="A1180" s="170">
        <v>43745</v>
      </c>
      <c r="B1180" s="116">
        <v>2.77</v>
      </c>
      <c r="C1180" s="116">
        <v>2.74</v>
      </c>
      <c r="D1180" s="116">
        <v>2.58</v>
      </c>
      <c r="E1180" s="116">
        <v>2.61</v>
      </c>
      <c r="F1180" s="116">
        <v>2.74</v>
      </c>
      <c r="G1180">
        <v>162957</v>
      </c>
      <c r="H1180" s="116"/>
      <c r="I1180" s="116"/>
      <c r="L1180" s="170">
        <v>43745</v>
      </c>
      <c r="M1180" s="116">
        <v>2.75</v>
      </c>
      <c r="N1180" s="116">
        <v>2.75</v>
      </c>
      <c r="O1180" s="116">
        <v>2.6</v>
      </c>
      <c r="P1180" s="116">
        <v>2.7</v>
      </c>
      <c r="Q1180" s="116">
        <v>2.75</v>
      </c>
      <c r="R1180">
        <v>478421</v>
      </c>
    </row>
    <row r="1181" spans="1:18" x14ac:dyDescent="0.25">
      <c r="A1181" s="170">
        <v>43747</v>
      </c>
      <c r="B1181" s="116">
        <v>2.86</v>
      </c>
      <c r="C1181" s="116">
        <v>2.7</v>
      </c>
      <c r="D1181" s="116">
        <v>2.66</v>
      </c>
      <c r="E1181" s="116">
        <v>2.8</v>
      </c>
      <c r="F1181" s="116">
        <v>2.7</v>
      </c>
      <c r="G1181">
        <v>95330</v>
      </c>
      <c r="H1181" s="116"/>
      <c r="I1181" s="116"/>
      <c r="L1181" s="170">
        <v>43747</v>
      </c>
      <c r="M1181" s="116">
        <v>2.7</v>
      </c>
      <c r="N1181" s="116">
        <v>2.85</v>
      </c>
      <c r="O1181" s="116">
        <v>2.65</v>
      </c>
      <c r="P1181" s="116">
        <v>2.8</v>
      </c>
      <c r="Q1181" s="116">
        <v>2.7</v>
      </c>
      <c r="R1181">
        <v>405566</v>
      </c>
    </row>
    <row r="1182" spans="1:18" x14ac:dyDescent="0.25">
      <c r="A1182" s="170">
        <v>43748</v>
      </c>
      <c r="B1182" s="116">
        <v>2.89</v>
      </c>
      <c r="C1182" s="116">
        <v>2.71</v>
      </c>
      <c r="D1182" s="116">
        <v>2.64</v>
      </c>
      <c r="E1182" s="116">
        <v>2.72</v>
      </c>
      <c r="F1182" s="116">
        <v>2.71</v>
      </c>
      <c r="G1182">
        <v>68824</v>
      </c>
      <c r="H1182" s="116"/>
      <c r="I1182" s="116"/>
      <c r="L1182" s="170">
        <v>43748</v>
      </c>
      <c r="M1182" s="116">
        <v>2.7</v>
      </c>
      <c r="N1182" s="116">
        <v>2.75</v>
      </c>
      <c r="O1182" s="116">
        <v>2.6</v>
      </c>
      <c r="P1182" s="116">
        <v>2.7</v>
      </c>
      <c r="Q1182" s="116">
        <v>2.7</v>
      </c>
      <c r="R1182">
        <v>348951</v>
      </c>
    </row>
    <row r="1183" spans="1:18" x14ac:dyDescent="0.25">
      <c r="A1183" s="170">
        <v>43749</v>
      </c>
      <c r="B1183" s="116">
        <v>2.79</v>
      </c>
      <c r="C1183" s="116">
        <v>2.63</v>
      </c>
      <c r="D1183" s="116">
        <v>2.54</v>
      </c>
      <c r="E1183" s="116">
        <v>2.65</v>
      </c>
      <c r="F1183" s="116">
        <v>2.63</v>
      </c>
      <c r="G1183">
        <v>134497</v>
      </c>
      <c r="H1183" s="116"/>
      <c r="I1183" s="116"/>
      <c r="L1183" s="170">
        <v>43749</v>
      </c>
      <c r="M1183" s="116">
        <v>2.6</v>
      </c>
      <c r="N1183" s="116">
        <v>2.8</v>
      </c>
      <c r="O1183" s="116">
        <v>2.5499999999999998</v>
      </c>
      <c r="P1183" s="116">
        <v>2.7</v>
      </c>
      <c r="Q1183" s="116">
        <v>2.6</v>
      </c>
      <c r="R1183">
        <v>676075</v>
      </c>
    </row>
    <row r="1184" spans="1:18" x14ac:dyDescent="0.25">
      <c r="A1184" s="170">
        <v>43752</v>
      </c>
      <c r="B1184" s="116">
        <v>2.77</v>
      </c>
      <c r="C1184" s="116">
        <v>2.75</v>
      </c>
      <c r="D1184" s="116">
        <v>2.63</v>
      </c>
      <c r="E1184" s="116">
        <v>2.7</v>
      </c>
      <c r="F1184" s="116">
        <v>2.75</v>
      </c>
      <c r="G1184">
        <v>85534</v>
      </c>
      <c r="H1184" s="116"/>
      <c r="I1184" s="116"/>
      <c r="L1184" s="170">
        <v>43752</v>
      </c>
      <c r="M1184" s="116">
        <v>2.7</v>
      </c>
      <c r="N1184" s="116">
        <v>2.8</v>
      </c>
      <c r="O1184" s="116">
        <v>2.6</v>
      </c>
      <c r="P1184" s="116">
        <v>2.65</v>
      </c>
      <c r="Q1184" s="116">
        <v>2.7</v>
      </c>
      <c r="R1184">
        <v>426070</v>
      </c>
    </row>
    <row r="1185" spans="1:18" x14ac:dyDescent="0.25">
      <c r="A1185" s="170">
        <v>43753</v>
      </c>
      <c r="B1185" s="116">
        <v>2.76</v>
      </c>
      <c r="C1185" s="116">
        <v>2.6</v>
      </c>
      <c r="D1185" s="116">
        <v>2.4900000000000002</v>
      </c>
      <c r="E1185" s="116">
        <v>2.76</v>
      </c>
      <c r="F1185" s="116">
        <v>2.6</v>
      </c>
      <c r="G1185">
        <v>304122</v>
      </c>
      <c r="H1185" s="116"/>
      <c r="I1185" s="116"/>
      <c r="L1185" s="170">
        <v>43753</v>
      </c>
      <c r="M1185" s="116">
        <v>2.6</v>
      </c>
      <c r="N1185" s="116">
        <v>2.8</v>
      </c>
      <c r="O1185" s="116">
        <v>2.5</v>
      </c>
      <c r="P1185" s="116">
        <v>2.8</v>
      </c>
      <c r="Q1185" s="116">
        <v>2.6</v>
      </c>
      <c r="R1185">
        <v>578723</v>
      </c>
    </row>
    <row r="1186" spans="1:18" x14ac:dyDescent="0.25">
      <c r="A1186" s="170">
        <v>43754</v>
      </c>
      <c r="B1186" s="116">
        <v>2.86</v>
      </c>
      <c r="C1186" s="116">
        <v>2.62</v>
      </c>
      <c r="D1186" s="116">
        <v>2.56</v>
      </c>
      <c r="E1186" s="116">
        <v>2.7</v>
      </c>
      <c r="F1186" s="116">
        <v>2.62</v>
      </c>
      <c r="G1186">
        <v>324941</v>
      </c>
      <c r="H1186" s="116"/>
      <c r="I1186" s="116"/>
      <c r="L1186" s="170">
        <v>43754</v>
      </c>
      <c r="M1186" s="116">
        <v>2.6</v>
      </c>
      <c r="N1186" s="116">
        <v>2.85</v>
      </c>
      <c r="O1186" s="116">
        <v>2.5499999999999998</v>
      </c>
      <c r="P1186" s="116">
        <v>2.65</v>
      </c>
      <c r="Q1186" s="116">
        <v>2.6</v>
      </c>
      <c r="R1186">
        <v>2098144</v>
      </c>
    </row>
    <row r="1187" spans="1:18" x14ac:dyDescent="0.25">
      <c r="A1187" s="170">
        <v>43755</v>
      </c>
      <c r="B1187" s="116">
        <v>2.72</v>
      </c>
      <c r="C1187" s="116">
        <v>2.69</v>
      </c>
      <c r="D1187" s="116">
        <v>2.59</v>
      </c>
      <c r="E1187" s="116">
        <v>2.61</v>
      </c>
      <c r="F1187" s="116">
        <v>2.69</v>
      </c>
      <c r="G1187">
        <v>40831</v>
      </c>
      <c r="H1187" s="116"/>
      <c r="I1187" s="116"/>
      <c r="L1187" s="170">
        <v>43755</v>
      </c>
      <c r="M1187" s="116">
        <v>2.7</v>
      </c>
      <c r="N1187" s="116">
        <v>2.75</v>
      </c>
      <c r="O1187" s="116">
        <v>2.6</v>
      </c>
      <c r="P1187" s="116">
        <v>2.7</v>
      </c>
      <c r="Q1187" s="116">
        <v>2.7</v>
      </c>
      <c r="R1187">
        <v>440347</v>
      </c>
    </row>
    <row r="1188" spans="1:18" x14ac:dyDescent="0.25">
      <c r="A1188" s="170">
        <v>43756</v>
      </c>
      <c r="B1188" s="116">
        <v>2.8</v>
      </c>
      <c r="C1188" s="116">
        <v>2.73</v>
      </c>
      <c r="D1188" s="116">
        <v>2.64</v>
      </c>
      <c r="E1188" s="116">
        <v>2.68</v>
      </c>
      <c r="F1188" s="116">
        <v>2.73</v>
      </c>
      <c r="G1188">
        <v>154676</v>
      </c>
      <c r="H1188" s="116"/>
      <c r="I1188" s="116"/>
      <c r="L1188" s="170">
        <v>43756</v>
      </c>
      <c r="M1188" s="116">
        <v>2.7</v>
      </c>
      <c r="N1188" s="116">
        <v>2.8</v>
      </c>
      <c r="O1188" s="116">
        <v>2.65</v>
      </c>
      <c r="P1188" s="116">
        <v>2.7</v>
      </c>
      <c r="Q1188" s="116">
        <v>2.7</v>
      </c>
      <c r="R1188">
        <v>928795</v>
      </c>
    </row>
    <row r="1189" spans="1:18" x14ac:dyDescent="0.25">
      <c r="A1189" s="170">
        <v>43760</v>
      </c>
      <c r="B1189" s="116">
        <v>2.8</v>
      </c>
      <c r="C1189" s="116">
        <v>2.73</v>
      </c>
      <c r="D1189" s="116">
        <v>2.71</v>
      </c>
      <c r="E1189" s="116">
        <v>2.73</v>
      </c>
      <c r="F1189" s="116">
        <v>2.73</v>
      </c>
      <c r="G1189">
        <v>70865</v>
      </c>
      <c r="H1189" s="116"/>
      <c r="I1189" s="116"/>
      <c r="L1189" s="170">
        <v>43760</v>
      </c>
      <c r="M1189" s="116">
        <v>2.7</v>
      </c>
      <c r="N1189" s="116">
        <v>2.8</v>
      </c>
      <c r="O1189" s="116">
        <v>2.65</v>
      </c>
      <c r="P1189" s="116">
        <v>2.7</v>
      </c>
      <c r="Q1189" s="116">
        <v>2.7</v>
      </c>
      <c r="R1189">
        <v>418115</v>
      </c>
    </row>
    <row r="1190" spans="1:18" x14ac:dyDescent="0.25">
      <c r="A1190" s="170">
        <v>43761</v>
      </c>
      <c r="B1190" s="116">
        <v>2.81</v>
      </c>
      <c r="C1190" s="116">
        <v>2.79</v>
      </c>
      <c r="D1190" s="116">
        <v>2.69</v>
      </c>
      <c r="E1190" s="116">
        <v>2.78</v>
      </c>
      <c r="F1190" s="116">
        <v>2.79</v>
      </c>
      <c r="G1190">
        <v>130208</v>
      </c>
      <c r="H1190" s="116"/>
      <c r="I1190" s="116"/>
      <c r="L1190" s="170">
        <v>43761</v>
      </c>
      <c r="M1190" s="116">
        <v>2.75</v>
      </c>
      <c r="N1190" s="116">
        <v>2.8</v>
      </c>
      <c r="O1190" s="116">
        <v>2.7</v>
      </c>
      <c r="P1190" s="116">
        <v>2.7</v>
      </c>
      <c r="Q1190" s="116">
        <v>2.75</v>
      </c>
      <c r="R1190">
        <v>399767</v>
      </c>
    </row>
    <row r="1191" spans="1:18" x14ac:dyDescent="0.25">
      <c r="A1191" s="170">
        <v>43762</v>
      </c>
      <c r="B1191" s="116">
        <v>2.8</v>
      </c>
      <c r="C1191" s="116">
        <v>2.64</v>
      </c>
      <c r="D1191" s="116">
        <v>2.61</v>
      </c>
      <c r="E1191" s="116">
        <v>2.7</v>
      </c>
      <c r="F1191" s="116">
        <v>2.64</v>
      </c>
      <c r="G1191">
        <v>50184</v>
      </c>
      <c r="H1191" s="116"/>
      <c r="I1191" s="116"/>
      <c r="L1191" s="170">
        <v>43762</v>
      </c>
      <c r="M1191" s="116">
        <v>2.65</v>
      </c>
      <c r="N1191" s="116">
        <v>2.8</v>
      </c>
      <c r="O1191" s="116">
        <v>2.6</v>
      </c>
      <c r="P1191" s="116">
        <v>2.75</v>
      </c>
      <c r="Q1191" s="116">
        <v>2.65</v>
      </c>
      <c r="R1191">
        <v>478854</v>
      </c>
    </row>
    <row r="1192" spans="1:18" x14ac:dyDescent="0.25">
      <c r="A1192" s="170">
        <v>43763</v>
      </c>
      <c r="B1192" s="116">
        <v>2.85</v>
      </c>
      <c r="C1192" s="116">
        <v>2.57</v>
      </c>
      <c r="D1192" s="116">
        <v>2.44</v>
      </c>
      <c r="E1192" s="116">
        <v>2.85</v>
      </c>
      <c r="F1192" s="116">
        <v>2.57</v>
      </c>
      <c r="G1192">
        <v>199951</v>
      </c>
      <c r="H1192" s="116"/>
      <c r="I1192" s="116"/>
      <c r="L1192" s="170">
        <v>43763</v>
      </c>
      <c r="M1192" s="116">
        <v>2.5499999999999998</v>
      </c>
      <c r="N1192" s="116">
        <v>2.75</v>
      </c>
      <c r="O1192" s="116">
        <v>2.4500000000000002</v>
      </c>
      <c r="P1192" s="116">
        <v>2.65</v>
      </c>
      <c r="Q1192" s="116">
        <v>2.5499999999999998</v>
      </c>
      <c r="R1192">
        <v>1406098</v>
      </c>
    </row>
    <row r="1193" spans="1:18" x14ac:dyDescent="0.25">
      <c r="A1193" s="170">
        <v>43765</v>
      </c>
      <c r="B1193" s="116">
        <v>2.78</v>
      </c>
      <c r="C1193" s="116">
        <v>2.65</v>
      </c>
      <c r="D1193" s="116">
        <v>2.56</v>
      </c>
      <c r="E1193" s="116">
        <v>2.78</v>
      </c>
      <c r="F1193" s="116">
        <v>2.65</v>
      </c>
      <c r="G1193">
        <v>26011</v>
      </c>
      <c r="H1193" s="116"/>
      <c r="I1193" s="116"/>
      <c r="L1193" s="170">
        <v>43765</v>
      </c>
      <c r="M1193" s="116">
        <v>2.65</v>
      </c>
      <c r="N1193" s="116">
        <v>2.7</v>
      </c>
      <c r="O1193" s="116">
        <v>2.5499999999999998</v>
      </c>
      <c r="P1193" s="116">
        <v>2.5499999999999998</v>
      </c>
      <c r="Q1193" s="116">
        <v>2.65</v>
      </c>
      <c r="R1193">
        <v>173627</v>
      </c>
    </row>
    <row r="1194" spans="1:18" x14ac:dyDescent="0.25">
      <c r="A1194" s="170">
        <v>43767</v>
      </c>
      <c r="B1194" s="116">
        <v>2.86</v>
      </c>
      <c r="C1194" s="116">
        <v>2.78</v>
      </c>
      <c r="D1194" s="116">
        <v>2.6</v>
      </c>
      <c r="E1194" s="116">
        <v>2.8</v>
      </c>
      <c r="F1194" s="116">
        <v>2.78</v>
      </c>
      <c r="G1194">
        <v>192285</v>
      </c>
      <c r="H1194" s="116"/>
      <c r="I1194" s="116"/>
      <c r="L1194" s="170">
        <v>43767</v>
      </c>
      <c r="M1194" s="116">
        <v>2.8</v>
      </c>
      <c r="N1194" s="116">
        <v>2.85</v>
      </c>
      <c r="O1194" s="116">
        <v>2.5499999999999998</v>
      </c>
      <c r="P1194" s="116">
        <v>2.65</v>
      </c>
      <c r="Q1194" s="116">
        <v>2.8</v>
      </c>
      <c r="R1194">
        <v>1419729</v>
      </c>
    </row>
    <row r="1195" spans="1:18" x14ac:dyDescent="0.25">
      <c r="A1195" s="170">
        <v>43768</v>
      </c>
      <c r="B1195" s="116">
        <v>2.85</v>
      </c>
      <c r="C1195" s="116">
        <v>2.76</v>
      </c>
      <c r="D1195" s="116">
        <v>2.71</v>
      </c>
      <c r="E1195" s="116">
        <v>2.71</v>
      </c>
      <c r="F1195" s="116">
        <v>2.76</v>
      </c>
      <c r="G1195">
        <v>243705</v>
      </c>
      <c r="H1195" s="116"/>
      <c r="I1195" s="116"/>
      <c r="L1195" s="170">
        <v>43768</v>
      </c>
      <c r="M1195" s="116">
        <v>2.8</v>
      </c>
      <c r="N1195" s="116">
        <v>2.85</v>
      </c>
      <c r="O1195" s="116">
        <v>2.7</v>
      </c>
      <c r="P1195" s="116">
        <v>2.8</v>
      </c>
      <c r="Q1195" s="116">
        <v>2.8</v>
      </c>
      <c r="R1195">
        <v>390212</v>
      </c>
    </row>
    <row r="1196" spans="1:18" x14ac:dyDescent="0.25">
      <c r="A1196" s="170">
        <v>43769</v>
      </c>
      <c r="B1196" s="116">
        <v>2.81</v>
      </c>
      <c r="C1196" s="116">
        <v>2.69</v>
      </c>
      <c r="D1196" s="116">
        <v>2.61</v>
      </c>
      <c r="E1196" s="116">
        <v>2.8</v>
      </c>
      <c r="F1196" s="116">
        <v>2.69</v>
      </c>
      <c r="G1196">
        <v>229553</v>
      </c>
      <c r="H1196" s="116"/>
      <c r="I1196" s="116"/>
      <c r="L1196" s="170">
        <v>43769</v>
      </c>
      <c r="M1196" s="116">
        <v>2.7</v>
      </c>
      <c r="N1196" s="116">
        <v>2.8</v>
      </c>
      <c r="O1196" s="116">
        <v>2.6</v>
      </c>
      <c r="P1196" s="116">
        <v>2.75</v>
      </c>
      <c r="Q1196" s="116">
        <v>2.7</v>
      </c>
      <c r="R1196">
        <v>1067734</v>
      </c>
    </row>
    <row r="1197" spans="1:18" x14ac:dyDescent="0.25">
      <c r="A1197" s="170">
        <v>43770</v>
      </c>
      <c r="B1197" s="116">
        <v>2.75</v>
      </c>
      <c r="C1197" s="116">
        <v>2.64</v>
      </c>
      <c r="D1197" s="116">
        <v>2.6</v>
      </c>
      <c r="E1197" s="116">
        <v>2.75</v>
      </c>
      <c r="F1197" s="116">
        <v>2.64</v>
      </c>
      <c r="G1197">
        <v>382439</v>
      </c>
      <c r="H1197" s="116"/>
      <c r="I1197" s="116"/>
      <c r="L1197" s="170">
        <v>43770</v>
      </c>
      <c r="M1197" s="116">
        <v>2.65</v>
      </c>
      <c r="N1197" s="116">
        <v>2.75</v>
      </c>
      <c r="O1197" s="116">
        <v>2.5499999999999998</v>
      </c>
      <c r="P1197" s="116">
        <v>2.65</v>
      </c>
      <c r="Q1197" s="116">
        <v>2.65</v>
      </c>
      <c r="R1197">
        <v>1205266</v>
      </c>
    </row>
    <row r="1198" spans="1:18" x14ac:dyDescent="0.25">
      <c r="A1198" s="170">
        <v>43773</v>
      </c>
      <c r="B1198" s="116">
        <v>2.75</v>
      </c>
      <c r="C1198" s="116">
        <v>2.65</v>
      </c>
      <c r="D1198" s="116">
        <v>2.59</v>
      </c>
      <c r="E1198" s="116">
        <v>2.75</v>
      </c>
      <c r="F1198" s="116">
        <v>2.65</v>
      </c>
      <c r="G1198">
        <v>435578</v>
      </c>
      <c r="H1198" s="116"/>
      <c r="I1198" s="116"/>
      <c r="L1198" s="170">
        <v>43773</v>
      </c>
      <c r="M1198" s="116">
        <v>2.65</v>
      </c>
      <c r="N1198" s="116">
        <v>2.7</v>
      </c>
      <c r="O1198" s="116">
        <v>2.6</v>
      </c>
      <c r="P1198" s="116">
        <v>2.6</v>
      </c>
      <c r="Q1198" s="116">
        <v>2.65</v>
      </c>
      <c r="R1198">
        <v>352931</v>
      </c>
    </row>
    <row r="1199" spans="1:18" x14ac:dyDescent="0.25">
      <c r="A1199" s="170">
        <v>43774</v>
      </c>
      <c r="B1199" s="116">
        <v>2.72</v>
      </c>
      <c r="C1199" s="116">
        <v>2.66</v>
      </c>
      <c r="D1199" s="116">
        <v>2.64</v>
      </c>
      <c r="E1199" s="116">
        <v>2.7</v>
      </c>
      <c r="F1199" s="116">
        <v>2.66</v>
      </c>
      <c r="G1199">
        <v>452879</v>
      </c>
      <c r="H1199" s="116"/>
      <c r="I1199" s="116"/>
      <c r="L1199" s="170">
        <v>43774</v>
      </c>
      <c r="M1199" s="116">
        <v>2.65</v>
      </c>
      <c r="N1199" s="116">
        <v>2.7</v>
      </c>
      <c r="O1199" s="116">
        <v>2.65</v>
      </c>
      <c r="P1199" s="116">
        <v>2.7</v>
      </c>
      <c r="Q1199" s="116">
        <v>2.65</v>
      </c>
      <c r="R1199">
        <v>358253</v>
      </c>
    </row>
    <row r="1200" spans="1:18" x14ac:dyDescent="0.25">
      <c r="A1200" s="170">
        <v>43775</v>
      </c>
      <c r="B1200" s="116">
        <v>2.69</v>
      </c>
      <c r="C1200" s="116">
        <v>2.65</v>
      </c>
      <c r="D1200" s="116">
        <v>2.62</v>
      </c>
      <c r="E1200" s="116">
        <v>2.66</v>
      </c>
      <c r="F1200" s="116">
        <v>2.65</v>
      </c>
      <c r="G1200">
        <v>47473</v>
      </c>
      <c r="H1200" s="116"/>
      <c r="I1200" s="116"/>
      <c r="L1200" s="170">
        <v>43775</v>
      </c>
      <c r="M1200" s="116">
        <v>2.65</v>
      </c>
      <c r="N1200" s="116">
        <v>2.7</v>
      </c>
      <c r="O1200" s="116">
        <v>2.6</v>
      </c>
      <c r="P1200" s="116">
        <v>2.7</v>
      </c>
      <c r="Q1200" s="116">
        <v>2.65</v>
      </c>
      <c r="R1200">
        <v>184549</v>
      </c>
    </row>
    <row r="1201" spans="1:18" x14ac:dyDescent="0.25">
      <c r="A1201" s="170">
        <v>43776</v>
      </c>
      <c r="B1201" s="116">
        <v>2.7</v>
      </c>
      <c r="C1201" s="116">
        <v>2.66</v>
      </c>
      <c r="D1201" s="116">
        <v>2.65</v>
      </c>
      <c r="E1201" s="116">
        <v>2.7</v>
      </c>
      <c r="F1201" s="116">
        <v>2.66</v>
      </c>
      <c r="G1201">
        <v>30152</v>
      </c>
      <c r="H1201" s="116"/>
      <c r="I1201" s="116"/>
      <c r="L1201" s="170">
        <v>43776</v>
      </c>
      <c r="M1201" s="116">
        <v>2.65</v>
      </c>
      <c r="N1201" s="116">
        <v>2.7</v>
      </c>
      <c r="O1201" s="116">
        <v>2.65</v>
      </c>
      <c r="P1201" s="116">
        <v>2.7</v>
      </c>
      <c r="Q1201" s="116">
        <v>2.65</v>
      </c>
      <c r="R1201">
        <v>196493</v>
      </c>
    </row>
    <row r="1202" spans="1:18" x14ac:dyDescent="0.25">
      <c r="A1202" s="170">
        <v>43777</v>
      </c>
      <c r="B1202" s="116">
        <v>2.92</v>
      </c>
      <c r="C1202" s="116">
        <v>2.9</v>
      </c>
      <c r="D1202" s="116">
        <v>2.65</v>
      </c>
      <c r="E1202" s="116">
        <v>2.7</v>
      </c>
      <c r="F1202" s="116">
        <v>2.9</v>
      </c>
      <c r="G1202">
        <v>595939</v>
      </c>
      <c r="H1202" s="116"/>
      <c r="I1202" s="116"/>
      <c r="L1202" s="170">
        <v>43777</v>
      </c>
      <c r="M1202" s="116">
        <v>2.9</v>
      </c>
      <c r="N1202" s="116">
        <v>2.9</v>
      </c>
      <c r="O1202" s="116">
        <v>2.6</v>
      </c>
      <c r="P1202" s="116">
        <v>2.65</v>
      </c>
      <c r="Q1202" s="116">
        <v>2.9</v>
      </c>
      <c r="R1202">
        <v>1930351</v>
      </c>
    </row>
    <row r="1203" spans="1:18" x14ac:dyDescent="0.25">
      <c r="A1203" s="170">
        <v>43780</v>
      </c>
      <c r="B1203" s="116">
        <v>3.19</v>
      </c>
      <c r="C1203" s="116">
        <v>3.16</v>
      </c>
      <c r="D1203" s="116">
        <v>2.9</v>
      </c>
      <c r="E1203" s="116">
        <v>2.95</v>
      </c>
      <c r="F1203" s="116">
        <v>3.16</v>
      </c>
      <c r="G1203">
        <v>858836</v>
      </c>
      <c r="H1203" s="116"/>
      <c r="I1203" s="116"/>
      <c r="L1203" s="170">
        <v>43780</v>
      </c>
      <c r="M1203" s="116">
        <v>3.15</v>
      </c>
      <c r="N1203" s="116">
        <v>3.15</v>
      </c>
      <c r="O1203" s="116">
        <v>2.9</v>
      </c>
      <c r="P1203" s="116">
        <v>3</v>
      </c>
      <c r="Q1203" s="116">
        <v>3.15</v>
      </c>
      <c r="R1203">
        <v>2059112</v>
      </c>
    </row>
    <row r="1204" spans="1:18" x14ac:dyDescent="0.25">
      <c r="A1204" s="170">
        <v>43782</v>
      </c>
      <c r="B1204" s="116">
        <v>3.16</v>
      </c>
      <c r="C1204" s="116">
        <v>2.88</v>
      </c>
      <c r="D1204" s="116">
        <v>2.86</v>
      </c>
      <c r="E1204" s="116">
        <v>3.15</v>
      </c>
      <c r="F1204" s="116">
        <v>2.88</v>
      </c>
      <c r="G1204">
        <v>310880</v>
      </c>
      <c r="H1204" s="116"/>
      <c r="I1204" s="116"/>
      <c r="L1204" s="170">
        <v>43782</v>
      </c>
      <c r="M1204" s="116">
        <v>2.85</v>
      </c>
      <c r="N1204" s="116">
        <v>3.2</v>
      </c>
      <c r="O1204" s="116">
        <v>2.85</v>
      </c>
      <c r="P1204" s="116">
        <v>3.1</v>
      </c>
      <c r="Q1204" s="116">
        <v>2.85</v>
      </c>
      <c r="R1204">
        <v>1217372</v>
      </c>
    </row>
    <row r="1205" spans="1:18" x14ac:dyDescent="0.25">
      <c r="A1205" s="170">
        <v>43783</v>
      </c>
      <c r="B1205" s="116">
        <v>3.07</v>
      </c>
      <c r="C1205" s="116">
        <v>2.81</v>
      </c>
      <c r="D1205" s="116">
        <v>2.75</v>
      </c>
      <c r="E1205" s="116">
        <v>2.9</v>
      </c>
      <c r="F1205" s="116">
        <v>2.81</v>
      </c>
      <c r="G1205">
        <v>165637</v>
      </c>
      <c r="H1205" s="116"/>
      <c r="I1205" s="116"/>
      <c r="L1205" s="170">
        <v>43783</v>
      </c>
      <c r="M1205" s="116">
        <v>2.8</v>
      </c>
      <c r="N1205" s="116">
        <v>3</v>
      </c>
      <c r="O1205" s="116">
        <v>2.75</v>
      </c>
      <c r="P1205" s="116">
        <v>2.9</v>
      </c>
      <c r="Q1205" s="116">
        <v>2.8</v>
      </c>
      <c r="R1205">
        <v>682864</v>
      </c>
    </row>
    <row r="1206" spans="1:18" x14ac:dyDescent="0.25">
      <c r="A1206" s="170">
        <v>43784</v>
      </c>
      <c r="B1206" s="116">
        <v>3</v>
      </c>
      <c r="C1206" s="116">
        <v>2.71</v>
      </c>
      <c r="D1206" s="116">
        <v>2.6</v>
      </c>
      <c r="E1206" s="116">
        <v>2.75</v>
      </c>
      <c r="F1206" s="116">
        <v>2.71</v>
      </c>
      <c r="G1206">
        <v>357619</v>
      </c>
      <c r="H1206" s="116"/>
      <c r="I1206" s="116"/>
      <c r="L1206" s="170">
        <v>43784</v>
      </c>
      <c r="M1206" s="116">
        <v>2.7</v>
      </c>
      <c r="N1206" s="116">
        <v>3</v>
      </c>
      <c r="O1206" s="116">
        <v>2.6</v>
      </c>
      <c r="P1206" s="116">
        <v>2.8</v>
      </c>
      <c r="Q1206" s="116">
        <v>2.7</v>
      </c>
      <c r="R1206">
        <v>2109973</v>
      </c>
    </row>
    <row r="1207" spans="1:18" x14ac:dyDescent="0.25">
      <c r="A1207" s="170">
        <v>43787</v>
      </c>
      <c r="B1207" s="116">
        <v>2.98</v>
      </c>
      <c r="C1207" s="116">
        <v>2.98</v>
      </c>
      <c r="D1207" s="116">
        <v>2.7</v>
      </c>
      <c r="E1207" s="116">
        <v>2.7</v>
      </c>
      <c r="F1207" s="116">
        <v>2.98</v>
      </c>
      <c r="G1207">
        <v>426935</v>
      </c>
      <c r="H1207" s="116"/>
      <c r="I1207" s="116"/>
      <c r="L1207" s="170">
        <v>43787</v>
      </c>
      <c r="M1207" s="116">
        <v>2.95</v>
      </c>
      <c r="N1207" s="116">
        <v>2.95</v>
      </c>
      <c r="O1207" s="116">
        <v>2.7</v>
      </c>
      <c r="P1207" s="116">
        <v>2.7</v>
      </c>
      <c r="Q1207" s="116">
        <v>2.95</v>
      </c>
      <c r="R1207">
        <v>1828778</v>
      </c>
    </row>
    <row r="1208" spans="1:18" x14ac:dyDescent="0.25">
      <c r="A1208" s="170">
        <v>43788</v>
      </c>
      <c r="B1208" s="116">
        <v>3.1</v>
      </c>
      <c r="C1208" s="116">
        <v>2.82</v>
      </c>
      <c r="D1208" s="116">
        <v>2.75</v>
      </c>
      <c r="E1208" s="116">
        <v>2.98</v>
      </c>
      <c r="F1208" s="116">
        <v>2.82</v>
      </c>
      <c r="G1208">
        <v>449835</v>
      </c>
      <c r="H1208" s="116"/>
      <c r="I1208" s="116"/>
      <c r="L1208" s="170">
        <v>43788</v>
      </c>
      <c r="M1208" s="116">
        <v>2.8</v>
      </c>
      <c r="N1208" s="116">
        <v>3.1</v>
      </c>
      <c r="O1208" s="116">
        <v>2.7</v>
      </c>
      <c r="P1208" s="116">
        <v>3.1</v>
      </c>
      <c r="Q1208" s="116">
        <v>2.8</v>
      </c>
      <c r="R1208">
        <v>3242648</v>
      </c>
    </row>
    <row r="1209" spans="1:18" x14ac:dyDescent="0.25">
      <c r="A1209" s="170">
        <v>43789</v>
      </c>
      <c r="B1209" s="116">
        <v>2.99</v>
      </c>
      <c r="C1209" s="116">
        <v>2.77</v>
      </c>
      <c r="D1209" s="116">
        <v>2.74</v>
      </c>
      <c r="E1209" s="116">
        <v>2.9</v>
      </c>
      <c r="F1209" s="116">
        <v>2.77</v>
      </c>
      <c r="G1209">
        <v>443486</v>
      </c>
      <c r="H1209" s="116"/>
      <c r="I1209" s="116"/>
      <c r="L1209" s="170">
        <v>43789</v>
      </c>
      <c r="M1209" s="116">
        <v>2.75</v>
      </c>
      <c r="N1209" s="116">
        <v>3</v>
      </c>
      <c r="O1209" s="116">
        <v>2.7</v>
      </c>
      <c r="P1209" s="116">
        <v>2.9</v>
      </c>
      <c r="Q1209" s="116">
        <v>2.75</v>
      </c>
      <c r="R1209">
        <v>1781031</v>
      </c>
    </row>
    <row r="1210" spans="1:18" x14ac:dyDescent="0.25">
      <c r="A1210" s="170">
        <v>43790</v>
      </c>
      <c r="B1210" s="116">
        <v>3.03</v>
      </c>
      <c r="C1210" s="116">
        <v>2.94</v>
      </c>
      <c r="D1210" s="116">
        <v>2.85</v>
      </c>
      <c r="E1210" s="116">
        <v>2.92</v>
      </c>
      <c r="F1210" s="116">
        <v>2.94</v>
      </c>
      <c r="G1210">
        <v>199364</v>
      </c>
      <c r="H1210" s="116"/>
      <c r="I1210" s="116"/>
      <c r="L1210" s="170">
        <v>43790</v>
      </c>
      <c r="M1210" s="116">
        <v>2.9</v>
      </c>
      <c r="N1210" s="116">
        <v>3</v>
      </c>
      <c r="O1210" s="116">
        <v>2.85</v>
      </c>
      <c r="P1210" s="116">
        <v>3</v>
      </c>
      <c r="Q1210" s="116">
        <v>2.9</v>
      </c>
      <c r="R1210">
        <v>2053332</v>
      </c>
    </row>
    <row r="1211" spans="1:18" x14ac:dyDescent="0.25">
      <c r="A1211" s="170">
        <v>43791</v>
      </c>
      <c r="B1211" s="116">
        <v>2.99</v>
      </c>
      <c r="C1211" s="116">
        <v>2.78</v>
      </c>
      <c r="D1211" s="116">
        <v>2.76</v>
      </c>
      <c r="E1211" s="116">
        <v>2.9</v>
      </c>
      <c r="F1211" s="116">
        <v>2.78</v>
      </c>
      <c r="G1211">
        <v>285348</v>
      </c>
      <c r="H1211" s="116"/>
      <c r="I1211" s="116"/>
      <c r="L1211" s="170">
        <v>43791</v>
      </c>
      <c r="M1211" s="116">
        <v>2.8</v>
      </c>
      <c r="N1211" s="116">
        <v>3</v>
      </c>
      <c r="O1211" s="116">
        <v>2.75</v>
      </c>
      <c r="P1211" s="116">
        <v>2.95</v>
      </c>
      <c r="Q1211" s="116">
        <v>2.8</v>
      </c>
      <c r="R1211">
        <v>985432</v>
      </c>
    </row>
    <row r="1212" spans="1:18" x14ac:dyDescent="0.25">
      <c r="A1212" s="170">
        <v>43794</v>
      </c>
      <c r="B1212" s="116">
        <v>2.86</v>
      </c>
      <c r="C1212" s="116">
        <v>2.8</v>
      </c>
      <c r="D1212" s="116">
        <v>2.75</v>
      </c>
      <c r="E1212" s="116">
        <v>2.86</v>
      </c>
      <c r="F1212" s="116">
        <v>2.8</v>
      </c>
      <c r="G1212">
        <v>63633</v>
      </c>
      <c r="H1212" s="116"/>
      <c r="I1212" s="116"/>
      <c r="L1212" s="170">
        <v>43794</v>
      </c>
      <c r="M1212" s="116">
        <v>2.8</v>
      </c>
      <c r="N1212" s="116">
        <v>2.85</v>
      </c>
      <c r="O1212" s="116">
        <v>2.75</v>
      </c>
      <c r="P1212" s="116">
        <v>2.8</v>
      </c>
      <c r="Q1212" s="116">
        <v>2.8</v>
      </c>
      <c r="R1212">
        <v>538137</v>
      </c>
    </row>
    <row r="1213" spans="1:18" x14ac:dyDescent="0.25">
      <c r="A1213" s="170">
        <v>43795</v>
      </c>
      <c r="B1213" s="116">
        <v>3</v>
      </c>
      <c r="C1213" s="116">
        <v>2.86</v>
      </c>
      <c r="D1213" s="116">
        <v>2.8</v>
      </c>
      <c r="E1213" s="116">
        <v>2.89</v>
      </c>
      <c r="F1213" s="116">
        <v>2.86</v>
      </c>
      <c r="G1213">
        <v>343220</v>
      </c>
      <c r="H1213" s="116"/>
      <c r="I1213" s="116"/>
      <c r="L1213" s="170">
        <v>43795</v>
      </c>
      <c r="M1213" s="116">
        <v>2.85</v>
      </c>
      <c r="N1213" s="116">
        <v>3</v>
      </c>
      <c r="O1213" s="116">
        <v>2.85</v>
      </c>
      <c r="P1213" s="116">
        <v>3</v>
      </c>
      <c r="Q1213" s="116">
        <v>2.85</v>
      </c>
      <c r="R1213">
        <v>1105205</v>
      </c>
    </row>
    <row r="1214" spans="1:18" x14ac:dyDescent="0.25">
      <c r="A1214" s="170">
        <v>43796</v>
      </c>
      <c r="B1214" s="116">
        <v>2.88</v>
      </c>
      <c r="C1214" s="116">
        <v>2.8</v>
      </c>
      <c r="D1214" s="116">
        <v>2.75</v>
      </c>
      <c r="E1214" s="116">
        <v>2.88</v>
      </c>
      <c r="F1214" s="116">
        <v>2.8</v>
      </c>
      <c r="G1214">
        <v>122392</v>
      </c>
      <c r="H1214" s="116"/>
      <c r="I1214" s="116"/>
      <c r="L1214" s="170">
        <v>43796</v>
      </c>
      <c r="M1214" s="116">
        <v>2.8</v>
      </c>
      <c r="N1214" s="116">
        <v>2.9</v>
      </c>
      <c r="O1214" s="116">
        <v>2.75</v>
      </c>
      <c r="P1214" s="116">
        <v>2.85</v>
      </c>
      <c r="Q1214" s="116">
        <v>2.8</v>
      </c>
      <c r="R1214">
        <v>567288</v>
      </c>
    </row>
    <row r="1215" spans="1:18" x14ac:dyDescent="0.25">
      <c r="A1215" s="170">
        <v>43797</v>
      </c>
      <c r="B1215" s="116">
        <v>2.9</v>
      </c>
      <c r="C1215" s="116">
        <v>2.78</v>
      </c>
      <c r="D1215" s="116">
        <v>2.76</v>
      </c>
      <c r="E1215" s="116">
        <v>2.9</v>
      </c>
      <c r="F1215" s="116">
        <v>2.78</v>
      </c>
      <c r="G1215">
        <v>92368</v>
      </c>
      <c r="H1215" s="116"/>
      <c r="I1215" s="116"/>
      <c r="L1215" s="170">
        <v>43797</v>
      </c>
      <c r="M1215" s="116">
        <v>2.75</v>
      </c>
      <c r="N1215" s="116">
        <v>2.85</v>
      </c>
      <c r="O1215" s="116">
        <v>2.75</v>
      </c>
      <c r="P1215" s="116">
        <v>2.8</v>
      </c>
      <c r="Q1215" s="116">
        <v>2.75</v>
      </c>
      <c r="R1215">
        <v>470140</v>
      </c>
    </row>
    <row r="1216" spans="1:18" x14ac:dyDescent="0.25">
      <c r="A1216" s="170">
        <v>43798</v>
      </c>
      <c r="B1216" s="116">
        <v>2.84</v>
      </c>
      <c r="C1216" s="116">
        <v>2.74</v>
      </c>
      <c r="D1216" s="116">
        <v>2.74</v>
      </c>
      <c r="E1216" s="116">
        <v>2.84</v>
      </c>
      <c r="F1216" s="116">
        <v>2.74</v>
      </c>
      <c r="G1216">
        <v>281006</v>
      </c>
      <c r="H1216" s="116"/>
      <c r="I1216" s="116"/>
      <c r="L1216" s="170">
        <v>43798</v>
      </c>
      <c r="M1216" s="116">
        <v>2.75</v>
      </c>
      <c r="N1216" s="116">
        <v>2.85</v>
      </c>
      <c r="O1216" s="116">
        <v>2.75</v>
      </c>
      <c r="P1216" s="116">
        <v>2.85</v>
      </c>
      <c r="Q1216" s="116">
        <v>2.75</v>
      </c>
      <c r="R1216">
        <v>523272</v>
      </c>
    </row>
    <row r="1217" spans="1:18" x14ac:dyDescent="0.25">
      <c r="A1217" s="170">
        <v>43801</v>
      </c>
      <c r="B1217" s="116">
        <v>2.9</v>
      </c>
      <c r="C1217" s="116">
        <v>2.7</v>
      </c>
      <c r="D1217" s="116">
        <v>2.67</v>
      </c>
      <c r="E1217" s="116">
        <v>2.9</v>
      </c>
      <c r="F1217" s="116">
        <v>2.7</v>
      </c>
      <c r="G1217">
        <v>325136</v>
      </c>
      <c r="H1217" s="116"/>
      <c r="I1217" s="116"/>
      <c r="L1217" s="170">
        <v>43801</v>
      </c>
      <c r="M1217" s="116">
        <v>2.7</v>
      </c>
      <c r="N1217" s="116">
        <v>2.85</v>
      </c>
      <c r="O1217" s="116">
        <v>2.65</v>
      </c>
      <c r="P1217" s="116">
        <v>2.85</v>
      </c>
      <c r="Q1217" s="116">
        <v>2.7</v>
      </c>
      <c r="R1217">
        <v>1004861</v>
      </c>
    </row>
    <row r="1218" spans="1:18" x14ac:dyDescent="0.25">
      <c r="A1218" s="170">
        <v>43802</v>
      </c>
      <c r="B1218" s="116">
        <v>2.71</v>
      </c>
      <c r="C1218" s="116">
        <v>2.65</v>
      </c>
      <c r="D1218" s="116">
        <v>2.65</v>
      </c>
      <c r="E1218" s="116">
        <v>2.71</v>
      </c>
      <c r="F1218" s="116">
        <v>2.65</v>
      </c>
      <c r="G1218">
        <v>199906</v>
      </c>
      <c r="H1218" s="116"/>
      <c r="I1218" s="116"/>
      <c r="L1218" s="170">
        <v>43802</v>
      </c>
      <c r="M1218" s="116">
        <v>2.65</v>
      </c>
      <c r="N1218" s="116">
        <v>2.7</v>
      </c>
      <c r="O1218" s="116">
        <v>2.65</v>
      </c>
      <c r="P1218" s="116">
        <v>2.7</v>
      </c>
      <c r="Q1218" s="116">
        <v>2.65</v>
      </c>
      <c r="R1218">
        <v>414978</v>
      </c>
    </row>
    <row r="1219" spans="1:18" x14ac:dyDescent="0.25">
      <c r="A1219" s="170">
        <v>43803</v>
      </c>
      <c r="B1219" s="116">
        <v>2.68</v>
      </c>
      <c r="C1219" s="116">
        <v>2.64</v>
      </c>
      <c r="D1219" s="116">
        <v>2.61</v>
      </c>
      <c r="E1219" s="116">
        <v>2.65</v>
      </c>
      <c r="F1219" s="116">
        <v>2.64</v>
      </c>
      <c r="G1219">
        <v>106482</v>
      </c>
      <c r="H1219" s="116"/>
      <c r="I1219" s="116"/>
      <c r="L1219" s="170">
        <v>43803</v>
      </c>
      <c r="M1219" s="116">
        <v>2.65</v>
      </c>
      <c r="N1219" s="116">
        <v>2.7</v>
      </c>
      <c r="O1219" s="116">
        <v>2.6</v>
      </c>
      <c r="P1219" s="116">
        <v>2.65</v>
      </c>
      <c r="Q1219" s="116">
        <v>2.65</v>
      </c>
      <c r="R1219">
        <v>619303</v>
      </c>
    </row>
    <row r="1220" spans="1:18" x14ac:dyDescent="0.25">
      <c r="A1220" s="170">
        <v>43804</v>
      </c>
      <c r="B1220" s="116">
        <v>2.74</v>
      </c>
      <c r="C1220" s="116">
        <v>2.68</v>
      </c>
      <c r="D1220" s="116">
        <v>2.64</v>
      </c>
      <c r="E1220" s="116">
        <v>2.64</v>
      </c>
      <c r="F1220" s="116">
        <v>2.68</v>
      </c>
      <c r="G1220">
        <v>66941</v>
      </c>
      <c r="H1220" s="116"/>
      <c r="I1220" s="116"/>
      <c r="L1220" s="170">
        <v>43804</v>
      </c>
      <c r="M1220" s="116">
        <v>2.65</v>
      </c>
      <c r="N1220" s="116">
        <v>2.75</v>
      </c>
      <c r="O1220" s="116">
        <v>2.65</v>
      </c>
      <c r="P1220" s="116">
        <v>2.65</v>
      </c>
      <c r="Q1220" s="116">
        <v>2.65</v>
      </c>
      <c r="R1220">
        <v>428807</v>
      </c>
    </row>
    <row r="1221" spans="1:18" x14ac:dyDescent="0.25">
      <c r="A1221" s="170">
        <v>43805</v>
      </c>
      <c r="B1221" s="116">
        <v>2.69</v>
      </c>
      <c r="C1221" s="116">
        <v>2.61</v>
      </c>
      <c r="D1221" s="116">
        <v>2.57</v>
      </c>
      <c r="E1221" s="116">
        <v>2.66</v>
      </c>
      <c r="F1221" s="116">
        <v>2.61</v>
      </c>
      <c r="G1221">
        <v>129820</v>
      </c>
      <c r="H1221" s="116"/>
      <c r="I1221" s="116"/>
      <c r="L1221" s="170">
        <v>43805</v>
      </c>
      <c r="M1221" s="116">
        <v>2.6</v>
      </c>
      <c r="N1221" s="116">
        <v>2.7</v>
      </c>
      <c r="O1221" s="116">
        <v>2.5499999999999998</v>
      </c>
      <c r="P1221" s="116">
        <v>2.65</v>
      </c>
      <c r="Q1221" s="116">
        <v>2.6</v>
      </c>
      <c r="R1221">
        <v>519983</v>
      </c>
    </row>
    <row r="1222" spans="1:18" x14ac:dyDescent="0.25">
      <c r="A1222" s="170">
        <v>43808</v>
      </c>
      <c r="B1222" s="116">
        <v>2.59</v>
      </c>
      <c r="C1222" s="116">
        <v>2.5099999999999998</v>
      </c>
      <c r="D1222" s="116">
        <v>2.4900000000000002</v>
      </c>
      <c r="E1222" s="116">
        <v>2.59</v>
      </c>
      <c r="F1222" s="116">
        <v>2.5099999999999998</v>
      </c>
      <c r="G1222">
        <v>361025</v>
      </c>
      <c r="H1222" s="116"/>
      <c r="I1222" s="116"/>
      <c r="L1222" s="170">
        <v>43808</v>
      </c>
      <c r="M1222" s="116">
        <v>2.5</v>
      </c>
      <c r="N1222" s="116">
        <v>2.6</v>
      </c>
      <c r="O1222" s="116">
        <v>2.5</v>
      </c>
      <c r="P1222" s="116">
        <v>2.6</v>
      </c>
      <c r="Q1222" s="116">
        <v>2.5</v>
      </c>
      <c r="R1222">
        <v>767694</v>
      </c>
    </row>
    <row r="1223" spans="1:18" x14ac:dyDescent="0.25">
      <c r="A1223" s="170">
        <v>43809</v>
      </c>
      <c r="B1223" s="116">
        <v>2.62</v>
      </c>
      <c r="C1223" s="116">
        <v>2.5</v>
      </c>
      <c r="D1223" s="116">
        <v>2.4500000000000002</v>
      </c>
      <c r="E1223" s="116">
        <v>2.62</v>
      </c>
      <c r="F1223" s="116">
        <v>2.5</v>
      </c>
      <c r="G1223">
        <v>165593</v>
      </c>
      <c r="H1223" s="116"/>
      <c r="I1223" s="116"/>
      <c r="L1223" s="170">
        <v>43809</v>
      </c>
      <c r="M1223" s="116">
        <v>2.4500000000000002</v>
      </c>
      <c r="N1223" s="116">
        <v>2.6</v>
      </c>
      <c r="O1223" s="116">
        <v>2.4500000000000002</v>
      </c>
      <c r="P1223" s="116">
        <v>2.5</v>
      </c>
      <c r="Q1223" s="116">
        <v>2.4500000000000002</v>
      </c>
      <c r="R1223">
        <v>504632</v>
      </c>
    </row>
    <row r="1224" spans="1:18" x14ac:dyDescent="0.25">
      <c r="A1224" s="170">
        <v>43810</v>
      </c>
      <c r="B1224" s="116">
        <v>2.59</v>
      </c>
      <c r="C1224" s="116">
        <v>2.38</v>
      </c>
      <c r="D1224" s="116">
        <v>2.35</v>
      </c>
      <c r="E1224" s="116">
        <v>2.5499999999999998</v>
      </c>
      <c r="F1224" s="116">
        <v>2.38</v>
      </c>
      <c r="G1224">
        <v>318904</v>
      </c>
      <c r="H1224" s="116"/>
      <c r="I1224" s="116"/>
      <c r="L1224" s="170">
        <v>43810</v>
      </c>
      <c r="M1224" s="116">
        <v>2.35</v>
      </c>
      <c r="N1224" s="116">
        <v>2.5499999999999998</v>
      </c>
      <c r="O1224" s="116">
        <v>2.35</v>
      </c>
      <c r="P1224" s="116">
        <v>2.4500000000000002</v>
      </c>
      <c r="Q1224" s="116">
        <v>2.35</v>
      </c>
      <c r="R1224">
        <v>1101303</v>
      </c>
    </row>
    <row r="1225" spans="1:18" x14ac:dyDescent="0.25">
      <c r="A1225" s="170">
        <v>43811</v>
      </c>
      <c r="B1225" s="116">
        <v>2.46</v>
      </c>
      <c r="C1225" s="116">
        <v>2.37</v>
      </c>
      <c r="D1225" s="116">
        <v>2.3199999999999998</v>
      </c>
      <c r="E1225" s="116">
        <v>2.46</v>
      </c>
      <c r="F1225" s="116">
        <v>2.37</v>
      </c>
      <c r="G1225">
        <v>188828</v>
      </c>
      <c r="H1225" s="116"/>
      <c r="I1225" s="116"/>
      <c r="L1225" s="170">
        <v>43811</v>
      </c>
      <c r="M1225" s="116">
        <v>2.35</v>
      </c>
      <c r="N1225" s="116">
        <v>2.4500000000000002</v>
      </c>
      <c r="O1225" s="116">
        <v>2.2999999999999998</v>
      </c>
      <c r="P1225" s="116">
        <v>2.35</v>
      </c>
      <c r="Q1225" s="116">
        <v>2.35</v>
      </c>
      <c r="R1225">
        <v>1003016</v>
      </c>
    </row>
    <row r="1226" spans="1:18" x14ac:dyDescent="0.25">
      <c r="A1226" s="170">
        <v>43812</v>
      </c>
      <c r="B1226" s="116">
        <v>2.73</v>
      </c>
      <c r="C1226" s="116">
        <v>2.44</v>
      </c>
      <c r="D1226" s="116">
        <v>2.34</v>
      </c>
      <c r="E1226" s="116">
        <v>2.73</v>
      </c>
      <c r="F1226" s="116">
        <v>2.44</v>
      </c>
      <c r="G1226">
        <v>291543</v>
      </c>
      <c r="H1226" s="116"/>
      <c r="I1226" s="116"/>
      <c r="L1226" s="170">
        <v>43812</v>
      </c>
      <c r="M1226" s="116">
        <v>2.4500000000000002</v>
      </c>
      <c r="N1226" s="116">
        <v>2.5</v>
      </c>
      <c r="O1226" s="116">
        <v>2.35</v>
      </c>
      <c r="P1226" s="116">
        <v>2.35</v>
      </c>
      <c r="Q1226" s="116">
        <v>2.4500000000000002</v>
      </c>
      <c r="R1226">
        <v>460251</v>
      </c>
    </row>
    <row r="1227" spans="1:18" x14ac:dyDescent="0.25">
      <c r="A1227" s="170">
        <v>43815</v>
      </c>
      <c r="B1227" s="116">
        <v>2.5</v>
      </c>
      <c r="C1227" s="116">
        <v>2.38</v>
      </c>
      <c r="D1227" s="116">
        <v>2.34</v>
      </c>
      <c r="E1227" s="116">
        <v>2.5</v>
      </c>
      <c r="F1227" s="116">
        <v>2.38</v>
      </c>
      <c r="G1227">
        <v>144737</v>
      </c>
      <c r="H1227" s="116"/>
      <c r="I1227" s="116"/>
      <c r="L1227" s="170">
        <v>43815</v>
      </c>
      <c r="M1227" s="116">
        <v>2.35</v>
      </c>
      <c r="N1227" s="116">
        <v>2.5</v>
      </c>
      <c r="O1227" s="116">
        <v>2.35</v>
      </c>
      <c r="P1227" s="116">
        <v>2.4500000000000002</v>
      </c>
      <c r="Q1227" s="116">
        <v>2.35</v>
      </c>
      <c r="R1227">
        <v>537726</v>
      </c>
    </row>
    <row r="1228" spans="1:18" x14ac:dyDescent="0.25">
      <c r="A1228" s="170">
        <v>43816</v>
      </c>
      <c r="B1228" s="116">
        <v>2.4900000000000002</v>
      </c>
      <c r="C1228" s="116">
        <v>2.44</v>
      </c>
      <c r="D1228" s="116">
        <v>2.36</v>
      </c>
      <c r="E1228" s="116">
        <v>2.41</v>
      </c>
      <c r="F1228" s="116">
        <v>2.44</v>
      </c>
      <c r="G1228">
        <v>269777</v>
      </c>
      <c r="H1228" s="116"/>
      <c r="I1228" s="116"/>
      <c r="L1228" s="170">
        <v>43816</v>
      </c>
      <c r="M1228" s="116">
        <v>2.4500000000000002</v>
      </c>
      <c r="N1228" s="116">
        <v>2.5</v>
      </c>
      <c r="O1228" s="116">
        <v>2.35</v>
      </c>
      <c r="P1228" s="116">
        <v>2.35</v>
      </c>
      <c r="Q1228" s="116">
        <v>2.4500000000000002</v>
      </c>
      <c r="R1228">
        <v>659604</v>
      </c>
    </row>
    <row r="1229" spans="1:18" x14ac:dyDescent="0.25">
      <c r="A1229" s="170">
        <v>43817</v>
      </c>
      <c r="B1229" s="116">
        <v>2.6</v>
      </c>
      <c r="C1229" s="116">
        <v>2.41</v>
      </c>
      <c r="D1229" s="116">
        <v>2.4</v>
      </c>
      <c r="E1229" s="116">
        <v>2.6</v>
      </c>
      <c r="F1229" s="116">
        <v>2.41</v>
      </c>
      <c r="G1229">
        <v>99220</v>
      </c>
      <c r="H1229" s="116"/>
      <c r="I1229" s="116"/>
      <c r="L1229" s="170">
        <v>43817</v>
      </c>
      <c r="M1229" s="116">
        <v>2.4</v>
      </c>
      <c r="N1229" s="116">
        <v>2.5</v>
      </c>
      <c r="O1229" s="116">
        <v>2.4</v>
      </c>
      <c r="P1229" s="116">
        <v>2.4</v>
      </c>
      <c r="Q1229" s="116">
        <v>2.4</v>
      </c>
      <c r="R1229">
        <v>355874</v>
      </c>
    </row>
    <row r="1230" spans="1:18" x14ac:dyDescent="0.25">
      <c r="A1230" s="170">
        <v>43818</v>
      </c>
      <c r="B1230" s="116">
        <v>2.44</v>
      </c>
      <c r="C1230" s="116">
        <v>2.35</v>
      </c>
      <c r="D1230" s="116">
        <v>2.34</v>
      </c>
      <c r="E1230" s="116">
        <v>2.44</v>
      </c>
      <c r="F1230" s="116">
        <v>2.35</v>
      </c>
      <c r="G1230">
        <v>161704</v>
      </c>
      <c r="H1230" s="116"/>
      <c r="I1230" s="116"/>
      <c r="L1230" s="170">
        <v>43818</v>
      </c>
      <c r="M1230" s="116">
        <v>2.35</v>
      </c>
      <c r="N1230" s="116">
        <v>2.4</v>
      </c>
      <c r="O1230" s="116">
        <v>2.35</v>
      </c>
      <c r="P1230" s="116">
        <v>2.4</v>
      </c>
      <c r="Q1230" s="116">
        <v>2.35</v>
      </c>
      <c r="R1230">
        <v>657034</v>
      </c>
    </row>
    <row r="1231" spans="1:18" x14ac:dyDescent="0.25">
      <c r="A1231" s="170">
        <v>43819</v>
      </c>
      <c r="B1231" s="116">
        <v>2.4500000000000002</v>
      </c>
      <c r="C1231" s="116">
        <v>2.38</v>
      </c>
      <c r="D1231" s="116">
        <v>2.37</v>
      </c>
      <c r="E1231" s="116">
        <v>2.4</v>
      </c>
      <c r="F1231" s="116">
        <v>2.38</v>
      </c>
      <c r="G1231">
        <v>116003</v>
      </c>
      <c r="H1231" s="116"/>
      <c r="I1231" s="116"/>
      <c r="L1231" s="170">
        <v>43819</v>
      </c>
      <c r="M1231" s="116">
        <v>2.35</v>
      </c>
      <c r="N1231" s="116">
        <v>2.4500000000000002</v>
      </c>
      <c r="O1231" s="116">
        <v>2.35</v>
      </c>
      <c r="P1231" s="116">
        <v>2.4</v>
      </c>
      <c r="Q1231" s="116">
        <v>2.35</v>
      </c>
      <c r="R1231">
        <v>330069</v>
      </c>
    </row>
    <row r="1232" spans="1:18" x14ac:dyDescent="0.25">
      <c r="A1232" s="170">
        <v>43822</v>
      </c>
      <c r="B1232" s="116">
        <v>2.41</v>
      </c>
      <c r="C1232" s="116">
        <v>2.34</v>
      </c>
      <c r="D1232" s="116">
        <v>2.2599999999999998</v>
      </c>
      <c r="E1232" s="116">
        <v>2.36</v>
      </c>
      <c r="F1232" s="116">
        <v>2.34</v>
      </c>
      <c r="G1232">
        <v>149942</v>
      </c>
      <c r="H1232" s="116"/>
      <c r="I1232" s="116"/>
      <c r="L1232" s="170">
        <v>43822</v>
      </c>
      <c r="M1232" s="116">
        <v>2.35</v>
      </c>
      <c r="N1232" s="116">
        <v>2.4</v>
      </c>
      <c r="O1232" s="116">
        <v>2.25</v>
      </c>
      <c r="P1232" s="116">
        <v>2.35</v>
      </c>
      <c r="Q1232" s="116">
        <v>2.35</v>
      </c>
      <c r="R1232">
        <v>712970</v>
      </c>
    </row>
    <row r="1233" spans="1:18" x14ac:dyDescent="0.25">
      <c r="A1233" s="170">
        <v>43823</v>
      </c>
      <c r="B1233" s="116">
        <v>2.36</v>
      </c>
      <c r="C1233" s="116">
        <v>2.33</v>
      </c>
      <c r="D1233" s="116">
        <v>2.2999999999999998</v>
      </c>
      <c r="E1233" s="116">
        <v>2.36</v>
      </c>
      <c r="F1233" s="116">
        <v>2.33</v>
      </c>
      <c r="G1233">
        <v>153697</v>
      </c>
      <c r="H1233" s="116"/>
      <c r="I1233" s="116"/>
      <c r="L1233" s="170">
        <v>43823</v>
      </c>
      <c r="M1233" s="116">
        <v>2.2999999999999998</v>
      </c>
      <c r="N1233" s="116">
        <v>2.35</v>
      </c>
      <c r="O1233" s="116">
        <v>2.2999999999999998</v>
      </c>
      <c r="P1233" s="116">
        <v>2.35</v>
      </c>
      <c r="Q1233" s="116">
        <v>2.2999999999999998</v>
      </c>
      <c r="R1233">
        <v>147800</v>
      </c>
    </row>
    <row r="1234" spans="1:18" x14ac:dyDescent="0.25">
      <c r="A1234" s="170">
        <v>43825</v>
      </c>
      <c r="B1234" s="116">
        <v>2.41</v>
      </c>
      <c r="C1234" s="116">
        <v>2.27</v>
      </c>
      <c r="D1234" s="116">
        <v>2.25</v>
      </c>
      <c r="E1234" s="116">
        <v>2.2999999999999998</v>
      </c>
      <c r="F1234" s="116">
        <v>2.27</v>
      </c>
      <c r="G1234">
        <v>168131</v>
      </c>
      <c r="H1234" s="116"/>
      <c r="I1234" s="116"/>
      <c r="L1234" s="170">
        <v>43825</v>
      </c>
      <c r="M1234" s="116">
        <v>2.2999999999999998</v>
      </c>
      <c r="N1234" s="116">
        <v>2.4</v>
      </c>
      <c r="O1234" s="116">
        <v>2.25</v>
      </c>
      <c r="P1234" s="116">
        <v>2.2999999999999998</v>
      </c>
      <c r="Q1234" s="116">
        <v>2.2999999999999998</v>
      </c>
      <c r="R1234">
        <v>476522</v>
      </c>
    </row>
    <row r="1235" spans="1:18" x14ac:dyDescent="0.25">
      <c r="A1235" s="170">
        <v>43826</v>
      </c>
      <c r="B1235" s="116">
        <v>2.29</v>
      </c>
      <c r="C1235" s="116">
        <v>2.2200000000000002</v>
      </c>
      <c r="D1235" s="116">
        <v>2.21</v>
      </c>
      <c r="E1235" s="116">
        <v>2.2599999999999998</v>
      </c>
      <c r="F1235" s="116">
        <v>2.2200000000000002</v>
      </c>
      <c r="G1235">
        <v>219230</v>
      </c>
      <c r="H1235" s="116"/>
      <c r="I1235" s="116"/>
      <c r="L1235" s="170">
        <v>43826</v>
      </c>
      <c r="M1235" s="116">
        <v>2.25</v>
      </c>
      <c r="N1235" s="116">
        <v>2.2999999999999998</v>
      </c>
      <c r="O1235" s="116">
        <v>2.2000000000000002</v>
      </c>
      <c r="P1235" s="116">
        <v>2.2999999999999998</v>
      </c>
      <c r="Q1235" s="116">
        <v>2.25</v>
      </c>
      <c r="R1235">
        <v>589344</v>
      </c>
    </row>
    <row r="1236" spans="1:18" x14ac:dyDescent="0.25">
      <c r="A1236" s="170">
        <v>43829</v>
      </c>
      <c r="B1236" s="116">
        <v>2.31</v>
      </c>
      <c r="C1236" s="116">
        <v>2.23</v>
      </c>
      <c r="D1236" s="116">
        <v>2.2200000000000002</v>
      </c>
      <c r="E1236" s="116">
        <v>2.27</v>
      </c>
      <c r="F1236" s="116">
        <v>2.23</v>
      </c>
      <c r="G1236">
        <v>327865</v>
      </c>
      <c r="H1236" s="116"/>
      <c r="I1236" s="116"/>
      <c r="L1236" s="170">
        <v>43829</v>
      </c>
      <c r="M1236" s="116">
        <v>2.2000000000000002</v>
      </c>
      <c r="N1236" s="116">
        <v>2.2999999999999998</v>
      </c>
      <c r="O1236" s="116">
        <v>2.2000000000000002</v>
      </c>
      <c r="P1236" s="116">
        <v>2.2000000000000002</v>
      </c>
      <c r="Q1236" s="116">
        <v>2.2000000000000002</v>
      </c>
      <c r="R1236">
        <v>675549</v>
      </c>
    </row>
    <row r="1237" spans="1:18" x14ac:dyDescent="0.25">
      <c r="A1237" s="170">
        <v>43830</v>
      </c>
      <c r="B1237" s="116">
        <v>2.29</v>
      </c>
      <c r="C1237" s="116">
        <v>2.25</v>
      </c>
      <c r="D1237" s="116">
        <v>2.2200000000000002</v>
      </c>
      <c r="E1237" s="116">
        <v>2.29</v>
      </c>
      <c r="F1237" s="116">
        <v>2.25</v>
      </c>
      <c r="G1237">
        <v>114555</v>
      </c>
      <c r="H1237" s="116"/>
      <c r="I1237" s="116"/>
      <c r="L1237" s="170">
        <v>43830</v>
      </c>
      <c r="M1237" s="116">
        <v>2.2000000000000002</v>
      </c>
      <c r="N1237" s="116">
        <v>2.2999999999999998</v>
      </c>
      <c r="O1237" s="116">
        <v>2.2000000000000002</v>
      </c>
      <c r="P1237" s="116">
        <v>2.2000000000000002</v>
      </c>
      <c r="Q1237" s="116">
        <v>2.2000000000000002</v>
      </c>
      <c r="R1237">
        <v>454179</v>
      </c>
    </row>
    <row r="1238" spans="1:18" x14ac:dyDescent="0.25">
      <c r="A1238" s="170">
        <v>43831</v>
      </c>
      <c r="B1238" s="116">
        <v>2.2599999999999998</v>
      </c>
      <c r="C1238" s="116">
        <v>2.2400000000000002</v>
      </c>
      <c r="D1238" s="116">
        <v>2.21</v>
      </c>
      <c r="E1238" s="116">
        <v>2.25</v>
      </c>
      <c r="F1238" s="116">
        <v>2.2400000000000002</v>
      </c>
      <c r="G1238">
        <v>36442</v>
      </c>
      <c r="H1238" s="116"/>
      <c r="I1238" s="116"/>
      <c r="L1238" s="170">
        <v>43831</v>
      </c>
      <c r="M1238" s="116">
        <v>2.25</v>
      </c>
      <c r="N1238" s="116">
        <v>2.25</v>
      </c>
      <c r="O1238" s="116">
        <v>2.2000000000000002</v>
      </c>
      <c r="P1238" s="116">
        <v>2.25</v>
      </c>
      <c r="Q1238" s="116">
        <v>2.25</v>
      </c>
      <c r="R1238">
        <v>197584</v>
      </c>
    </row>
    <row r="1239" spans="1:18" x14ac:dyDescent="0.25">
      <c r="A1239" s="170">
        <v>43832</v>
      </c>
      <c r="B1239" s="116">
        <v>2.46</v>
      </c>
      <c r="C1239" s="116">
        <v>2.38</v>
      </c>
      <c r="D1239" s="116">
        <v>2.2200000000000002</v>
      </c>
      <c r="E1239" s="116">
        <v>2.2200000000000002</v>
      </c>
      <c r="F1239" s="116">
        <v>2.38</v>
      </c>
      <c r="G1239">
        <v>177965</v>
      </c>
      <c r="H1239" s="116"/>
      <c r="I1239" s="116"/>
      <c r="L1239" s="170">
        <v>43832</v>
      </c>
      <c r="M1239" s="116">
        <v>2.4</v>
      </c>
      <c r="N1239" s="116">
        <v>2.4500000000000002</v>
      </c>
      <c r="O1239" s="116">
        <v>2.2000000000000002</v>
      </c>
      <c r="P1239" s="116">
        <v>2.2000000000000002</v>
      </c>
      <c r="Q1239" s="116">
        <v>2.4</v>
      </c>
      <c r="R1239">
        <v>1056976</v>
      </c>
    </row>
    <row r="1240" spans="1:18" x14ac:dyDescent="0.25">
      <c r="A1240" s="170">
        <v>43833</v>
      </c>
      <c r="B1240" s="116">
        <v>2.4300000000000002</v>
      </c>
      <c r="C1240" s="116">
        <v>2.37</v>
      </c>
      <c r="D1240" s="116">
        <v>2.34</v>
      </c>
      <c r="E1240" s="116">
        <v>2.34</v>
      </c>
      <c r="F1240" s="116">
        <v>2.37</v>
      </c>
      <c r="G1240">
        <v>83238</v>
      </c>
      <c r="H1240" s="116"/>
      <c r="I1240" s="116"/>
      <c r="L1240" s="170">
        <v>43833</v>
      </c>
      <c r="M1240" s="116">
        <v>2.35</v>
      </c>
      <c r="N1240" s="116">
        <v>2.4500000000000002</v>
      </c>
      <c r="O1240" s="116">
        <v>2.35</v>
      </c>
      <c r="P1240" s="116">
        <v>2.4</v>
      </c>
      <c r="Q1240" s="116">
        <v>2.35</v>
      </c>
      <c r="R1240">
        <v>361537</v>
      </c>
    </row>
    <row r="1241" spans="1:18" x14ac:dyDescent="0.25">
      <c r="A1241" s="170">
        <v>43836</v>
      </c>
      <c r="B1241" s="116">
        <v>2.4300000000000002</v>
      </c>
      <c r="C1241" s="116">
        <v>2.2799999999999998</v>
      </c>
      <c r="D1241" s="116">
        <v>2.2200000000000002</v>
      </c>
      <c r="E1241" s="116">
        <v>2.4300000000000002</v>
      </c>
      <c r="F1241" s="116">
        <v>2.2799999999999998</v>
      </c>
      <c r="G1241">
        <v>171086</v>
      </c>
      <c r="H1241" s="116"/>
      <c r="I1241" s="116"/>
      <c r="L1241" s="170">
        <v>43836</v>
      </c>
      <c r="M1241" s="116">
        <v>2.25</v>
      </c>
      <c r="N1241" s="116">
        <v>2.4</v>
      </c>
      <c r="O1241" s="116">
        <v>2.2000000000000002</v>
      </c>
      <c r="P1241" s="116">
        <v>2.4</v>
      </c>
      <c r="Q1241" s="116">
        <v>2.25</v>
      </c>
      <c r="R1241">
        <v>1247450</v>
      </c>
    </row>
    <row r="1242" spans="1:18" x14ac:dyDescent="0.25">
      <c r="A1242" s="170">
        <v>43837</v>
      </c>
      <c r="B1242" s="116">
        <v>2.33</v>
      </c>
      <c r="C1242" s="116">
        <v>2.29</v>
      </c>
      <c r="D1242" s="116">
        <v>2.2400000000000002</v>
      </c>
      <c r="E1242" s="116">
        <v>2.3199999999999998</v>
      </c>
      <c r="F1242" s="116">
        <v>2.29</v>
      </c>
      <c r="G1242">
        <v>242536</v>
      </c>
      <c r="H1242" s="116"/>
      <c r="I1242" s="116"/>
      <c r="L1242" s="170">
        <v>43837</v>
      </c>
      <c r="M1242" s="116">
        <v>2.25</v>
      </c>
      <c r="N1242" s="116">
        <v>2.35</v>
      </c>
      <c r="O1242" s="116">
        <v>2.25</v>
      </c>
      <c r="P1242" s="116">
        <v>2.25</v>
      </c>
      <c r="Q1242" s="116">
        <v>2.25</v>
      </c>
      <c r="R1242">
        <v>526273</v>
      </c>
    </row>
    <row r="1243" spans="1:18" x14ac:dyDescent="0.25">
      <c r="A1243" s="170">
        <v>43838</v>
      </c>
      <c r="B1243" s="116">
        <v>2.36</v>
      </c>
      <c r="C1243" s="116">
        <v>2.34</v>
      </c>
      <c r="D1243" s="116">
        <v>2.2400000000000002</v>
      </c>
      <c r="E1243" s="116">
        <v>2.2400000000000002</v>
      </c>
      <c r="F1243" s="116">
        <v>2.34</v>
      </c>
      <c r="G1243">
        <v>357370</v>
      </c>
      <c r="H1243" s="116"/>
      <c r="I1243" s="116"/>
      <c r="L1243" s="170">
        <v>43838</v>
      </c>
      <c r="M1243" s="116">
        <v>2.35</v>
      </c>
      <c r="N1243" s="116">
        <v>2.35</v>
      </c>
      <c r="O1243" s="116">
        <v>2.25</v>
      </c>
      <c r="P1243" s="116">
        <v>2.25</v>
      </c>
      <c r="Q1243" s="116">
        <v>2.35</v>
      </c>
      <c r="R1243">
        <v>447211</v>
      </c>
    </row>
    <row r="1244" spans="1:18" x14ac:dyDescent="0.25">
      <c r="A1244" s="170">
        <v>43839</v>
      </c>
      <c r="B1244" s="116">
        <v>2.41</v>
      </c>
      <c r="C1244" s="116">
        <v>2.3199999999999998</v>
      </c>
      <c r="D1244" s="116">
        <v>2.25</v>
      </c>
      <c r="E1244" s="116">
        <v>2.35</v>
      </c>
      <c r="F1244" s="116">
        <v>2.3199999999999998</v>
      </c>
      <c r="G1244">
        <v>446396</v>
      </c>
      <c r="H1244" s="116"/>
      <c r="I1244" s="116"/>
      <c r="L1244" s="170">
        <v>43839</v>
      </c>
      <c r="M1244" s="116">
        <v>2.2999999999999998</v>
      </c>
      <c r="N1244" s="116">
        <v>2.4</v>
      </c>
      <c r="O1244" s="116">
        <v>2.25</v>
      </c>
      <c r="P1244" s="116">
        <v>2.35</v>
      </c>
      <c r="Q1244" s="116">
        <v>2.2999999999999998</v>
      </c>
      <c r="R1244">
        <v>986356</v>
      </c>
    </row>
    <row r="1245" spans="1:18" x14ac:dyDescent="0.25">
      <c r="A1245" s="170">
        <v>43840</v>
      </c>
      <c r="B1245" s="116">
        <v>2.35</v>
      </c>
      <c r="C1245" s="116">
        <v>2.27</v>
      </c>
      <c r="D1245" s="116">
        <v>2.2400000000000002</v>
      </c>
      <c r="E1245" s="116">
        <v>2.3199999999999998</v>
      </c>
      <c r="F1245" s="116">
        <v>2.27</v>
      </c>
      <c r="G1245">
        <v>216299</v>
      </c>
      <c r="H1245" s="116"/>
      <c r="I1245" s="116"/>
      <c r="L1245" s="170">
        <v>43840</v>
      </c>
      <c r="M1245" s="116">
        <v>2.25</v>
      </c>
      <c r="N1245" s="116">
        <v>2.35</v>
      </c>
      <c r="O1245" s="116">
        <v>2.25</v>
      </c>
      <c r="P1245" s="116">
        <v>2.25</v>
      </c>
      <c r="Q1245" s="116">
        <v>2.25</v>
      </c>
      <c r="R1245">
        <v>328319</v>
      </c>
    </row>
    <row r="1246" spans="1:18" x14ac:dyDescent="0.25">
      <c r="A1246" s="170">
        <v>43843</v>
      </c>
      <c r="B1246" s="116">
        <v>2.35</v>
      </c>
      <c r="C1246" s="116">
        <v>2.3199999999999998</v>
      </c>
      <c r="D1246" s="116">
        <v>2.2400000000000002</v>
      </c>
      <c r="E1246" s="116">
        <v>2.2400000000000002</v>
      </c>
      <c r="F1246" s="116">
        <v>2.3199999999999998</v>
      </c>
      <c r="G1246">
        <v>91245</v>
      </c>
      <c r="H1246" s="116"/>
      <c r="I1246" s="116"/>
      <c r="L1246" s="170">
        <v>43843</v>
      </c>
      <c r="M1246" s="116">
        <v>2.35</v>
      </c>
      <c r="N1246" s="116">
        <v>2.35</v>
      </c>
      <c r="O1246" s="116">
        <v>2.25</v>
      </c>
      <c r="P1246" s="116">
        <v>2.25</v>
      </c>
      <c r="Q1246" s="116">
        <v>2.35</v>
      </c>
      <c r="R1246">
        <v>376601</v>
      </c>
    </row>
    <row r="1247" spans="1:18" x14ac:dyDescent="0.25">
      <c r="A1247" s="170">
        <v>43844</v>
      </c>
      <c r="B1247" s="116">
        <v>2.5</v>
      </c>
      <c r="C1247" s="116">
        <v>2.2999999999999998</v>
      </c>
      <c r="D1247" s="116">
        <v>2.25</v>
      </c>
      <c r="E1247" s="116">
        <v>2.5</v>
      </c>
      <c r="F1247" s="116">
        <v>2.2999999999999998</v>
      </c>
      <c r="G1247">
        <v>188820</v>
      </c>
      <c r="H1247" s="116"/>
      <c r="I1247" s="116"/>
      <c r="L1247" s="170">
        <v>43844</v>
      </c>
      <c r="M1247" s="116">
        <v>2.2999999999999998</v>
      </c>
      <c r="N1247" s="116">
        <v>2.35</v>
      </c>
      <c r="O1247" s="116">
        <v>2.25</v>
      </c>
      <c r="P1247" s="116">
        <v>2.2999999999999998</v>
      </c>
      <c r="Q1247" s="116">
        <v>2.2999999999999998</v>
      </c>
      <c r="R1247">
        <v>692315</v>
      </c>
    </row>
    <row r="1248" spans="1:18" x14ac:dyDescent="0.25">
      <c r="A1248" s="170">
        <v>43845</v>
      </c>
      <c r="B1248" s="116">
        <v>2.35</v>
      </c>
      <c r="C1248" s="116">
        <v>2.2999999999999998</v>
      </c>
      <c r="D1248" s="116">
        <v>2.2599999999999998</v>
      </c>
      <c r="E1248" s="116">
        <v>2.35</v>
      </c>
      <c r="F1248" s="116">
        <v>2.2999999999999998</v>
      </c>
      <c r="G1248">
        <v>139357</v>
      </c>
      <c r="H1248" s="116"/>
      <c r="I1248" s="116"/>
      <c r="L1248" s="170">
        <v>43845</v>
      </c>
      <c r="M1248" s="116">
        <v>2.2999999999999998</v>
      </c>
      <c r="N1248" s="116">
        <v>2.35</v>
      </c>
      <c r="O1248" s="116">
        <v>2.25</v>
      </c>
      <c r="P1248" s="116">
        <v>2.2999999999999998</v>
      </c>
      <c r="Q1248" s="116">
        <v>2.2999999999999998</v>
      </c>
      <c r="R1248">
        <v>389759</v>
      </c>
    </row>
    <row r="1249" spans="1:18" x14ac:dyDescent="0.25">
      <c r="A1249" s="170">
        <v>43846</v>
      </c>
      <c r="B1249" s="116">
        <v>2.4500000000000002</v>
      </c>
      <c r="C1249" s="116">
        <v>2.37</v>
      </c>
      <c r="D1249" s="116">
        <v>2.29</v>
      </c>
      <c r="E1249" s="116">
        <v>2.35</v>
      </c>
      <c r="F1249" s="116">
        <v>2.37</v>
      </c>
      <c r="G1249">
        <v>401845</v>
      </c>
      <c r="H1249" s="116"/>
      <c r="I1249" s="116"/>
      <c r="L1249" s="170">
        <v>43846</v>
      </c>
      <c r="M1249" s="116">
        <v>2.4</v>
      </c>
      <c r="N1249" s="116">
        <v>2.4500000000000002</v>
      </c>
      <c r="O1249" s="116">
        <v>2.2999999999999998</v>
      </c>
      <c r="P1249" s="116">
        <v>2.35</v>
      </c>
      <c r="Q1249" s="116">
        <v>2.4</v>
      </c>
      <c r="R1249">
        <v>1103904</v>
      </c>
    </row>
    <row r="1250" spans="1:18" x14ac:dyDescent="0.25">
      <c r="A1250" s="170">
        <v>43847</v>
      </c>
      <c r="B1250" s="116">
        <v>2.75</v>
      </c>
      <c r="C1250" s="116">
        <v>2.59</v>
      </c>
      <c r="D1250" s="116">
        <v>2.2999999999999998</v>
      </c>
      <c r="E1250" s="116">
        <v>2.34</v>
      </c>
      <c r="F1250" s="116">
        <v>2.59</v>
      </c>
      <c r="G1250">
        <v>721066</v>
      </c>
      <c r="H1250" s="116"/>
      <c r="I1250" s="116"/>
      <c r="L1250" s="170">
        <v>43847</v>
      </c>
      <c r="M1250" s="116">
        <v>2.5499999999999998</v>
      </c>
      <c r="N1250" s="116">
        <v>2.75</v>
      </c>
      <c r="O1250" s="116">
        <v>2.2999999999999998</v>
      </c>
      <c r="P1250" s="116">
        <v>2.4</v>
      </c>
      <c r="Q1250" s="116">
        <v>2.5499999999999998</v>
      </c>
      <c r="R1250">
        <v>2264667</v>
      </c>
    </row>
    <row r="1251" spans="1:18" x14ac:dyDescent="0.25">
      <c r="A1251" s="170">
        <v>43850</v>
      </c>
      <c r="B1251" s="116">
        <v>2.8</v>
      </c>
      <c r="C1251" s="116">
        <v>2.62</v>
      </c>
      <c r="D1251" s="116">
        <v>2.5</v>
      </c>
      <c r="E1251" s="116">
        <v>2.52</v>
      </c>
      <c r="F1251" s="116">
        <v>2.62</v>
      </c>
      <c r="G1251">
        <v>648929</v>
      </c>
      <c r="H1251" s="116"/>
      <c r="I1251" s="116"/>
      <c r="L1251" s="170">
        <v>43850</v>
      </c>
      <c r="M1251" s="116">
        <v>2.6</v>
      </c>
      <c r="N1251" s="116">
        <v>2.8</v>
      </c>
      <c r="O1251" s="116">
        <v>2.5</v>
      </c>
      <c r="P1251" s="116">
        <v>2.5499999999999998</v>
      </c>
      <c r="Q1251" s="116">
        <v>2.6</v>
      </c>
      <c r="R1251">
        <v>1182263</v>
      </c>
    </row>
    <row r="1252" spans="1:18" x14ac:dyDescent="0.25">
      <c r="A1252" s="170">
        <v>43851</v>
      </c>
      <c r="B1252" s="116">
        <v>2.79</v>
      </c>
      <c r="C1252" s="116">
        <v>2.62</v>
      </c>
      <c r="D1252" s="116">
        <v>2.59</v>
      </c>
      <c r="E1252" s="116">
        <v>2.79</v>
      </c>
      <c r="F1252" s="116">
        <v>2.62</v>
      </c>
      <c r="G1252">
        <v>463733</v>
      </c>
      <c r="H1252" s="116"/>
      <c r="I1252" s="116"/>
      <c r="L1252" s="170">
        <v>43851</v>
      </c>
      <c r="M1252" s="116">
        <v>2.6</v>
      </c>
      <c r="N1252" s="116">
        <v>2.75</v>
      </c>
      <c r="O1252" s="116">
        <v>2.6</v>
      </c>
      <c r="P1252" s="116">
        <v>2.6</v>
      </c>
      <c r="Q1252" s="116">
        <v>2.6</v>
      </c>
      <c r="R1252">
        <v>635624</v>
      </c>
    </row>
    <row r="1253" spans="1:18" x14ac:dyDescent="0.25">
      <c r="A1253" s="170">
        <v>43852</v>
      </c>
      <c r="B1253" s="116">
        <v>2.71</v>
      </c>
      <c r="C1253" s="116">
        <v>2.5</v>
      </c>
      <c r="D1253" s="116">
        <v>2.4900000000000002</v>
      </c>
      <c r="E1253" s="116">
        <v>2.71</v>
      </c>
      <c r="F1253" s="116">
        <v>2.5</v>
      </c>
      <c r="G1253">
        <v>558026</v>
      </c>
      <c r="H1253" s="116"/>
      <c r="I1253" s="116"/>
      <c r="L1253" s="170">
        <v>43852</v>
      </c>
      <c r="M1253" s="116">
        <v>2.5</v>
      </c>
      <c r="N1253" s="116">
        <v>2.7</v>
      </c>
      <c r="O1253" s="116">
        <v>2.4500000000000002</v>
      </c>
      <c r="P1253" s="116">
        <v>2.6</v>
      </c>
      <c r="Q1253" s="116">
        <v>2.5</v>
      </c>
      <c r="R1253">
        <v>1329405</v>
      </c>
    </row>
    <row r="1254" spans="1:18" x14ac:dyDescent="0.25">
      <c r="A1254" s="170">
        <v>43853</v>
      </c>
      <c r="B1254" s="116">
        <v>2.59</v>
      </c>
      <c r="C1254" s="116">
        <v>2.5099999999999998</v>
      </c>
      <c r="D1254" s="116">
        <v>2.41</v>
      </c>
      <c r="E1254" s="116">
        <v>2.5</v>
      </c>
      <c r="F1254" s="116">
        <v>2.5099999999999998</v>
      </c>
      <c r="G1254">
        <v>488487</v>
      </c>
      <c r="H1254" s="116"/>
      <c r="I1254" s="116"/>
      <c r="L1254" s="170">
        <v>43853</v>
      </c>
      <c r="M1254" s="116">
        <v>2.5</v>
      </c>
      <c r="N1254" s="116">
        <v>2.6</v>
      </c>
      <c r="O1254" s="116">
        <v>2.4</v>
      </c>
      <c r="P1254" s="116">
        <v>2.5</v>
      </c>
      <c r="Q1254" s="116">
        <v>2.5</v>
      </c>
      <c r="R1254">
        <v>1458971</v>
      </c>
    </row>
    <row r="1255" spans="1:18" x14ac:dyDescent="0.25">
      <c r="A1255" s="170">
        <v>43854</v>
      </c>
      <c r="B1255" s="116">
        <v>2.64</v>
      </c>
      <c r="C1255" s="116">
        <v>2.48</v>
      </c>
      <c r="D1255" s="116">
        <v>2.42</v>
      </c>
      <c r="E1255" s="116">
        <v>2.64</v>
      </c>
      <c r="F1255" s="116">
        <v>2.48</v>
      </c>
      <c r="G1255">
        <v>253737</v>
      </c>
      <c r="H1255" s="116"/>
      <c r="I1255" s="116"/>
      <c r="L1255" s="170">
        <v>43854</v>
      </c>
      <c r="M1255" s="116">
        <v>2.4500000000000002</v>
      </c>
      <c r="N1255" s="116">
        <v>2.6</v>
      </c>
      <c r="O1255" s="116">
        <v>2.4</v>
      </c>
      <c r="P1255" s="116">
        <v>2.5499999999999998</v>
      </c>
      <c r="Q1255" s="116">
        <v>2.4500000000000002</v>
      </c>
      <c r="R1255">
        <v>1028223</v>
      </c>
    </row>
    <row r="1256" spans="1:18" x14ac:dyDescent="0.25">
      <c r="A1256" s="170">
        <v>43857</v>
      </c>
      <c r="B1256" s="116">
        <v>2.48</v>
      </c>
      <c r="C1256" s="116">
        <v>2.4300000000000002</v>
      </c>
      <c r="D1256" s="116">
        <v>2.41</v>
      </c>
      <c r="E1256" s="116">
        <v>2.41</v>
      </c>
      <c r="F1256" s="116">
        <v>2.4300000000000002</v>
      </c>
      <c r="G1256">
        <v>131565</v>
      </c>
      <c r="H1256" s="116"/>
      <c r="I1256" s="116"/>
      <c r="L1256" s="170">
        <v>43857</v>
      </c>
      <c r="M1256" s="116">
        <v>2.4</v>
      </c>
      <c r="N1256" s="116">
        <v>2.5</v>
      </c>
      <c r="O1256" s="116">
        <v>2.4</v>
      </c>
      <c r="P1256" s="116">
        <v>2.5</v>
      </c>
      <c r="Q1256" s="116">
        <v>2.4</v>
      </c>
      <c r="R1256">
        <v>522953</v>
      </c>
    </row>
    <row r="1257" spans="1:18" x14ac:dyDescent="0.25">
      <c r="A1257" s="170">
        <v>43858</v>
      </c>
      <c r="B1257" s="116">
        <v>2.4900000000000002</v>
      </c>
      <c r="C1257" s="116">
        <v>2.36</v>
      </c>
      <c r="D1257" s="116">
        <v>2.35</v>
      </c>
      <c r="E1257" s="116">
        <v>2.4900000000000002</v>
      </c>
      <c r="F1257" s="116">
        <v>2.36</v>
      </c>
      <c r="G1257">
        <v>198489</v>
      </c>
      <c r="H1257" s="116"/>
      <c r="I1257" s="116"/>
      <c r="L1257" s="170">
        <v>43858</v>
      </c>
      <c r="M1257" s="116">
        <v>2.35</v>
      </c>
      <c r="N1257" s="116">
        <v>2.5</v>
      </c>
      <c r="O1257" s="116">
        <v>2.35</v>
      </c>
      <c r="P1257" s="116">
        <v>2.4</v>
      </c>
      <c r="Q1257" s="116">
        <v>2.35</v>
      </c>
      <c r="R1257">
        <v>751447</v>
      </c>
    </row>
    <row r="1258" spans="1:18" x14ac:dyDescent="0.25">
      <c r="A1258" s="170">
        <v>43859</v>
      </c>
      <c r="B1258" s="116">
        <v>2.48</v>
      </c>
      <c r="C1258" s="116">
        <v>2.41</v>
      </c>
      <c r="D1258" s="116">
        <v>2.34</v>
      </c>
      <c r="E1258" s="116">
        <v>2.39</v>
      </c>
      <c r="F1258" s="116">
        <v>2.41</v>
      </c>
      <c r="G1258">
        <v>223608</v>
      </c>
      <c r="H1258" s="116"/>
      <c r="I1258" s="116"/>
      <c r="L1258" s="170">
        <v>43859</v>
      </c>
      <c r="M1258" s="116">
        <v>2.4</v>
      </c>
      <c r="N1258" s="116">
        <v>2.5</v>
      </c>
      <c r="O1258" s="116">
        <v>2.35</v>
      </c>
      <c r="P1258" s="116">
        <v>2.4</v>
      </c>
      <c r="Q1258" s="116">
        <v>2.4</v>
      </c>
      <c r="R1258">
        <v>584654</v>
      </c>
    </row>
    <row r="1259" spans="1:18" x14ac:dyDescent="0.25">
      <c r="A1259" s="170">
        <v>43860</v>
      </c>
      <c r="B1259" s="116">
        <v>2.44</v>
      </c>
      <c r="C1259" s="116">
        <v>2.4</v>
      </c>
      <c r="D1259" s="116">
        <v>2.35</v>
      </c>
      <c r="E1259" s="116">
        <v>2.41</v>
      </c>
      <c r="F1259" s="116">
        <v>2.4</v>
      </c>
      <c r="G1259">
        <v>281242</v>
      </c>
      <c r="H1259" s="116"/>
      <c r="I1259" s="116"/>
      <c r="L1259" s="170">
        <v>43860</v>
      </c>
      <c r="M1259" s="116">
        <v>2.4</v>
      </c>
      <c r="N1259" s="116">
        <v>2.4500000000000002</v>
      </c>
      <c r="O1259" s="116">
        <v>2.35</v>
      </c>
      <c r="P1259" s="116">
        <v>2.4500000000000002</v>
      </c>
      <c r="Q1259" s="116">
        <v>2.4</v>
      </c>
      <c r="R1259">
        <v>600690</v>
      </c>
    </row>
    <row r="1260" spans="1:18" x14ac:dyDescent="0.25">
      <c r="A1260" s="170">
        <v>43861</v>
      </c>
      <c r="B1260" s="116">
        <v>2.44</v>
      </c>
      <c r="C1260" s="116">
        <v>2.38</v>
      </c>
      <c r="D1260" s="116">
        <v>2.36</v>
      </c>
      <c r="E1260" s="116">
        <v>2.41</v>
      </c>
      <c r="F1260" s="116">
        <v>2.38</v>
      </c>
      <c r="G1260">
        <v>79048</v>
      </c>
      <c r="H1260" s="116"/>
      <c r="I1260" s="116"/>
      <c r="L1260" s="170">
        <v>43861</v>
      </c>
      <c r="M1260" s="116">
        <v>2.4</v>
      </c>
      <c r="N1260" s="116">
        <v>2.4500000000000002</v>
      </c>
      <c r="O1260" s="116">
        <v>2.35</v>
      </c>
      <c r="P1260" s="116">
        <v>2.4500000000000002</v>
      </c>
      <c r="Q1260" s="116">
        <v>2.4</v>
      </c>
      <c r="R1260">
        <v>359869</v>
      </c>
    </row>
    <row r="1261" spans="1:18" x14ac:dyDescent="0.25">
      <c r="A1261" s="170">
        <v>43862</v>
      </c>
      <c r="B1261" s="116">
        <v>2.39</v>
      </c>
      <c r="C1261" s="116">
        <v>2.33</v>
      </c>
      <c r="D1261" s="116">
        <v>2.31</v>
      </c>
      <c r="E1261" s="116">
        <v>2.37</v>
      </c>
      <c r="F1261" s="116">
        <v>2.33</v>
      </c>
      <c r="G1261">
        <v>62748</v>
      </c>
      <c r="H1261" s="116"/>
      <c r="I1261" s="116"/>
      <c r="L1261" s="170">
        <v>43862</v>
      </c>
      <c r="M1261" s="116">
        <v>2.35</v>
      </c>
      <c r="N1261" s="116">
        <v>2.4</v>
      </c>
      <c r="O1261" s="116">
        <v>2.2999999999999998</v>
      </c>
      <c r="P1261" s="116">
        <v>2.35</v>
      </c>
      <c r="Q1261" s="116">
        <v>2.35</v>
      </c>
      <c r="R1261">
        <v>219074</v>
      </c>
    </row>
    <row r="1262" spans="1:18" x14ac:dyDescent="0.25">
      <c r="A1262" s="170">
        <v>43864</v>
      </c>
      <c r="B1262" s="116">
        <v>2.36</v>
      </c>
      <c r="C1262" s="116">
        <v>2.27</v>
      </c>
      <c r="D1262" s="116">
        <v>2.2200000000000002</v>
      </c>
      <c r="E1262" s="116">
        <v>2.36</v>
      </c>
      <c r="F1262" s="116">
        <v>2.27</v>
      </c>
      <c r="G1262">
        <v>258636</v>
      </c>
      <c r="H1262" s="116"/>
      <c r="I1262" s="116"/>
      <c r="L1262" s="170">
        <v>43864</v>
      </c>
      <c r="M1262" s="116">
        <v>2.2999999999999998</v>
      </c>
      <c r="N1262" s="116">
        <v>2.35</v>
      </c>
      <c r="O1262" s="116">
        <v>2.2000000000000002</v>
      </c>
      <c r="P1262" s="116">
        <v>2.35</v>
      </c>
      <c r="Q1262" s="116">
        <v>2.2999999999999998</v>
      </c>
      <c r="R1262">
        <v>759821</v>
      </c>
    </row>
    <row r="1263" spans="1:18" x14ac:dyDescent="0.25">
      <c r="A1263" s="170">
        <v>43865</v>
      </c>
      <c r="B1263" s="116">
        <v>2.72</v>
      </c>
      <c r="C1263" s="116">
        <v>2.72</v>
      </c>
      <c r="D1263" s="116">
        <v>2.2599999999999998</v>
      </c>
      <c r="E1263" s="116">
        <v>2.2999999999999998</v>
      </c>
      <c r="F1263" s="116">
        <v>2.72</v>
      </c>
      <c r="G1263">
        <v>544511</v>
      </c>
      <c r="H1263" s="116"/>
      <c r="I1263" s="116"/>
      <c r="L1263" s="170">
        <v>43865</v>
      </c>
      <c r="M1263" s="116">
        <v>2.75</v>
      </c>
      <c r="N1263" s="116">
        <v>2.75</v>
      </c>
      <c r="O1263" s="116">
        <v>2.25</v>
      </c>
      <c r="P1263" s="116">
        <v>2.25</v>
      </c>
      <c r="Q1263" s="116">
        <v>2.75</v>
      </c>
      <c r="R1263">
        <v>3558586</v>
      </c>
    </row>
    <row r="1264" spans="1:18" x14ac:dyDescent="0.25">
      <c r="A1264" s="170">
        <v>43866</v>
      </c>
      <c r="B1264" s="116">
        <v>3.23</v>
      </c>
      <c r="C1264" s="116">
        <v>2.75</v>
      </c>
      <c r="D1264" s="116">
        <v>2.64</v>
      </c>
      <c r="E1264" s="116">
        <v>2.87</v>
      </c>
      <c r="F1264" s="116">
        <v>2.75</v>
      </c>
      <c r="G1264">
        <v>1389332</v>
      </c>
      <c r="H1264" s="116"/>
      <c r="I1264" s="116"/>
      <c r="L1264" s="170">
        <v>43866</v>
      </c>
      <c r="M1264" s="116">
        <v>2.75</v>
      </c>
      <c r="N1264" s="116">
        <v>3.25</v>
      </c>
      <c r="O1264" s="116">
        <v>2.65</v>
      </c>
      <c r="P1264" s="116">
        <v>2.9</v>
      </c>
      <c r="Q1264" s="116">
        <v>2.75</v>
      </c>
      <c r="R1264">
        <v>3458761</v>
      </c>
    </row>
    <row r="1265" spans="1:18" x14ac:dyDescent="0.25">
      <c r="A1265" s="170">
        <v>43867</v>
      </c>
      <c r="B1265" s="116">
        <v>2.8</v>
      </c>
      <c r="C1265" s="116">
        <v>2.59</v>
      </c>
      <c r="D1265" s="116">
        <v>2.5</v>
      </c>
      <c r="E1265" s="116">
        <v>2.8</v>
      </c>
      <c r="F1265" s="116">
        <v>2.59</v>
      </c>
      <c r="G1265">
        <v>196718</v>
      </c>
      <c r="H1265" s="116"/>
      <c r="I1265" s="116"/>
      <c r="L1265" s="170">
        <v>43867</v>
      </c>
      <c r="M1265" s="116">
        <v>2.5499999999999998</v>
      </c>
      <c r="N1265" s="116">
        <v>2.8</v>
      </c>
      <c r="O1265" s="116">
        <v>2.5</v>
      </c>
      <c r="P1265" s="116">
        <v>2.7</v>
      </c>
      <c r="Q1265" s="116">
        <v>2.5499999999999998</v>
      </c>
      <c r="R1265">
        <v>1088213</v>
      </c>
    </row>
    <row r="1266" spans="1:18" x14ac:dyDescent="0.25">
      <c r="A1266" s="170">
        <v>43868</v>
      </c>
      <c r="B1266" s="116">
        <v>3.1</v>
      </c>
      <c r="C1266" s="116">
        <v>3.1</v>
      </c>
      <c r="D1266" s="116">
        <v>2.57</v>
      </c>
      <c r="E1266" s="116">
        <v>2.78</v>
      </c>
      <c r="F1266" s="116">
        <v>3.1</v>
      </c>
      <c r="G1266">
        <v>2885883</v>
      </c>
      <c r="H1266" s="116"/>
      <c r="I1266" s="116"/>
      <c r="L1266" s="170">
        <v>43868</v>
      </c>
      <c r="M1266" s="116">
        <v>3.05</v>
      </c>
      <c r="N1266" s="116">
        <v>3.05</v>
      </c>
      <c r="O1266" s="116">
        <v>2.75</v>
      </c>
      <c r="P1266" s="116">
        <v>2.75</v>
      </c>
      <c r="Q1266" s="116">
        <v>3.05</v>
      </c>
      <c r="R1266">
        <v>10106922</v>
      </c>
    </row>
    <row r="1267" spans="1:18" x14ac:dyDescent="0.25">
      <c r="A1267" s="170">
        <v>43871</v>
      </c>
      <c r="B1267" s="116">
        <v>3.72</v>
      </c>
      <c r="C1267" s="116">
        <v>3.72</v>
      </c>
      <c r="D1267" s="116">
        <v>3.31</v>
      </c>
      <c r="E1267" s="116">
        <v>3.5</v>
      </c>
      <c r="F1267" s="116">
        <v>3.72</v>
      </c>
      <c r="G1267">
        <v>1985904</v>
      </c>
      <c r="H1267" s="116"/>
      <c r="I1267" s="116"/>
      <c r="L1267" s="170">
        <v>43871</v>
      </c>
      <c r="M1267" s="116">
        <v>3.65</v>
      </c>
      <c r="N1267" s="116">
        <v>3.65</v>
      </c>
      <c r="O1267" s="116">
        <v>3.3</v>
      </c>
      <c r="P1267" s="116">
        <v>3.5</v>
      </c>
      <c r="Q1267" s="116">
        <v>3.65</v>
      </c>
      <c r="R1267">
        <v>5474815</v>
      </c>
    </row>
    <row r="1268" spans="1:18" x14ac:dyDescent="0.25">
      <c r="A1268" s="170">
        <v>43872</v>
      </c>
      <c r="B1268" s="116">
        <v>4.09</v>
      </c>
      <c r="C1268" s="116">
        <v>4.09</v>
      </c>
      <c r="D1268" s="116">
        <v>4</v>
      </c>
      <c r="E1268" s="116">
        <v>4.03</v>
      </c>
      <c r="F1268" s="116">
        <v>4.09</v>
      </c>
      <c r="G1268">
        <v>1094035</v>
      </c>
      <c r="H1268" s="116"/>
      <c r="I1268" s="116"/>
      <c r="L1268" s="170">
        <v>43872</v>
      </c>
      <c r="M1268" s="116">
        <v>4</v>
      </c>
      <c r="N1268" s="116">
        <v>4</v>
      </c>
      <c r="O1268" s="116">
        <v>4</v>
      </c>
      <c r="P1268" s="116">
        <v>4</v>
      </c>
      <c r="Q1268" s="116">
        <v>4</v>
      </c>
      <c r="R1268">
        <v>890418</v>
      </c>
    </row>
    <row r="1269" spans="1:18" x14ac:dyDescent="0.25">
      <c r="A1269" s="170">
        <v>43873</v>
      </c>
      <c r="B1269" s="116">
        <v>4.3099999999999996</v>
      </c>
      <c r="C1269" s="116">
        <v>3.69</v>
      </c>
      <c r="D1269" s="116">
        <v>3.69</v>
      </c>
      <c r="E1269" s="116">
        <v>4.3</v>
      </c>
      <c r="F1269" s="116">
        <v>3.69</v>
      </c>
      <c r="G1269">
        <v>1289286</v>
      </c>
      <c r="H1269" s="116"/>
      <c r="I1269" s="116"/>
      <c r="L1269" s="170">
        <v>43873</v>
      </c>
      <c r="M1269" s="116">
        <v>3.6</v>
      </c>
      <c r="N1269" s="116">
        <v>4.4000000000000004</v>
      </c>
      <c r="O1269" s="116">
        <v>3.6</v>
      </c>
      <c r="P1269" s="116">
        <v>4.3499999999999996</v>
      </c>
      <c r="Q1269" s="116">
        <v>3.6</v>
      </c>
      <c r="R1269">
        <v>14227429</v>
      </c>
    </row>
    <row r="1270" spans="1:18" x14ac:dyDescent="0.25">
      <c r="A1270" s="170">
        <v>43874</v>
      </c>
      <c r="B1270" s="116">
        <v>3.98</v>
      </c>
      <c r="C1270" s="116">
        <v>3.64</v>
      </c>
      <c r="D1270" s="116">
        <v>3.33</v>
      </c>
      <c r="E1270" s="116">
        <v>3.35</v>
      </c>
      <c r="F1270" s="116">
        <v>3.64</v>
      </c>
      <c r="G1270">
        <v>1174330</v>
      </c>
      <c r="H1270" s="116"/>
      <c r="I1270" s="116"/>
      <c r="L1270" s="170">
        <v>43874</v>
      </c>
      <c r="M1270" s="116">
        <v>3.5</v>
      </c>
      <c r="N1270" s="116">
        <v>3.95</v>
      </c>
      <c r="O1270" s="116">
        <v>3.3</v>
      </c>
      <c r="P1270" s="116">
        <v>3.35</v>
      </c>
      <c r="Q1270" s="116">
        <v>3.5</v>
      </c>
      <c r="R1270">
        <v>7566783</v>
      </c>
    </row>
    <row r="1271" spans="1:18" x14ac:dyDescent="0.25">
      <c r="A1271" s="170">
        <v>43875</v>
      </c>
      <c r="B1271" s="116">
        <v>3.8</v>
      </c>
      <c r="C1271" s="116">
        <v>3.28</v>
      </c>
      <c r="D1271" s="116">
        <v>3.28</v>
      </c>
      <c r="E1271" s="116">
        <v>3.8</v>
      </c>
      <c r="F1271" s="116">
        <v>3.28</v>
      </c>
      <c r="G1271">
        <v>358403</v>
      </c>
      <c r="H1271" s="116"/>
      <c r="I1271" s="116"/>
      <c r="L1271" s="170">
        <v>43875</v>
      </c>
      <c r="M1271" s="116">
        <v>3.3</v>
      </c>
      <c r="N1271" s="116">
        <v>3.65</v>
      </c>
      <c r="O1271" s="116">
        <v>3.25</v>
      </c>
      <c r="P1271" s="116">
        <v>3.5</v>
      </c>
      <c r="Q1271" s="116">
        <v>3.3</v>
      </c>
      <c r="R1271">
        <v>3124886</v>
      </c>
    </row>
    <row r="1272" spans="1:18" x14ac:dyDescent="0.25">
      <c r="A1272" s="170">
        <v>43878</v>
      </c>
      <c r="B1272" s="116">
        <v>3.6</v>
      </c>
      <c r="C1272" s="116">
        <v>3.57</v>
      </c>
      <c r="D1272" s="116">
        <v>3.25</v>
      </c>
      <c r="E1272" s="116">
        <v>3.28</v>
      </c>
      <c r="F1272" s="116">
        <v>3.57</v>
      </c>
      <c r="G1272">
        <v>835855</v>
      </c>
      <c r="H1272" s="116"/>
      <c r="I1272" s="116"/>
      <c r="L1272" s="170">
        <v>43878</v>
      </c>
      <c r="M1272" s="116">
        <v>3.55</v>
      </c>
      <c r="N1272" s="116">
        <v>3.6</v>
      </c>
      <c r="O1272" s="116">
        <v>3.2</v>
      </c>
      <c r="P1272" s="116">
        <v>3.45</v>
      </c>
      <c r="Q1272" s="116">
        <v>3.55</v>
      </c>
      <c r="R1272">
        <v>3563301</v>
      </c>
    </row>
    <row r="1273" spans="1:18" x14ac:dyDescent="0.25">
      <c r="A1273" s="170">
        <v>43879</v>
      </c>
      <c r="B1273" s="116">
        <v>3.52</v>
      </c>
      <c r="C1273" s="116">
        <v>3.22</v>
      </c>
      <c r="D1273" s="116">
        <v>3.22</v>
      </c>
      <c r="E1273" s="116">
        <v>3.52</v>
      </c>
      <c r="F1273" s="116">
        <v>3.22</v>
      </c>
      <c r="G1273">
        <v>260123</v>
      </c>
      <c r="H1273" s="116"/>
      <c r="I1273" s="116"/>
      <c r="L1273" s="170">
        <v>43879</v>
      </c>
      <c r="M1273" s="116">
        <v>3.2</v>
      </c>
      <c r="N1273" s="116">
        <v>3.55</v>
      </c>
      <c r="O1273" s="116">
        <v>3.2</v>
      </c>
      <c r="P1273" s="116">
        <v>3.55</v>
      </c>
      <c r="Q1273" s="116">
        <v>3.2</v>
      </c>
      <c r="R1273">
        <v>2522540</v>
      </c>
    </row>
    <row r="1274" spans="1:18" x14ac:dyDescent="0.25">
      <c r="A1274" s="170">
        <v>43880</v>
      </c>
      <c r="B1274" s="116">
        <v>3.3</v>
      </c>
      <c r="C1274" s="116">
        <v>3.18</v>
      </c>
      <c r="D1274" s="116">
        <v>3.1</v>
      </c>
      <c r="E1274" s="116">
        <v>3.1</v>
      </c>
      <c r="F1274" s="116">
        <v>3.18</v>
      </c>
      <c r="G1274">
        <v>371221</v>
      </c>
      <c r="H1274" s="116"/>
      <c r="I1274" s="116"/>
      <c r="L1274" s="170">
        <v>43880</v>
      </c>
      <c r="M1274" s="116">
        <v>3.15</v>
      </c>
      <c r="N1274" s="116">
        <v>3.3</v>
      </c>
      <c r="O1274" s="116">
        <v>3.15</v>
      </c>
      <c r="P1274" s="116">
        <v>3.2</v>
      </c>
      <c r="Q1274" s="116">
        <v>3.15</v>
      </c>
      <c r="R1274">
        <v>2184195</v>
      </c>
    </row>
    <row r="1275" spans="1:18" x14ac:dyDescent="0.25">
      <c r="A1275" s="170">
        <v>43881</v>
      </c>
      <c r="B1275" s="116">
        <v>3.3</v>
      </c>
      <c r="C1275" s="116">
        <v>3.28</v>
      </c>
      <c r="D1275" s="116">
        <v>3.13</v>
      </c>
      <c r="E1275" s="116">
        <v>3.18</v>
      </c>
      <c r="F1275" s="116">
        <v>3.28</v>
      </c>
      <c r="G1275">
        <v>266668</v>
      </c>
      <c r="H1275" s="116"/>
      <c r="I1275" s="116"/>
      <c r="L1275" s="170">
        <v>43881</v>
      </c>
      <c r="M1275" s="116">
        <v>3.25</v>
      </c>
      <c r="N1275" s="116">
        <v>3.3</v>
      </c>
      <c r="O1275" s="116">
        <v>3.05</v>
      </c>
      <c r="P1275" s="116">
        <v>3.15</v>
      </c>
      <c r="Q1275" s="116">
        <v>3.25</v>
      </c>
      <c r="R1275">
        <v>1803291</v>
      </c>
    </row>
    <row r="1276" spans="1:18" x14ac:dyDescent="0.25">
      <c r="A1276" s="170">
        <v>43885</v>
      </c>
      <c r="B1276" s="116">
        <v>3.3</v>
      </c>
      <c r="C1276" s="116">
        <v>3.12</v>
      </c>
      <c r="D1276" s="116">
        <v>3.12</v>
      </c>
      <c r="E1276" s="116">
        <v>3.3</v>
      </c>
      <c r="F1276" s="116">
        <v>3.12</v>
      </c>
      <c r="G1276">
        <v>152705</v>
      </c>
      <c r="H1276" s="116"/>
      <c r="I1276" s="116"/>
      <c r="L1276" s="170">
        <v>43885</v>
      </c>
      <c r="M1276" s="116">
        <v>3.1</v>
      </c>
      <c r="N1276" s="116">
        <v>3.3</v>
      </c>
      <c r="O1276" s="116">
        <v>3.1</v>
      </c>
      <c r="P1276" s="116">
        <v>3.3</v>
      </c>
      <c r="Q1276" s="116">
        <v>3.1</v>
      </c>
      <c r="R1276">
        <v>978558</v>
      </c>
    </row>
    <row r="1277" spans="1:18" x14ac:dyDescent="0.25">
      <c r="A1277" s="170">
        <v>43886</v>
      </c>
      <c r="B1277" s="116">
        <v>3.1</v>
      </c>
      <c r="C1277" s="116">
        <v>2.98</v>
      </c>
      <c r="D1277" s="116">
        <v>2.97</v>
      </c>
      <c r="E1277" s="116">
        <v>3.07</v>
      </c>
      <c r="F1277" s="116">
        <v>2.98</v>
      </c>
      <c r="G1277">
        <v>279443</v>
      </c>
      <c r="H1277" s="116"/>
      <c r="I1277" s="116"/>
      <c r="L1277" s="170">
        <v>43886</v>
      </c>
      <c r="M1277" s="116">
        <v>2.95</v>
      </c>
      <c r="N1277" s="116">
        <v>3.15</v>
      </c>
      <c r="O1277" s="116">
        <v>2.95</v>
      </c>
      <c r="P1277" s="116">
        <v>3.15</v>
      </c>
      <c r="Q1277" s="116">
        <v>2.95</v>
      </c>
      <c r="R1277">
        <v>1486241</v>
      </c>
    </row>
    <row r="1278" spans="1:18" x14ac:dyDescent="0.25">
      <c r="A1278" s="170">
        <v>43887</v>
      </c>
      <c r="B1278" s="116">
        <v>3</v>
      </c>
      <c r="C1278" s="116">
        <v>2.88</v>
      </c>
      <c r="D1278" s="116">
        <v>2.85</v>
      </c>
      <c r="E1278" s="116">
        <v>2.93</v>
      </c>
      <c r="F1278" s="116">
        <v>2.88</v>
      </c>
      <c r="G1278">
        <v>176609</v>
      </c>
      <c r="H1278" s="116"/>
      <c r="I1278" s="116"/>
      <c r="L1278" s="170">
        <v>43887</v>
      </c>
      <c r="M1278" s="116">
        <v>2.85</v>
      </c>
      <c r="N1278" s="116">
        <v>3</v>
      </c>
      <c r="O1278" s="116">
        <v>2.85</v>
      </c>
      <c r="P1278" s="116">
        <v>2.95</v>
      </c>
      <c r="Q1278" s="116">
        <v>2.85</v>
      </c>
      <c r="R1278">
        <v>1115612</v>
      </c>
    </row>
    <row r="1279" spans="1:18" x14ac:dyDescent="0.25">
      <c r="A1279" s="170">
        <v>43888</v>
      </c>
      <c r="B1279" s="116">
        <v>2.92</v>
      </c>
      <c r="C1279" s="116">
        <v>2.77</v>
      </c>
      <c r="D1279" s="116">
        <v>2.76</v>
      </c>
      <c r="E1279" s="116">
        <v>2.89</v>
      </c>
      <c r="F1279" s="116">
        <v>2.77</v>
      </c>
      <c r="G1279">
        <v>237246</v>
      </c>
      <c r="H1279" s="116"/>
      <c r="I1279" s="116"/>
      <c r="L1279" s="170">
        <v>43888</v>
      </c>
      <c r="M1279" s="116">
        <v>2.75</v>
      </c>
      <c r="N1279" s="116">
        <v>2.95</v>
      </c>
      <c r="O1279" s="116">
        <v>2.75</v>
      </c>
      <c r="P1279" s="116">
        <v>2.85</v>
      </c>
      <c r="Q1279" s="116">
        <v>2.75</v>
      </c>
      <c r="R1279">
        <v>1535539</v>
      </c>
    </row>
    <row r="1280" spans="1:18" x14ac:dyDescent="0.25">
      <c r="A1280" s="170">
        <v>43889</v>
      </c>
      <c r="B1280" s="116">
        <v>2.89</v>
      </c>
      <c r="C1280" s="116">
        <v>2.64</v>
      </c>
      <c r="D1280" s="116">
        <v>2.64</v>
      </c>
      <c r="E1280" s="116">
        <v>2.89</v>
      </c>
      <c r="F1280" s="116">
        <v>2.64</v>
      </c>
      <c r="G1280">
        <v>432912</v>
      </c>
      <c r="H1280" s="116"/>
      <c r="I1280" s="116"/>
      <c r="L1280" s="170">
        <v>43889</v>
      </c>
      <c r="M1280" s="116">
        <v>2.65</v>
      </c>
      <c r="N1280" s="116">
        <v>2.75</v>
      </c>
      <c r="O1280" s="116">
        <v>2.65</v>
      </c>
      <c r="P1280" s="116">
        <v>2.75</v>
      </c>
      <c r="Q1280" s="116">
        <v>2.65</v>
      </c>
      <c r="R1280">
        <v>918455</v>
      </c>
    </row>
    <row r="1281" spans="1:18" x14ac:dyDescent="0.25">
      <c r="A1281" s="170">
        <v>43892</v>
      </c>
      <c r="B1281" s="116">
        <v>2.75</v>
      </c>
      <c r="C1281" s="116">
        <v>2.52</v>
      </c>
      <c r="D1281" s="116">
        <v>2.52</v>
      </c>
      <c r="E1281" s="116">
        <v>2.69</v>
      </c>
      <c r="F1281" s="116">
        <v>2.52</v>
      </c>
      <c r="G1281">
        <v>275210</v>
      </c>
      <c r="H1281" s="116"/>
      <c r="I1281" s="116"/>
      <c r="L1281" s="170">
        <v>43892</v>
      </c>
      <c r="M1281" s="116">
        <v>2.5499999999999998</v>
      </c>
      <c r="N1281" s="116">
        <v>2.75</v>
      </c>
      <c r="O1281" s="116">
        <v>2.5499999999999998</v>
      </c>
      <c r="P1281" s="116">
        <v>2.7</v>
      </c>
      <c r="Q1281" s="116">
        <v>2.5499999999999998</v>
      </c>
      <c r="R1281">
        <v>1203764</v>
      </c>
    </row>
    <row r="1282" spans="1:18" x14ac:dyDescent="0.25">
      <c r="A1282" s="170">
        <v>43893</v>
      </c>
      <c r="B1282" s="116">
        <v>2.6</v>
      </c>
      <c r="C1282" s="116">
        <v>2.4500000000000002</v>
      </c>
      <c r="D1282" s="116">
        <v>2.41</v>
      </c>
      <c r="E1282" s="116">
        <v>2.6</v>
      </c>
      <c r="F1282" s="116">
        <v>2.4500000000000002</v>
      </c>
      <c r="G1282">
        <v>134768</v>
      </c>
      <c r="H1282" s="116"/>
      <c r="I1282" s="116"/>
      <c r="L1282" s="170">
        <v>43893</v>
      </c>
      <c r="M1282" s="116">
        <v>2.4500000000000002</v>
      </c>
      <c r="N1282" s="116">
        <v>2.5499999999999998</v>
      </c>
      <c r="O1282" s="116">
        <v>2.4500000000000002</v>
      </c>
      <c r="P1282" s="116">
        <v>2.5499999999999998</v>
      </c>
      <c r="Q1282" s="116">
        <v>2.4500000000000002</v>
      </c>
      <c r="R1282">
        <v>1079957</v>
      </c>
    </row>
    <row r="1283" spans="1:18" x14ac:dyDescent="0.25">
      <c r="A1283" s="170">
        <v>43894</v>
      </c>
      <c r="B1283" s="116">
        <v>2.5499999999999998</v>
      </c>
      <c r="C1283" s="116">
        <v>2.54</v>
      </c>
      <c r="D1283" s="116">
        <v>2.36</v>
      </c>
      <c r="E1283" s="116">
        <v>2.5</v>
      </c>
      <c r="F1283" s="116">
        <v>2.54</v>
      </c>
      <c r="G1283">
        <v>183427</v>
      </c>
      <c r="H1283" s="116"/>
      <c r="I1283" s="116"/>
      <c r="L1283" s="170">
        <v>43894</v>
      </c>
      <c r="M1283" s="116">
        <v>2.5</v>
      </c>
      <c r="N1283" s="116">
        <v>2.5499999999999998</v>
      </c>
      <c r="O1283" s="116">
        <v>2.35</v>
      </c>
      <c r="P1283" s="116">
        <v>2.5499999999999998</v>
      </c>
      <c r="Q1283" s="116">
        <v>2.5</v>
      </c>
      <c r="R1283">
        <v>665721</v>
      </c>
    </row>
    <row r="1284" spans="1:18" x14ac:dyDescent="0.25">
      <c r="A1284" s="170">
        <v>43895</v>
      </c>
      <c r="B1284" s="116">
        <v>2.63</v>
      </c>
      <c r="C1284" s="116">
        <v>2.57</v>
      </c>
      <c r="D1284" s="116">
        <v>2.44</v>
      </c>
      <c r="E1284" s="116">
        <v>2.6</v>
      </c>
      <c r="F1284" s="116">
        <v>2.57</v>
      </c>
      <c r="G1284">
        <v>275713</v>
      </c>
      <c r="H1284" s="116"/>
      <c r="I1284" s="116"/>
      <c r="L1284" s="170">
        <v>43895</v>
      </c>
      <c r="M1284" s="116">
        <v>2.5499999999999998</v>
      </c>
      <c r="N1284" s="116">
        <v>2.6</v>
      </c>
      <c r="O1284" s="116">
        <v>2.5</v>
      </c>
      <c r="P1284" s="116">
        <v>2.5</v>
      </c>
      <c r="Q1284" s="116">
        <v>2.5499999999999998</v>
      </c>
      <c r="R1284">
        <v>320969</v>
      </c>
    </row>
    <row r="1285" spans="1:18" x14ac:dyDescent="0.25">
      <c r="A1285" s="170">
        <v>43896</v>
      </c>
      <c r="B1285" s="116">
        <v>2.6</v>
      </c>
      <c r="C1285" s="116">
        <v>2.4500000000000002</v>
      </c>
      <c r="D1285" s="116">
        <v>2.4500000000000002</v>
      </c>
      <c r="E1285" s="116">
        <v>2.4500000000000002</v>
      </c>
      <c r="F1285" s="116">
        <v>2.4500000000000002</v>
      </c>
      <c r="G1285">
        <v>118053</v>
      </c>
      <c r="H1285" s="116"/>
      <c r="I1285" s="116"/>
      <c r="L1285" s="170">
        <v>43896</v>
      </c>
      <c r="M1285" s="116">
        <v>2.4500000000000002</v>
      </c>
      <c r="N1285" s="116">
        <v>2.5499999999999998</v>
      </c>
      <c r="O1285" s="116">
        <v>2.4500000000000002</v>
      </c>
      <c r="P1285" s="116">
        <v>2.5</v>
      </c>
      <c r="Q1285" s="116">
        <v>2.4500000000000002</v>
      </c>
      <c r="R1285">
        <v>276418</v>
      </c>
    </row>
    <row r="1286" spans="1:18" x14ac:dyDescent="0.25">
      <c r="A1286" s="170">
        <v>43899</v>
      </c>
      <c r="B1286" s="116">
        <v>2.5</v>
      </c>
      <c r="C1286" s="116">
        <v>2.33</v>
      </c>
      <c r="D1286" s="116">
        <v>2.33</v>
      </c>
      <c r="E1286" s="116">
        <v>2.5</v>
      </c>
      <c r="F1286" s="116">
        <v>2.33</v>
      </c>
      <c r="G1286">
        <v>170252</v>
      </c>
      <c r="H1286" s="116"/>
      <c r="I1286" s="116"/>
      <c r="L1286" s="170">
        <v>43899</v>
      </c>
      <c r="M1286" s="116">
        <v>2.35</v>
      </c>
      <c r="N1286" s="116">
        <v>2.4500000000000002</v>
      </c>
      <c r="O1286" s="116">
        <v>2.35</v>
      </c>
      <c r="P1286" s="116">
        <v>2.35</v>
      </c>
      <c r="Q1286" s="116">
        <v>2.35</v>
      </c>
      <c r="R1286">
        <v>351296</v>
      </c>
    </row>
    <row r="1287" spans="1:18" x14ac:dyDescent="0.25">
      <c r="A1287" s="170">
        <v>43901</v>
      </c>
      <c r="B1287" s="116">
        <v>2.4</v>
      </c>
      <c r="C1287" s="116">
        <v>2.34</v>
      </c>
      <c r="D1287" s="116">
        <v>2.2200000000000002</v>
      </c>
      <c r="E1287" s="116">
        <v>2.4</v>
      </c>
      <c r="F1287" s="116">
        <v>2.34</v>
      </c>
      <c r="G1287">
        <v>189692</v>
      </c>
      <c r="H1287" s="116"/>
      <c r="I1287" s="116"/>
      <c r="L1287" s="170">
        <v>43901</v>
      </c>
      <c r="M1287" s="116">
        <v>2.2999999999999998</v>
      </c>
      <c r="N1287" s="116">
        <v>2.4</v>
      </c>
      <c r="O1287" s="116">
        <v>2.25</v>
      </c>
      <c r="P1287" s="116">
        <v>2.35</v>
      </c>
      <c r="Q1287" s="116">
        <v>2.2999999999999998</v>
      </c>
      <c r="R1287">
        <v>1098232</v>
      </c>
    </row>
    <row r="1288" spans="1:18" x14ac:dyDescent="0.25">
      <c r="A1288" s="170">
        <v>43902</v>
      </c>
      <c r="B1288" s="116">
        <v>2.37</v>
      </c>
      <c r="C1288" s="116">
        <v>2.25</v>
      </c>
      <c r="D1288" s="116">
        <v>2.23</v>
      </c>
      <c r="E1288" s="116">
        <v>2.34</v>
      </c>
      <c r="F1288" s="116">
        <v>2.25</v>
      </c>
      <c r="G1288">
        <v>341742</v>
      </c>
      <c r="H1288" s="116"/>
      <c r="I1288" s="116"/>
      <c r="L1288" s="170">
        <v>43902</v>
      </c>
      <c r="M1288" s="116">
        <v>2.25</v>
      </c>
      <c r="N1288" s="116">
        <v>2.35</v>
      </c>
      <c r="O1288" s="116">
        <v>2.25</v>
      </c>
      <c r="P1288" s="116">
        <v>2.25</v>
      </c>
      <c r="Q1288" s="116">
        <v>2.25</v>
      </c>
      <c r="R1288">
        <v>884612</v>
      </c>
    </row>
    <row r="1289" spans="1:18" x14ac:dyDescent="0.25">
      <c r="A1289" s="170">
        <v>43903</v>
      </c>
      <c r="B1289" s="116">
        <v>2.36</v>
      </c>
      <c r="C1289" s="116">
        <v>2.35</v>
      </c>
      <c r="D1289" s="116">
        <v>2.15</v>
      </c>
      <c r="E1289" s="116">
        <v>2.2400000000000002</v>
      </c>
      <c r="F1289" s="116">
        <v>2.35</v>
      </c>
      <c r="G1289">
        <v>367246</v>
      </c>
      <c r="H1289" s="116"/>
      <c r="I1289" s="116"/>
      <c r="L1289" s="170">
        <v>43903</v>
      </c>
      <c r="M1289" s="116">
        <v>2.35</v>
      </c>
      <c r="N1289" s="116">
        <v>2.35</v>
      </c>
      <c r="O1289" s="116">
        <v>2.15</v>
      </c>
      <c r="P1289" s="116">
        <v>2.2000000000000002</v>
      </c>
      <c r="Q1289" s="116">
        <v>2.35</v>
      </c>
      <c r="R1289">
        <v>875802</v>
      </c>
    </row>
    <row r="1290" spans="1:18" x14ac:dyDescent="0.25">
      <c r="A1290" s="170">
        <v>43906</v>
      </c>
      <c r="B1290" s="116">
        <v>2.46</v>
      </c>
      <c r="C1290" s="116">
        <v>2.42</v>
      </c>
      <c r="D1290" s="116">
        <v>2.2999999999999998</v>
      </c>
      <c r="E1290" s="116">
        <v>2.35</v>
      </c>
      <c r="F1290" s="116">
        <v>2.42</v>
      </c>
      <c r="G1290">
        <v>236873</v>
      </c>
      <c r="H1290" s="116"/>
      <c r="I1290" s="116"/>
      <c r="L1290" s="170">
        <v>43906</v>
      </c>
      <c r="M1290" s="116">
        <v>2.4</v>
      </c>
      <c r="N1290" s="116">
        <v>2.4500000000000002</v>
      </c>
      <c r="O1290" s="116">
        <v>2.2999999999999998</v>
      </c>
      <c r="P1290" s="116">
        <v>2.2999999999999998</v>
      </c>
      <c r="Q1290" s="116">
        <v>2.4</v>
      </c>
      <c r="R1290">
        <v>763303</v>
      </c>
    </row>
    <row r="1291" spans="1:18" x14ac:dyDescent="0.25">
      <c r="A1291" s="170">
        <v>43907</v>
      </c>
      <c r="B1291" s="116">
        <v>2.5299999999999998</v>
      </c>
      <c r="C1291" s="116">
        <v>2.4</v>
      </c>
      <c r="D1291" s="116">
        <v>2.36</v>
      </c>
      <c r="E1291" s="116">
        <v>2.4700000000000002</v>
      </c>
      <c r="F1291" s="116">
        <v>2.4</v>
      </c>
      <c r="G1291">
        <v>118565</v>
      </c>
      <c r="H1291" s="116"/>
      <c r="I1291" s="116"/>
      <c r="L1291" s="170">
        <v>43907</v>
      </c>
      <c r="M1291" s="116">
        <v>2.4</v>
      </c>
      <c r="N1291" s="116">
        <v>2.5</v>
      </c>
      <c r="O1291" s="116">
        <v>2.35</v>
      </c>
      <c r="P1291" s="116">
        <v>2.5</v>
      </c>
      <c r="Q1291" s="116">
        <v>2.4</v>
      </c>
      <c r="R1291">
        <v>331101</v>
      </c>
    </row>
    <row r="1292" spans="1:18" x14ac:dyDescent="0.25">
      <c r="A1292" s="170">
        <v>43908</v>
      </c>
      <c r="B1292" s="116">
        <v>2.4900000000000002</v>
      </c>
      <c r="C1292" s="116">
        <v>2.29</v>
      </c>
      <c r="D1292" s="116">
        <v>2.2799999999999998</v>
      </c>
      <c r="E1292" s="116">
        <v>2.36</v>
      </c>
      <c r="F1292" s="116">
        <v>2.29</v>
      </c>
      <c r="G1292">
        <v>236650</v>
      </c>
      <c r="H1292" s="116"/>
      <c r="I1292" s="116"/>
      <c r="L1292" s="170">
        <v>43908</v>
      </c>
      <c r="M1292" s="116">
        <v>2.2999999999999998</v>
      </c>
      <c r="N1292" s="116">
        <v>2.4500000000000002</v>
      </c>
      <c r="O1292" s="116">
        <v>2.2999999999999998</v>
      </c>
      <c r="P1292" s="116">
        <v>2.4500000000000002</v>
      </c>
      <c r="Q1292" s="116">
        <v>2.2999999999999998</v>
      </c>
      <c r="R1292">
        <v>895833</v>
      </c>
    </row>
    <row r="1293" spans="1:18" x14ac:dyDescent="0.25">
      <c r="A1293" s="170">
        <v>43909</v>
      </c>
      <c r="B1293" s="116">
        <v>2.35</v>
      </c>
      <c r="C1293" s="116">
        <v>2.1800000000000002</v>
      </c>
      <c r="D1293" s="116">
        <v>2.1800000000000002</v>
      </c>
      <c r="E1293" s="116">
        <v>2.2999999999999998</v>
      </c>
      <c r="F1293" s="116">
        <v>2.1800000000000002</v>
      </c>
      <c r="G1293">
        <v>135094</v>
      </c>
      <c r="H1293" s="116"/>
      <c r="I1293" s="116"/>
      <c r="L1293" s="170">
        <v>43909</v>
      </c>
      <c r="M1293" s="116">
        <v>2.2000000000000002</v>
      </c>
      <c r="N1293" s="116">
        <v>2.25</v>
      </c>
      <c r="O1293" s="116">
        <v>2.2000000000000002</v>
      </c>
      <c r="P1293" s="116">
        <v>2.2000000000000002</v>
      </c>
      <c r="Q1293" s="116">
        <v>2.2000000000000002</v>
      </c>
      <c r="R1293">
        <v>572630</v>
      </c>
    </row>
    <row r="1294" spans="1:18" x14ac:dyDescent="0.25">
      <c r="A1294" s="170">
        <v>43910</v>
      </c>
      <c r="B1294" s="116">
        <v>2.2799999999999998</v>
      </c>
      <c r="C1294" s="116">
        <v>2.08</v>
      </c>
      <c r="D1294" s="116">
        <v>2.08</v>
      </c>
      <c r="E1294" s="116">
        <v>2.14</v>
      </c>
      <c r="F1294" s="116">
        <v>2.08</v>
      </c>
      <c r="G1294">
        <v>335818</v>
      </c>
      <c r="H1294" s="116"/>
      <c r="I1294" s="116"/>
      <c r="L1294" s="170">
        <v>43910</v>
      </c>
      <c r="M1294" s="116">
        <v>2.1</v>
      </c>
      <c r="N1294" s="116">
        <v>2.2999999999999998</v>
      </c>
      <c r="O1294" s="116">
        <v>2.1</v>
      </c>
      <c r="P1294" s="116">
        <v>2.2000000000000002</v>
      </c>
      <c r="Q1294" s="116">
        <v>2.1</v>
      </c>
      <c r="R1294">
        <v>927031</v>
      </c>
    </row>
    <row r="1295" spans="1:18" x14ac:dyDescent="0.25">
      <c r="A1295" s="170">
        <v>43913</v>
      </c>
      <c r="B1295" s="116">
        <v>2.08</v>
      </c>
      <c r="C1295" s="116">
        <v>1.99</v>
      </c>
      <c r="D1295" s="116">
        <v>1.98</v>
      </c>
      <c r="E1295" s="116">
        <v>2.08</v>
      </c>
      <c r="F1295" s="116">
        <v>1.99</v>
      </c>
      <c r="G1295">
        <v>163516</v>
      </c>
      <c r="H1295" s="116"/>
      <c r="I1295" s="116"/>
      <c r="L1295" s="170">
        <v>43913</v>
      </c>
      <c r="M1295" s="116">
        <v>2</v>
      </c>
      <c r="N1295" s="116">
        <v>2.1</v>
      </c>
      <c r="O1295" s="116">
        <v>2</v>
      </c>
      <c r="P1295" s="116">
        <v>2</v>
      </c>
      <c r="Q1295" s="116">
        <v>2</v>
      </c>
      <c r="R1295">
        <v>240688</v>
      </c>
    </row>
    <row r="1296" spans="1:18" x14ac:dyDescent="0.25">
      <c r="A1296" s="170">
        <v>43914</v>
      </c>
      <c r="B1296" s="116">
        <v>2</v>
      </c>
      <c r="C1296" s="116">
        <v>1.9</v>
      </c>
      <c r="D1296" s="116">
        <v>1.9</v>
      </c>
      <c r="E1296" s="116">
        <v>2</v>
      </c>
      <c r="F1296" s="116">
        <v>1.9</v>
      </c>
      <c r="G1296">
        <v>145361</v>
      </c>
      <c r="H1296" s="116"/>
      <c r="I1296" s="116"/>
      <c r="L1296" s="170">
        <v>43914</v>
      </c>
      <c r="M1296" s="116">
        <v>1.9</v>
      </c>
      <c r="N1296" s="116">
        <v>2.0499999999999998</v>
      </c>
      <c r="O1296" s="116">
        <v>1.9</v>
      </c>
      <c r="P1296" s="116">
        <v>1.9</v>
      </c>
      <c r="Q1296" s="116">
        <v>1.9</v>
      </c>
      <c r="R1296">
        <v>311141</v>
      </c>
    </row>
    <row r="1297" spans="1:18" x14ac:dyDescent="0.25">
      <c r="A1297" s="170">
        <v>43915</v>
      </c>
      <c r="B1297" s="116">
        <v>1.98</v>
      </c>
      <c r="C1297" s="116">
        <v>1.82</v>
      </c>
      <c r="D1297" s="116">
        <v>1.81</v>
      </c>
      <c r="E1297" s="116">
        <v>1.9</v>
      </c>
      <c r="F1297" s="116">
        <v>1.82</v>
      </c>
      <c r="G1297">
        <v>94917</v>
      </c>
      <c r="H1297" s="116"/>
      <c r="I1297" s="116"/>
      <c r="L1297" s="170">
        <v>43915</v>
      </c>
      <c r="M1297" s="116">
        <v>1.85</v>
      </c>
      <c r="N1297" s="116">
        <v>1.85</v>
      </c>
      <c r="O1297" s="116">
        <v>1.85</v>
      </c>
      <c r="P1297" s="116">
        <v>1.85</v>
      </c>
      <c r="Q1297" s="116">
        <v>1.85</v>
      </c>
      <c r="R1297">
        <v>223718</v>
      </c>
    </row>
    <row r="1298" spans="1:18" x14ac:dyDescent="0.25">
      <c r="A1298" s="170">
        <v>43916</v>
      </c>
      <c r="B1298" s="116">
        <v>1.91</v>
      </c>
      <c r="C1298" s="116">
        <v>1.91</v>
      </c>
      <c r="D1298" s="116">
        <v>1.8</v>
      </c>
      <c r="E1298" s="116">
        <v>1.89</v>
      </c>
      <c r="F1298" s="116">
        <v>1.91</v>
      </c>
      <c r="G1298">
        <v>86060</v>
      </c>
      <c r="H1298" s="116"/>
      <c r="I1298" s="116"/>
      <c r="L1298" s="170">
        <v>43916</v>
      </c>
      <c r="M1298" s="116">
        <v>1.9</v>
      </c>
      <c r="N1298" s="116">
        <v>1.9</v>
      </c>
      <c r="O1298" s="116">
        <v>1.8</v>
      </c>
      <c r="P1298" s="116">
        <v>1.85</v>
      </c>
      <c r="Q1298" s="116">
        <v>1.9</v>
      </c>
      <c r="R1298">
        <v>719098</v>
      </c>
    </row>
    <row r="1299" spans="1:18" x14ac:dyDescent="0.25">
      <c r="A1299" s="170">
        <v>43917</v>
      </c>
      <c r="B1299" s="116">
        <v>1.98</v>
      </c>
      <c r="C1299" s="116">
        <v>1.83</v>
      </c>
      <c r="D1299" s="116">
        <v>1.82</v>
      </c>
      <c r="E1299" s="116">
        <v>1.9</v>
      </c>
      <c r="F1299" s="116">
        <v>1.83</v>
      </c>
      <c r="G1299">
        <v>102522</v>
      </c>
      <c r="H1299" s="116"/>
      <c r="I1299" s="116"/>
      <c r="L1299" s="170">
        <v>43917</v>
      </c>
      <c r="M1299" s="116">
        <v>1.85</v>
      </c>
      <c r="N1299" s="116">
        <v>1.95</v>
      </c>
      <c r="O1299" s="116">
        <v>1.85</v>
      </c>
      <c r="P1299" s="116">
        <v>1.85</v>
      </c>
      <c r="Q1299" s="116">
        <v>1.85</v>
      </c>
      <c r="R1299">
        <v>403856</v>
      </c>
    </row>
    <row r="1300" spans="1:18" x14ac:dyDescent="0.25">
      <c r="A1300" s="170">
        <v>43920</v>
      </c>
      <c r="B1300" s="116">
        <v>1.91</v>
      </c>
      <c r="C1300" s="116">
        <v>1.89</v>
      </c>
      <c r="D1300" s="116">
        <v>1.81</v>
      </c>
      <c r="E1300" s="116">
        <v>1.83</v>
      </c>
      <c r="F1300" s="116">
        <v>1.89</v>
      </c>
      <c r="G1300">
        <v>128034</v>
      </c>
      <c r="H1300" s="116"/>
      <c r="I1300" s="116"/>
      <c r="L1300" s="170">
        <v>43920</v>
      </c>
      <c r="M1300" s="116">
        <v>1.85</v>
      </c>
      <c r="N1300" s="116">
        <v>1.9</v>
      </c>
      <c r="O1300" s="116">
        <v>1.8</v>
      </c>
      <c r="P1300" s="116">
        <v>1.85</v>
      </c>
      <c r="Q1300" s="116">
        <v>1.85</v>
      </c>
      <c r="R1300">
        <v>389116</v>
      </c>
    </row>
    <row r="1301" spans="1:18" x14ac:dyDescent="0.25">
      <c r="A1301" s="170">
        <v>43921</v>
      </c>
      <c r="B1301" s="116">
        <v>1.93</v>
      </c>
      <c r="C1301" s="116">
        <v>1.8</v>
      </c>
      <c r="D1301" s="116">
        <v>1.8</v>
      </c>
      <c r="E1301" s="116">
        <v>1.89</v>
      </c>
      <c r="F1301" s="116">
        <v>1.8</v>
      </c>
      <c r="G1301">
        <v>383726</v>
      </c>
      <c r="H1301" s="116"/>
      <c r="I1301" s="116"/>
      <c r="L1301" s="170">
        <v>43921</v>
      </c>
      <c r="M1301" s="116">
        <v>1.8</v>
      </c>
      <c r="N1301" s="116">
        <v>1.9</v>
      </c>
      <c r="O1301" s="116">
        <v>1.8</v>
      </c>
      <c r="P1301" s="116">
        <v>1.85</v>
      </c>
      <c r="Q1301" s="116">
        <v>1.8</v>
      </c>
      <c r="R1301">
        <v>745985</v>
      </c>
    </row>
    <row r="1302" spans="1:18" x14ac:dyDescent="0.25">
      <c r="A1302" s="170">
        <v>43922</v>
      </c>
      <c r="B1302" s="116">
        <v>1.89</v>
      </c>
      <c r="C1302" s="116">
        <v>1.88</v>
      </c>
      <c r="D1302" s="116">
        <v>1.8</v>
      </c>
      <c r="E1302" s="116">
        <v>1.89</v>
      </c>
      <c r="F1302" s="116">
        <v>1.88</v>
      </c>
      <c r="G1302">
        <v>87014</v>
      </c>
      <c r="H1302" s="116"/>
      <c r="I1302" s="116"/>
      <c r="L1302" s="170">
        <v>43922</v>
      </c>
      <c r="M1302" s="116">
        <v>1.85</v>
      </c>
      <c r="N1302" s="116">
        <v>1.85</v>
      </c>
      <c r="O1302" s="116">
        <v>1.8</v>
      </c>
      <c r="P1302" s="116">
        <v>1.85</v>
      </c>
      <c r="Q1302" s="116">
        <v>1.85</v>
      </c>
      <c r="R1302">
        <v>580536</v>
      </c>
    </row>
    <row r="1303" spans="1:18" x14ac:dyDescent="0.25">
      <c r="A1303" s="170">
        <v>43924</v>
      </c>
      <c r="B1303" s="116">
        <v>1.88</v>
      </c>
      <c r="C1303" s="116">
        <v>1.82</v>
      </c>
      <c r="D1303" s="116">
        <v>1.8</v>
      </c>
      <c r="E1303" s="116">
        <v>1.88</v>
      </c>
      <c r="F1303" s="116">
        <v>1.82</v>
      </c>
      <c r="G1303">
        <v>69739</v>
      </c>
      <c r="H1303" s="116"/>
      <c r="I1303" s="116"/>
      <c r="L1303" s="170">
        <v>43924</v>
      </c>
      <c r="M1303" s="116">
        <v>1.85</v>
      </c>
      <c r="N1303" s="116">
        <v>1.9</v>
      </c>
      <c r="O1303" s="116">
        <v>1.8</v>
      </c>
      <c r="P1303" s="116">
        <v>1.85</v>
      </c>
      <c r="Q1303" s="116">
        <v>1.85</v>
      </c>
      <c r="R1303">
        <v>754124</v>
      </c>
    </row>
    <row r="1304" spans="1:18" x14ac:dyDescent="0.25">
      <c r="A1304" s="170">
        <v>43928</v>
      </c>
      <c r="B1304" s="116">
        <v>1.91</v>
      </c>
      <c r="C1304" s="116">
        <v>1.9</v>
      </c>
      <c r="D1304" s="116">
        <v>1.8</v>
      </c>
      <c r="E1304" s="116">
        <v>1.82</v>
      </c>
      <c r="F1304" s="116">
        <v>1.9</v>
      </c>
      <c r="G1304">
        <v>181477</v>
      </c>
      <c r="H1304" s="116"/>
      <c r="I1304" s="116"/>
      <c r="L1304" s="170">
        <v>43928</v>
      </c>
      <c r="M1304" s="116">
        <v>1.9</v>
      </c>
      <c r="N1304" s="116">
        <v>1.9</v>
      </c>
      <c r="O1304" s="116">
        <v>1.8</v>
      </c>
      <c r="P1304" s="116">
        <v>1.9</v>
      </c>
      <c r="Q1304" s="116">
        <v>1.9</v>
      </c>
      <c r="R1304">
        <v>695309</v>
      </c>
    </row>
    <row r="1305" spans="1:18" x14ac:dyDescent="0.25">
      <c r="A1305" s="170">
        <v>43929</v>
      </c>
      <c r="B1305" s="116">
        <v>1.99</v>
      </c>
      <c r="C1305" s="116">
        <v>1.99</v>
      </c>
      <c r="D1305" s="116">
        <v>1.91</v>
      </c>
      <c r="E1305" s="116">
        <v>1.91</v>
      </c>
      <c r="F1305" s="116">
        <v>1.99</v>
      </c>
      <c r="G1305">
        <v>153118</v>
      </c>
      <c r="H1305" s="116"/>
      <c r="I1305" s="116"/>
      <c r="L1305" s="170">
        <v>43929</v>
      </c>
      <c r="M1305" s="116">
        <v>1.95</v>
      </c>
      <c r="N1305" s="116">
        <v>1.95</v>
      </c>
      <c r="O1305" s="116">
        <v>1.9</v>
      </c>
      <c r="P1305" s="116">
        <v>1.95</v>
      </c>
      <c r="Q1305" s="116">
        <v>1.95</v>
      </c>
      <c r="R1305">
        <v>219700</v>
      </c>
    </row>
    <row r="1306" spans="1:18" x14ac:dyDescent="0.25">
      <c r="A1306" s="170">
        <v>43930</v>
      </c>
      <c r="B1306" s="116">
        <v>2.0499999999999998</v>
      </c>
      <c r="C1306" s="116">
        <v>2.0299999999999998</v>
      </c>
      <c r="D1306" s="116">
        <v>1.9</v>
      </c>
      <c r="E1306" s="116">
        <v>2.0499999999999998</v>
      </c>
      <c r="F1306" s="116">
        <v>2.0299999999999998</v>
      </c>
      <c r="G1306">
        <v>933225</v>
      </c>
      <c r="H1306" s="116"/>
      <c r="I1306" s="116"/>
      <c r="L1306" s="170">
        <v>43930</v>
      </c>
      <c r="M1306" s="116">
        <v>2</v>
      </c>
      <c r="N1306" s="116">
        <v>2</v>
      </c>
      <c r="O1306" s="116">
        <v>1.9</v>
      </c>
      <c r="P1306" s="116">
        <v>2</v>
      </c>
      <c r="Q1306" s="116">
        <v>2</v>
      </c>
      <c r="R1306">
        <v>925178</v>
      </c>
    </row>
    <row r="1307" spans="1:18" x14ac:dyDescent="0.25">
      <c r="A1307" s="170">
        <v>43934</v>
      </c>
      <c r="B1307" s="116">
        <v>2.13</v>
      </c>
      <c r="C1307" s="116">
        <v>2.11</v>
      </c>
      <c r="D1307" s="116">
        <v>1.99</v>
      </c>
      <c r="E1307" s="116">
        <v>2.12</v>
      </c>
      <c r="F1307" s="116">
        <v>2.11</v>
      </c>
      <c r="G1307">
        <v>556501</v>
      </c>
      <c r="H1307" s="116"/>
      <c r="I1307" s="116"/>
      <c r="L1307" s="170">
        <v>43934</v>
      </c>
      <c r="M1307" s="116">
        <v>2.1</v>
      </c>
      <c r="N1307" s="116">
        <v>2.1</v>
      </c>
      <c r="O1307" s="116">
        <v>1.95</v>
      </c>
      <c r="P1307" s="116">
        <v>2.0499999999999998</v>
      </c>
      <c r="Q1307" s="116">
        <v>2.1</v>
      </c>
      <c r="R1307">
        <v>609432</v>
      </c>
    </row>
    <row r="1308" spans="1:18" x14ac:dyDescent="0.25">
      <c r="A1308" s="170">
        <v>43936</v>
      </c>
      <c r="B1308" s="116">
        <v>2.21</v>
      </c>
      <c r="C1308" s="116">
        <v>2.2000000000000002</v>
      </c>
      <c r="D1308" s="116">
        <v>2.1</v>
      </c>
      <c r="E1308" s="116">
        <v>2.2000000000000002</v>
      </c>
      <c r="F1308" s="116">
        <v>2.2000000000000002</v>
      </c>
      <c r="G1308">
        <v>299902</v>
      </c>
      <c r="H1308" s="116"/>
      <c r="I1308" s="116"/>
      <c r="L1308" s="170">
        <v>43936</v>
      </c>
      <c r="M1308" s="116">
        <v>2.2000000000000002</v>
      </c>
      <c r="N1308" s="116">
        <v>2.2000000000000002</v>
      </c>
      <c r="O1308" s="116">
        <v>2.1</v>
      </c>
      <c r="P1308" s="116">
        <v>2.1</v>
      </c>
      <c r="Q1308" s="116">
        <v>2.2000000000000002</v>
      </c>
      <c r="R1308">
        <v>737529</v>
      </c>
    </row>
    <row r="1309" spans="1:18" x14ac:dyDescent="0.25">
      <c r="A1309" s="170">
        <v>43937</v>
      </c>
      <c r="B1309" s="116">
        <v>2.31</v>
      </c>
      <c r="C1309" s="116">
        <v>2.31</v>
      </c>
      <c r="D1309" s="116">
        <v>2.16</v>
      </c>
      <c r="E1309" s="116">
        <v>2.1800000000000002</v>
      </c>
      <c r="F1309" s="116">
        <v>2.31</v>
      </c>
      <c r="G1309">
        <v>239512</v>
      </c>
      <c r="H1309" s="116"/>
      <c r="I1309" s="116"/>
      <c r="L1309" s="170">
        <v>43937</v>
      </c>
      <c r="M1309" s="116">
        <v>2.2999999999999998</v>
      </c>
      <c r="N1309" s="116">
        <v>2.2999999999999998</v>
      </c>
      <c r="O1309" s="116">
        <v>2.2000000000000002</v>
      </c>
      <c r="P1309" s="116">
        <v>2.2999999999999998</v>
      </c>
      <c r="Q1309" s="116">
        <v>2.2999999999999998</v>
      </c>
      <c r="R1309">
        <v>339570</v>
      </c>
    </row>
    <row r="1310" spans="1:18" x14ac:dyDescent="0.25">
      <c r="A1310" s="170">
        <v>43938</v>
      </c>
      <c r="B1310" s="116">
        <v>2.42</v>
      </c>
      <c r="C1310" s="116">
        <v>2.42</v>
      </c>
      <c r="D1310" s="116">
        <v>2.35</v>
      </c>
      <c r="E1310" s="116">
        <v>2.41</v>
      </c>
      <c r="F1310" s="116">
        <v>2.42</v>
      </c>
      <c r="G1310">
        <v>220032</v>
      </c>
      <c r="H1310" s="116"/>
      <c r="I1310" s="116"/>
      <c r="L1310" s="170">
        <v>43938</v>
      </c>
      <c r="M1310" s="116">
        <v>2.4</v>
      </c>
      <c r="N1310" s="116">
        <v>2.4</v>
      </c>
      <c r="O1310" s="116">
        <v>2.2999999999999998</v>
      </c>
      <c r="P1310" s="116">
        <v>2.4</v>
      </c>
      <c r="Q1310" s="116">
        <v>2.4</v>
      </c>
      <c r="R1310">
        <v>286147</v>
      </c>
    </row>
    <row r="1311" spans="1:18" x14ac:dyDescent="0.25">
      <c r="A1311" s="170">
        <v>43941</v>
      </c>
      <c r="B1311" s="116">
        <v>2.54</v>
      </c>
      <c r="C1311" s="116">
        <v>2.54</v>
      </c>
      <c r="D1311" s="116">
        <v>2.54</v>
      </c>
      <c r="E1311" s="116">
        <v>2.54</v>
      </c>
      <c r="F1311" s="116">
        <v>2.54</v>
      </c>
      <c r="G1311">
        <v>741667</v>
      </c>
      <c r="H1311" s="116"/>
      <c r="I1311" s="116"/>
      <c r="L1311" s="170">
        <v>43941</v>
      </c>
      <c r="M1311" s="116">
        <v>2.5</v>
      </c>
      <c r="N1311" s="116">
        <v>2.5</v>
      </c>
      <c r="O1311" s="116">
        <v>2.5</v>
      </c>
      <c r="P1311" s="116">
        <v>2.5</v>
      </c>
      <c r="Q1311" s="116">
        <v>2.5</v>
      </c>
      <c r="R1311">
        <v>179376</v>
      </c>
    </row>
    <row r="1312" spans="1:18" x14ac:dyDescent="0.25">
      <c r="A1312" s="170">
        <v>43942</v>
      </c>
      <c r="B1312" s="116">
        <v>2.66</v>
      </c>
      <c r="C1312" s="116">
        <v>2.66</v>
      </c>
      <c r="D1312" s="116">
        <v>2.56</v>
      </c>
      <c r="E1312" s="116">
        <v>2.66</v>
      </c>
      <c r="F1312" s="116">
        <v>2.66</v>
      </c>
      <c r="G1312">
        <v>747400</v>
      </c>
      <c r="H1312" s="116"/>
      <c r="I1312" s="116"/>
      <c r="L1312" s="170">
        <v>43942</v>
      </c>
      <c r="M1312" s="116">
        <v>2.6</v>
      </c>
      <c r="N1312" s="116">
        <v>2.6</v>
      </c>
      <c r="O1312" s="116">
        <v>2.6</v>
      </c>
      <c r="P1312" s="116">
        <v>2.6</v>
      </c>
      <c r="Q1312" s="116">
        <v>2.6</v>
      </c>
      <c r="R1312">
        <v>753997</v>
      </c>
    </row>
    <row r="1313" spans="1:18" x14ac:dyDescent="0.25">
      <c r="A1313" s="170">
        <v>43943</v>
      </c>
      <c r="B1313" s="116">
        <v>2.79</v>
      </c>
      <c r="C1313" s="116">
        <v>2.79</v>
      </c>
      <c r="D1313" s="116">
        <v>2.66</v>
      </c>
      <c r="E1313" s="116">
        <v>2.79</v>
      </c>
      <c r="F1313" s="116">
        <v>2.79</v>
      </c>
      <c r="G1313">
        <v>709564</v>
      </c>
      <c r="H1313" s="116"/>
      <c r="I1313" s="116"/>
      <c r="L1313" s="170">
        <v>43943</v>
      </c>
      <c r="M1313" s="116">
        <v>2.7</v>
      </c>
      <c r="N1313" s="116">
        <v>2.7</v>
      </c>
      <c r="O1313" s="116">
        <v>2.7</v>
      </c>
      <c r="P1313" s="116">
        <v>2.7</v>
      </c>
      <c r="Q1313" s="116">
        <v>2.7</v>
      </c>
      <c r="R1313">
        <v>338778</v>
      </c>
    </row>
    <row r="1314" spans="1:18" x14ac:dyDescent="0.25">
      <c r="A1314" s="170">
        <v>43944</v>
      </c>
      <c r="B1314" s="116">
        <v>2.92</v>
      </c>
      <c r="C1314" s="116">
        <v>2.92</v>
      </c>
      <c r="D1314" s="116">
        <v>2.85</v>
      </c>
      <c r="E1314" s="116">
        <v>2.91</v>
      </c>
      <c r="F1314" s="116">
        <v>2.92</v>
      </c>
      <c r="G1314">
        <v>903751</v>
      </c>
      <c r="H1314" s="116"/>
      <c r="I1314" s="116"/>
      <c r="L1314" s="170">
        <v>43944</v>
      </c>
      <c r="M1314" s="116">
        <v>2.8</v>
      </c>
      <c r="N1314" s="116">
        <v>2.8</v>
      </c>
      <c r="O1314" s="116">
        <v>2.8</v>
      </c>
      <c r="P1314" s="116">
        <v>2.8</v>
      </c>
      <c r="Q1314" s="116">
        <v>2.8</v>
      </c>
      <c r="R1314">
        <v>243122</v>
      </c>
    </row>
    <row r="1315" spans="1:18" x14ac:dyDescent="0.25">
      <c r="A1315" s="170">
        <v>43945</v>
      </c>
      <c r="B1315" s="116">
        <v>3.06</v>
      </c>
      <c r="C1315" s="116">
        <v>3.01</v>
      </c>
      <c r="D1315" s="116">
        <v>2.84</v>
      </c>
      <c r="E1315" s="116">
        <v>3.05</v>
      </c>
      <c r="F1315" s="116">
        <v>3.01</v>
      </c>
      <c r="G1315">
        <v>1236932</v>
      </c>
      <c r="H1315" s="116"/>
      <c r="I1315" s="116"/>
      <c r="L1315" s="170">
        <v>43945</v>
      </c>
      <c r="M1315" s="116">
        <v>2.9</v>
      </c>
      <c r="N1315" s="116">
        <v>2.9</v>
      </c>
      <c r="O1315" s="116">
        <v>2.9</v>
      </c>
      <c r="P1315" s="116">
        <v>2.9</v>
      </c>
      <c r="Q1315" s="116">
        <v>2.9</v>
      </c>
      <c r="R1315">
        <v>685685</v>
      </c>
    </row>
    <row r="1316" spans="1:18" x14ac:dyDescent="0.25">
      <c r="A1316" s="170">
        <v>43948</v>
      </c>
      <c r="B1316" s="116">
        <v>3.09</v>
      </c>
      <c r="C1316" s="116">
        <v>2.86</v>
      </c>
      <c r="D1316" s="116">
        <v>2.86</v>
      </c>
      <c r="E1316" s="116">
        <v>3.09</v>
      </c>
      <c r="F1316" s="116">
        <v>2.86</v>
      </c>
      <c r="G1316">
        <v>496271</v>
      </c>
      <c r="H1316" s="116"/>
      <c r="I1316" s="116"/>
      <c r="L1316" s="170">
        <v>43948</v>
      </c>
      <c r="M1316" s="116">
        <v>2.8</v>
      </c>
      <c r="N1316" s="116">
        <v>3</v>
      </c>
      <c r="O1316" s="116">
        <v>2.8</v>
      </c>
      <c r="P1316" s="116">
        <v>3</v>
      </c>
      <c r="Q1316" s="116">
        <v>2.8</v>
      </c>
      <c r="R1316">
        <v>2516422</v>
      </c>
    </row>
    <row r="1317" spans="1:18" x14ac:dyDescent="0.25">
      <c r="A1317" s="170">
        <v>43949</v>
      </c>
      <c r="B1317" s="116">
        <v>2.72</v>
      </c>
      <c r="C1317" s="116">
        <v>2.72</v>
      </c>
      <c r="D1317" s="116">
        <v>2.72</v>
      </c>
      <c r="E1317" s="116">
        <v>2.72</v>
      </c>
      <c r="F1317" s="116">
        <v>2.72</v>
      </c>
      <c r="G1317">
        <v>35096</v>
      </c>
      <c r="H1317" s="116"/>
      <c r="I1317" s="116"/>
      <c r="L1317" s="170">
        <v>43949</v>
      </c>
      <c r="M1317" s="116">
        <v>2.7</v>
      </c>
      <c r="N1317" s="116">
        <v>2.7</v>
      </c>
      <c r="O1317" s="116">
        <v>2.7</v>
      </c>
      <c r="P1317" s="116">
        <v>2.7</v>
      </c>
      <c r="Q1317" s="116">
        <v>2.7</v>
      </c>
      <c r="R1317">
        <v>372529</v>
      </c>
    </row>
    <row r="1318" spans="1:18" x14ac:dyDescent="0.25">
      <c r="A1318" s="170">
        <v>43950</v>
      </c>
      <c r="B1318" s="116">
        <v>2.59</v>
      </c>
      <c r="C1318" s="116">
        <v>2.59</v>
      </c>
      <c r="D1318" s="116">
        <v>2.59</v>
      </c>
      <c r="E1318" s="116">
        <v>2.59</v>
      </c>
      <c r="F1318" s="116">
        <v>2.59</v>
      </c>
      <c r="G1318">
        <v>290594</v>
      </c>
      <c r="H1318" s="116"/>
      <c r="I1318" s="116"/>
      <c r="L1318" s="170">
        <v>43950</v>
      </c>
      <c r="M1318" s="116">
        <v>2.6</v>
      </c>
      <c r="N1318" s="116">
        <v>2.6</v>
      </c>
      <c r="O1318" s="116">
        <v>2.6</v>
      </c>
      <c r="P1318" s="116">
        <v>2.6</v>
      </c>
      <c r="Q1318" s="116">
        <v>2.6</v>
      </c>
      <c r="R1318">
        <v>261574</v>
      </c>
    </row>
    <row r="1319" spans="1:18" x14ac:dyDescent="0.25">
      <c r="A1319" s="170">
        <v>43951</v>
      </c>
      <c r="B1319" s="116">
        <v>2.57</v>
      </c>
      <c r="C1319" s="116">
        <v>2.52</v>
      </c>
      <c r="D1319" s="116">
        <v>2.4700000000000002</v>
      </c>
      <c r="E1319" s="116">
        <v>2.4700000000000002</v>
      </c>
      <c r="F1319" s="116">
        <v>2.52</v>
      </c>
      <c r="G1319">
        <v>825340</v>
      </c>
      <c r="H1319" s="116"/>
      <c r="I1319" s="116"/>
      <c r="L1319" s="170">
        <v>43951</v>
      </c>
      <c r="M1319" s="116">
        <v>2.5</v>
      </c>
      <c r="N1319" s="116">
        <v>2.5</v>
      </c>
      <c r="O1319" s="116">
        <v>2.5</v>
      </c>
      <c r="P1319" s="116">
        <v>2.5</v>
      </c>
      <c r="Q1319" s="116">
        <v>2.5</v>
      </c>
      <c r="R1319">
        <v>416508</v>
      </c>
    </row>
    <row r="1320" spans="1:18" x14ac:dyDescent="0.25">
      <c r="A1320" s="170">
        <v>43955</v>
      </c>
      <c r="B1320" s="116">
        <v>2.4</v>
      </c>
      <c r="C1320" s="116">
        <v>2.4</v>
      </c>
      <c r="D1320" s="116">
        <v>2.4</v>
      </c>
      <c r="E1320" s="116">
        <v>2.4</v>
      </c>
      <c r="F1320" s="116">
        <v>2.4</v>
      </c>
      <c r="G1320">
        <v>102650</v>
      </c>
      <c r="H1320" s="116"/>
      <c r="I1320" s="116"/>
      <c r="L1320" s="170">
        <v>43955</v>
      </c>
      <c r="M1320" s="116">
        <v>2.4</v>
      </c>
      <c r="N1320" s="116">
        <v>2.4</v>
      </c>
      <c r="O1320" s="116">
        <v>2.4</v>
      </c>
      <c r="P1320" s="116">
        <v>2.4</v>
      </c>
      <c r="Q1320" s="116">
        <v>2.4</v>
      </c>
      <c r="R1320">
        <v>550782</v>
      </c>
    </row>
    <row r="1321" spans="1:18" x14ac:dyDescent="0.25">
      <c r="A1321" s="170">
        <v>43956</v>
      </c>
      <c r="B1321" s="116">
        <v>2.35</v>
      </c>
      <c r="C1321" s="116">
        <v>2.2799999999999998</v>
      </c>
      <c r="D1321" s="116">
        <v>2.2799999999999998</v>
      </c>
      <c r="E1321" s="116">
        <v>2.2999999999999998</v>
      </c>
      <c r="F1321" s="116">
        <v>2.2799999999999998</v>
      </c>
      <c r="G1321">
        <v>240104</v>
      </c>
      <c r="H1321" s="116"/>
      <c r="I1321" s="116"/>
      <c r="L1321" s="170">
        <v>43956</v>
      </c>
      <c r="M1321" s="116">
        <v>2.2999999999999998</v>
      </c>
      <c r="N1321" s="116">
        <v>2.2999999999999998</v>
      </c>
      <c r="O1321" s="116">
        <v>2.2999999999999998</v>
      </c>
      <c r="P1321" s="116">
        <v>2.2999999999999998</v>
      </c>
      <c r="Q1321" s="116">
        <v>2.2999999999999998</v>
      </c>
      <c r="R1321">
        <v>270724</v>
      </c>
    </row>
    <row r="1322" spans="1:18" x14ac:dyDescent="0.25">
      <c r="A1322" s="170">
        <v>43957</v>
      </c>
      <c r="B1322" s="116">
        <v>2.2400000000000002</v>
      </c>
      <c r="C1322" s="116">
        <v>2.17</v>
      </c>
      <c r="D1322" s="116">
        <v>2.17</v>
      </c>
      <c r="E1322" s="116">
        <v>2.17</v>
      </c>
      <c r="F1322" s="116">
        <v>2.17</v>
      </c>
      <c r="G1322">
        <v>381390</v>
      </c>
      <c r="H1322" s="116"/>
      <c r="I1322" s="116"/>
      <c r="L1322" s="170">
        <v>43957</v>
      </c>
      <c r="M1322" s="116">
        <v>2.2000000000000002</v>
      </c>
      <c r="N1322" s="116">
        <v>2.2000000000000002</v>
      </c>
      <c r="O1322" s="116">
        <v>2.2000000000000002</v>
      </c>
      <c r="P1322" s="116">
        <v>2.2000000000000002</v>
      </c>
      <c r="Q1322" s="116">
        <v>2.2000000000000002</v>
      </c>
      <c r="R1322">
        <v>365987</v>
      </c>
    </row>
    <row r="1323" spans="1:18" x14ac:dyDescent="0.25">
      <c r="A1323" s="170">
        <v>43958</v>
      </c>
      <c r="B1323" s="116">
        <v>2.27</v>
      </c>
      <c r="C1323" s="116">
        <v>2.27</v>
      </c>
      <c r="D1323" s="116">
        <v>2.0699999999999998</v>
      </c>
      <c r="E1323" s="116">
        <v>2.21</v>
      </c>
      <c r="F1323" s="116">
        <v>2.27</v>
      </c>
      <c r="G1323">
        <v>99561</v>
      </c>
      <c r="H1323" s="116"/>
      <c r="I1323" s="116"/>
      <c r="L1323" s="170">
        <v>43958</v>
      </c>
      <c r="M1323" s="116">
        <v>2.2999999999999998</v>
      </c>
      <c r="N1323" s="116">
        <v>2.2999999999999998</v>
      </c>
      <c r="O1323" s="116">
        <v>2.1</v>
      </c>
      <c r="P1323" s="116">
        <v>2.1</v>
      </c>
      <c r="Q1323" s="116">
        <v>2.2999999999999998</v>
      </c>
      <c r="R1323">
        <v>581270</v>
      </c>
    </row>
    <row r="1324" spans="1:18" x14ac:dyDescent="0.25">
      <c r="A1324" s="170">
        <v>43959</v>
      </c>
      <c r="B1324" s="116">
        <v>2.38</v>
      </c>
      <c r="C1324" s="116">
        <v>2.36</v>
      </c>
      <c r="D1324" s="116">
        <v>2.35</v>
      </c>
      <c r="E1324" s="116">
        <v>2.38</v>
      </c>
      <c r="F1324" s="116">
        <v>2.36</v>
      </c>
      <c r="G1324">
        <v>235712</v>
      </c>
      <c r="H1324" s="116"/>
      <c r="I1324" s="116"/>
      <c r="L1324" s="170">
        <v>43959</v>
      </c>
      <c r="M1324" s="116">
        <v>2.4</v>
      </c>
      <c r="N1324" s="116">
        <v>2.4</v>
      </c>
      <c r="O1324" s="116">
        <v>2.2999999999999998</v>
      </c>
      <c r="P1324" s="116">
        <v>2.4</v>
      </c>
      <c r="Q1324" s="116">
        <v>2.4</v>
      </c>
      <c r="R1324">
        <v>970534</v>
      </c>
    </row>
    <row r="1325" spans="1:18" x14ac:dyDescent="0.25">
      <c r="A1325" s="170">
        <v>43962</v>
      </c>
      <c r="B1325" s="116">
        <v>2.4700000000000002</v>
      </c>
      <c r="C1325" s="116">
        <v>2.4700000000000002</v>
      </c>
      <c r="D1325" s="116">
        <v>2.4700000000000002</v>
      </c>
      <c r="E1325" s="116">
        <v>2.4700000000000002</v>
      </c>
      <c r="F1325" s="116">
        <v>2.4700000000000002</v>
      </c>
      <c r="G1325">
        <v>108008</v>
      </c>
      <c r="H1325" s="116"/>
      <c r="I1325" s="116"/>
      <c r="L1325" s="170">
        <v>43962</v>
      </c>
      <c r="M1325" s="116">
        <v>2.5</v>
      </c>
      <c r="N1325" s="116">
        <v>2.5</v>
      </c>
      <c r="O1325" s="116">
        <v>2.4500000000000002</v>
      </c>
      <c r="P1325" s="116">
        <v>2.5</v>
      </c>
      <c r="Q1325" s="116">
        <v>2.5</v>
      </c>
      <c r="R1325">
        <v>487068</v>
      </c>
    </row>
    <row r="1326" spans="1:18" x14ac:dyDescent="0.25">
      <c r="A1326" s="170">
        <v>43963</v>
      </c>
      <c r="B1326" s="116">
        <v>2.59</v>
      </c>
      <c r="C1326" s="116">
        <v>2.59</v>
      </c>
      <c r="D1326" s="116">
        <v>2.59</v>
      </c>
      <c r="E1326" s="116">
        <v>2.59</v>
      </c>
      <c r="F1326" s="116">
        <v>2.59</v>
      </c>
      <c r="G1326">
        <v>37474</v>
      </c>
      <c r="H1326" s="116"/>
      <c r="I1326" s="116"/>
      <c r="L1326" s="170">
        <v>43963</v>
      </c>
      <c r="M1326" s="116">
        <v>2.6</v>
      </c>
      <c r="N1326" s="116">
        <v>2.6</v>
      </c>
      <c r="O1326" s="116">
        <v>2.5499999999999998</v>
      </c>
      <c r="P1326" s="116">
        <v>2.6</v>
      </c>
      <c r="Q1326" s="116">
        <v>2.6</v>
      </c>
      <c r="R1326">
        <v>745972</v>
      </c>
    </row>
    <row r="1327" spans="1:18" x14ac:dyDescent="0.25">
      <c r="A1327" s="170">
        <v>43964</v>
      </c>
      <c r="B1327" s="116">
        <v>2.71</v>
      </c>
      <c r="C1327" s="116">
        <v>2.71</v>
      </c>
      <c r="D1327" s="116">
        <v>2.48</v>
      </c>
      <c r="E1327" s="116">
        <v>2.71</v>
      </c>
      <c r="F1327" s="116">
        <v>2.71</v>
      </c>
      <c r="G1327">
        <v>693750</v>
      </c>
      <c r="H1327" s="116"/>
      <c r="I1327" s="116"/>
      <c r="L1327" s="170">
        <v>43964</v>
      </c>
      <c r="M1327" s="116">
        <v>2.7</v>
      </c>
      <c r="N1327" s="116">
        <v>2.7</v>
      </c>
      <c r="O1327" s="116">
        <v>2.5</v>
      </c>
      <c r="P1327" s="116">
        <v>2.7</v>
      </c>
      <c r="Q1327" s="116">
        <v>2.7</v>
      </c>
      <c r="R1327">
        <v>1716918</v>
      </c>
    </row>
    <row r="1328" spans="1:18" x14ac:dyDescent="0.25">
      <c r="A1328" s="170">
        <v>43965</v>
      </c>
      <c r="B1328" s="116">
        <v>2.8</v>
      </c>
      <c r="C1328" s="116">
        <v>2.62</v>
      </c>
      <c r="D1328" s="116">
        <v>2.58</v>
      </c>
      <c r="E1328" s="116">
        <v>2.71</v>
      </c>
      <c r="F1328" s="116">
        <v>2.62</v>
      </c>
      <c r="G1328">
        <v>268337</v>
      </c>
      <c r="H1328" s="116"/>
      <c r="I1328" s="116"/>
      <c r="L1328" s="170">
        <v>43965</v>
      </c>
      <c r="M1328" s="116">
        <v>2.65</v>
      </c>
      <c r="N1328" s="116">
        <v>2.8</v>
      </c>
      <c r="O1328" s="116">
        <v>2.6</v>
      </c>
      <c r="P1328" s="116">
        <v>2.8</v>
      </c>
      <c r="Q1328" s="116">
        <v>2.65</v>
      </c>
      <c r="R1328">
        <v>1119861</v>
      </c>
    </row>
    <row r="1329" spans="1:18" x14ac:dyDescent="0.25">
      <c r="A1329" s="170">
        <v>43966</v>
      </c>
      <c r="B1329" s="116">
        <v>2.7</v>
      </c>
      <c r="C1329" s="116">
        <v>2.54</v>
      </c>
      <c r="D1329" s="116">
        <v>2.4900000000000002</v>
      </c>
      <c r="E1329" s="116">
        <v>2.7</v>
      </c>
      <c r="F1329" s="116">
        <v>2.54</v>
      </c>
      <c r="G1329">
        <v>274228</v>
      </c>
      <c r="H1329" s="116"/>
      <c r="I1329" s="116"/>
      <c r="L1329" s="170">
        <v>43966</v>
      </c>
      <c r="M1329" s="116">
        <v>2.6</v>
      </c>
      <c r="N1329" s="116">
        <v>2.75</v>
      </c>
      <c r="O1329" s="116">
        <v>2.5499999999999998</v>
      </c>
      <c r="P1329" s="116">
        <v>2.65</v>
      </c>
      <c r="Q1329" s="116">
        <v>2.6</v>
      </c>
      <c r="R1329">
        <v>441354</v>
      </c>
    </row>
    <row r="1330" spans="1:18" x14ac:dyDescent="0.25">
      <c r="A1330" s="170">
        <v>43969</v>
      </c>
      <c r="B1330" s="116">
        <v>2.66</v>
      </c>
      <c r="C1330" s="116">
        <v>2.5</v>
      </c>
      <c r="D1330" s="116">
        <v>2.46</v>
      </c>
      <c r="E1330" s="116">
        <v>2.5099999999999998</v>
      </c>
      <c r="F1330" s="116">
        <v>2.5</v>
      </c>
      <c r="G1330">
        <v>158559</v>
      </c>
      <c r="H1330" s="116"/>
      <c r="I1330" s="116"/>
      <c r="L1330" s="170">
        <v>43969</v>
      </c>
      <c r="M1330" s="116">
        <v>2.5</v>
      </c>
      <c r="N1330" s="116">
        <v>2.7</v>
      </c>
      <c r="O1330" s="116">
        <v>2.5</v>
      </c>
      <c r="P1330" s="116">
        <v>2.65</v>
      </c>
      <c r="Q1330" s="116">
        <v>2.5</v>
      </c>
      <c r="R1330">
        <v>618647</v>
      </c>
    </row>
    <row r="1331" spans="1:18" x14ac:dyDescent="0.25">
      <c r="A1331" s="170">
        <v>43970</v>
      </c>
      <c r="B1331" s="116">
        <v>2.5499999999999998</v>
      </c>
      <c r="C1331" s="116">
        <v>2.5</v>
      </c>
      <c r="D1331" s="116">
        <v>2.38</v>
      </c>
      <c r="E1331" s="116">
        <v>2.38</v>
      </c>
      <c r="F1331" s="116">
        <v>2.5</v>
      </c>
      <c r="G1331">
        <v>159991</v>
      </c>
      <c r="H1331" s="116"/>
      <c r="I1331" s="116"/>
      <c r="L1331" s="170">
        <v>43970</v>
      </c>
      <c r="M1331" s="116">
        <v>2.5</v>
      </c>
      <c r="N1331" s="116">
        <v>2.6</v>
      </c>
      <c r="O1331" s="116">
        <v>2.4</v>
      </c>
      <c r="P1331" s="116">
        <v>2.5</v>
      </c>
      <c r="Q1331" s="116">
        <v>2.5</v>
      </c>
      <c r="R1331">
        <v>569128</v>
      </c>
    </row>
    <row r="1332" spans="1:18" x14ac:dyDescent="0.25">
      <c r="A1332" s="170">
        <v>43971</v>
      </c>
      <c r="B1332" s="116">
        <v>2.62</v>
      </c>
      <c r="C1332" s="116">
        <v>2.58</v>
      </c>
      <c r="D1332" s="116">
        <v>2.5</v>
      </c>
      <c r="E1332" s="116">
        <v>2.6</v>
      </c>
      <c r="F1332" s="116">
        <v>2.58</v>
      </c>
      <c r="G1332">
        <v>167130</v>
      </c>
      <c r="H1332" s="116"/>
      <c r="I1332" s="116"/>
      <c r="L1332" s="170">
        <v>43971</v>
      </c>
      <c r="M1332" s="116">
        <v>2.6</v>
      </c>
      <c r="N1332" s="116">
        <v>2.6</v>
      </c>
      <c r="O1332" s="116">
        <v>2.5</v>
      </c>
      <c r="P1332" s="116">
        <v>2.5499999999999998</v>
      </c>
      <c r="Q1332" s="116">
        <v>2.6</v>
      </c>
      <c r="R1332">
        <v>882141</v>
      </c>
    </row>
    <row r="1333" spans="1:18" x14ac:dyDescent="0.25">
      <c r="A1333" s="170">
        <v>43972</v>
      </c>
      <c r="B1333" s="116">
        <v>2.7</v>
      </c>
      <c r="C1333" s="116">
        <v>2.69</v>
      </c>
      <c r="D1333" s="116">
        <v>2.5</v>
      </c>
      <c r="E1333" s="116">
        <v>2.57</v>
      </c>
      <c r="F1333" s="116">
        <v>2.69</v>
      </c>
      <c r="G1333">
        <v>192120</v>
      </c>
      <c r="H1333" s="116"/>
      <c r="I1333" s="116"/>
      <c r="L1333" s="170">
        <v>43972</v>
      </c>
      <c r="M1333" s="116">
        <v>2.7</v>
      </c>
      <c r="N1333" s="116">
        <v>2.7</v>
      </c>
      <c r="O1333" s="116">
        <v>2.5</v>
      </c>
      <c r="P1333" s="116">
        <v>2.6</v>
      </c>
      <c r="Q1333" s="116">
        <v>2.7</v>
      </c>
      <c r="R1333">
        <v>1707515</v>
      </c>
    </row>
    <row r="1334" spans="1:18" x14ac:dyDescent="0.25">
      <c r="A1334" s="170">
        <v>43973</v>
      </c>
      <c r="B1334" s="116">
        <v>2.75</v>
      </c>
      <c r="C1334" s="116">
        <v>2.66</v>
      </c>
      <c r="D1334" s="116">
        <v>2.6</v>
      </c>
      <c r="E1334" s="116">
        <v>2.7</v>
      </c>
      <c r="F1334" s="116">
        <v>2.66</v>
      </c>
      <c r="G1334">
        <v>63390</v>
      </c>
      <c r="H1334" s="116"/>
      <c r="I1334" s="116"/>
      <c r="L1334" s="170">
        <v>43973</v>
      </c>
      <c r="M1334" s="116">
        <v>2.65</v>
      </c>
      <c r="N1334" s="116">
        <v>2.8</v>
      </c>
      <c r="O1334" s="116">
        <v>2.6</v>
      </c>
      <c r="P1334" s="116">
        <v>2.8</v>
      </c>
      <c r="Q1334" s="116">
        <v>2.65</v>
      </c>
      <c r="R1334">
        <v>502122</v>
      </c>
    </row>
    <row r="1335" spans="1:18" x14ac:dyDescent="0.25">
      <c r="A1335" s="170">
        <v>43977</v>
      </c>
      <c r="B1335" s="116">
        <v>2.7</v>
      </c>
      <c r="C1335" s="116">
        <v>2.57</v>
      </c>
      <c r="D1335" s="116">
        <v>2.5499999999999998</v>
      </c>
      <c r="E1335" s="116">
        <v>2.7</v>
      </c>
      <c r="F1335" s="116">
        <v>2.57</v>
      </c>
      <c r="G1335">
        <v>82819</v>
      </c>
      <c r="H1335" s="116"/>
      <c r="I1335" s="116"/>
      <c r="L1335" s="170">
        <v>43977</v>
      </c>
      <c r="M1335" s="116">
        <v>2.5499999999999998</v>
      </c>
      <c r="N1335" s="116">
        <v>2.7</v>
      </c>
      <c r="O1335" s="116">
        <v>2.5499999999999998</v>
      </c>
      <c r="P1335" s="116">
        <v>2.65</v>
      </c>
      <c r="Q1335" s="116">
        <v>2.5499999999999998</v>
      </c>
      <c r="R1335">
        <v>767701</v>
      </c>
    </row>
    <row r="1336" spans="1:18" x14ac:dyDescent="0.25">
      <c r="A1336" s="170">
        <v>43978</v>
      </c>
      <c r="B1336" s="116">
        <v>2.5499999999999998</v>
      </c>
      <c r="C1336" s="116">
        <v>2.5299999999999998</v>
      </c>
      <c r="D1336" s="116">
        <v>2.4500000000000002</v>
      </c>
      <c r="E1336" s="116">
        <v>2.52</v>
      </c>
      <c r="F1336" s="116">
        <v>2.5299999999999998</v>
      </c>
      <c r="G1336">
        <v>150293</v>
      </c>
      <c r="H1336" s="116"/>
      <c r="I1336" s="116"/>
      <c r="L1336" s="170">
        <v>43978</v>
      </c>
      <c r="M1336" s="116">
        <v>2.5</v>
      </c>
      <c r="N1336" s="116">
        <v>2.6</v>
      </c>
      <c r="O1336" s="116">
        <v>2.4500000000000002</v>
      </c>
      <c r="P1336" s="116">
        <v>2.6</v>
      </c>
      <c r="Q1336" s="116">
        <v>2.5</v>
      </c>
      <c r="R1336">
        <v>461932</v>
      </c>
    </row>
    <row r="1337" spans="1:18" x14ac:dyDescent="0.25">
      <c r="A1337" s="170">
        <v>43979</v>
      </c>
      <c r="B1337" s="116">
        <v>2.65</v>
      </c>
      <c r="C1337" s="116">
        <v>2.65</v>
      </c>
      <c r="D1337" s="116">
        <v>2.4500000000000002</v>
      </c>
      <c r="E1337" s="116">
        <v>2.6</v>
      </c>
      <c r="F1337" s="116">
        <v>2.65</v>
      </c>
      <c r="G1337">
        <v>501113</v>
      </c>
      <c r="H1337" s="116"/>
      <c r="I1337" s="116"/>
      <c r="L1337" s="170">
        <v>43979</v>
      </c>
      <c r="M1337" s="116">
        <v>2.6</v>
      </c>
      <c r="N1337" s="116">
        <v>2.6</v>
      </c>
      <c r="O1337" s="116">
        <v>2.5</v>
      </c>
      <c r="P1337" s="116">
        <v>2.5</v>
      </c>
      <c r="Q1337" s="116">
        <v>2.6</v>
      </c>
      <c r="R1337">
        <v>544311</v>
      </c>
    </row>
    <row r="1338" spans="1:18" x14ac:dyDescent="0.25">
      <c r="A1338" s="170">
        <v>43980</v>
      </c>
      <c r="B1338" s="116">
        <v>2.78</v>
      </c>
      <c r="C1338" s="116">
        <v>2.78</v>
      </c>
      <c r="D1338" s="116">
        <v>2.6</v>
      </c>
      <c r="E1338" s="116">
        <v>2.65</v>
      </c>
      <c r="F1338" s="116">
        <v>2.78</v>
      </c>
      <c r="G1338">
        <v>909344</v>
      </c>
      <c r="H1338" s="116"/>
      <c r="I1338" s="116"/>
      <c r="L1338" s="170">
        <v>43980</v>
      </c>
      <c r="M1338" s="116">
        <v>2.7</v>
      </c>
      <c r="N1338" s="116">
        <v>2.7</v>
      </c>
      <c r="O1338" s="116">
        <v>2.6</v>
      </c>
      <c r="P1338" s="116">
        <v>2.7</v>
      </c>
      <c r="Q1338" s="116">
        <v>2.7</v>
      </c>
      <c r="R1338">
        <v>1212658</v>
      </c>
    </row>
    <row r="1339" spans="1:18" x14ac:dyDescent="0.25">
      <c r="A1339" s="170">
        <v>43983</v>
      </c>
      <c r="B1339" s="116">
        <v>2.91</v>
      </c>
      <c r="C1339" s="116">
        <v>2.83</v>
      </c>
      <c r="D1339" s="116">
        <v>2.78</v>
      </c>
      <c r="E1339" s="116">
        <v>2.8</v>
      </c>
      <c r="F1339" s="116">
        <v>2.83</v>
      </c>
      <c r="G1339">
        <v>1498618</v>
      </c>
      <c r="H1339" s="116"/>
      <c r="I1339" s="116"/>
      <c r="L1339" s="170">
        <v>43983</v>
      </c>
      <c r="M1339" s="116">
        <v>2.8</v>
      </c>
      <c r="N1339" s="116">
        <v>2.8</v>
      </c>
      <c r="O1339" s="116">
        <v>2.75</v>
      </c>
      <c r="P1339" s="116">
        <v>2.75</v>
      </c>
      <c r="Q1339" s="116">
        <v>2.8</v>
      </c>
      <c r="R1339">
        <v>458524</v>
      </c>
    </row>
    <row r="1340" spans="1:18" x14ac:dyDescent="0.25">
      <c r="A1340" s="170">
        <v>43984</v>
      </c>
      <c r="B1340" s="116">
        <v>2.97</v>
      </c>
      <c r="C1340" s="116">
        <v>2.78</v>
      </c>
      <c r="D1340" s="116">
        <v>2.69</v>
      </c>
      <c r="E1340" s="116">
        <v>2.94</v>
      </c>
      <c r="F1340" s="116">
        <v>2.78</v>
      </c>
      <c r="G1340">
        <v>2908400</v>
      </c>
      <c r="H1340" s="116"/>
      <c r="I1340" s="116"/>
      <c r="L1340" s="170">
        <v>43984</v>
      </c>
      <c r="M1340" s="116">
        <v>2.8</v>
      </c>
      <c r="N1340" s="116">
        <v>2.9</v>
      </c>
      <c r="O1340" s="116">
        <v>2.7</v>
      </c>
      <c r="P1340" s="116">
        <v>2.9</v>
      </c>
      <c r="Q1340" s="116">
        <v>2.8</v>
      </c>
      <c r="R1340">
        <v>4920787</v>
      </c>
    </row>
    <row r="1341" spans="1:18" x14ac:dyDescent="0.25">
      <c r="A1341" s="170">
        <v>43985</v>
      </c>
      <c r="B1341" s="116">
        <v>2.8</v>
      </c>
      <c r="C1341" s="116">
        <v>2.75</v>
      </c>
      <c r="D1341" s="116">
        <v>2.7</v>
      </c>
      <c r="E1341" s="116">
        <v>2.75</v>
      </c>
      <c r="F1341" s="116">
        <v>2.75</v>
      </c>
      <c r="G1341">
        <v>1152220</v>
      </c>
      <c r="H1341" s="116"/>
      <c r="I1341" s="116"/>
      <c r="L1341" s="170">
        <v>43985</v>
      </c>
      <c r="M1341" s="116">
        <v>2.75</v>
      </c>
      <c r="N1341" s="116">
        <v>2.8</v>
      </c>
      <c r="O1341" s="116">
        <v>2.7</v>
      </c>
      <c r="P1341" s="116">
        <v>2.7</v>
      </c>
      <c r="Q1341" s="116">
        <v>2.75</v>
      </c>
      <c r="R1341">
        <v>2959828</v>
      </c>
    </row>
    <row r="1342" spans="1:18" x14ac:dyDescent="0.25">
      <c r="A1342" s="170">
        <v>43986</v>
      </c>
      <c r="B1342" s="116">
        <v>2.88</v>
      </c>
      <c r="C1342" s="116">
        <v>2.88</v>
      </c>
      <c r="D1342" s="116">
        <v>2.7</v>
      </c>
      <c r="E1342" s="116">
        <v>2.83</v>
      </c>
      <c r="F1342" s="116">
        <v>2.88</v>
      </c>
      <c r="G1342">
        <v>1283506</v>
      </c>
      <c r="H1342" s="116"/>
      <c r="I1342" s="116"/>
      <c r="L1342" s="170">
        <v>43986</v>
      </c>
      <c r="M1342" s="116">
        <v>2.85</v>
      </c>
      <c r="N1342" s="116">
        <v>2.85</v>
      </c>
      <c r="O1342" s="116">
        <v>2.7</v>
      </c>
      <c r="P1342" s="116">
        <v>2.75</v>
      </c>
      <c r="Q1342" s="116">
        <v>2.85</v>
      </c>
      <c r="R1342">
        <v>2715754</v>
      </c>
    </row>
    <row r="1343" spans="1:18" x14ac:dyDescent="0.25">
      <c r="A1343" s="170">
        <v>43987</v>
      </c>
      <c r="B1343" s="116">
        <v>3.16</v>
      </c>
      <c r="C1343" s="116">
        <v>3.16</v>
      </c>
      <c r="D1343" s="116">
        <v>2.99</v>
      </c>
      <c r="E1343" s="116">
        <v>3</v>
      </c>
      <c r="F1343" s="116">
        <v>3.16</v>
      </c>
      <c r="G1343">
        <v>3159411</v>
      </c>
      <c r="H1343" s="116"/>
      <c r="I1343" s="116"/>
      <c r="L1343" s="170">
        <v>43987</v>
      </c>
      <c r="M1343" s="116">
        <v>3.1</v>
      </c>
      <c r="N1343" s="116">
        <v>3.1</v>
      </c>
      <c r="O1343" s="116">
        <v>3</v>
      </c>
      <c r="P1343" s="116">
        <v>3</v>
      </c>
      <c r="Q1343" s="116">
        <v>3.1</v>
      </c>
      <c r="R1343">
        <v>969134</v>
      </c>
    </row>
    <row r="1344" spans="1:18" x14ac:dyDescent="0.25">
      <c r="A1344" s="170">
        <v>43990</v>
      </c>
      <c r="B1344" s="116">
        <v>3.47</v>
      </c>
      <c r="C1344" s="116">
        <v>3.47</v>
      </c>
      <c r="D1344" s="116">
        <v>3.4</v>
      </c>
      <c r="E1344" s="116">
        <v>3.47</v>
      </c>
      <c r="F1344" s="116">
        <v>3.47</v>
      </c>
      <c r="G1344">
        <v>1623470</v>
      </c>
      <c r="H1344" s="116"/>
      <c r="I1344" s="116"/>
      <c r="L1344" s="170">
        <v>43990</v>
      </c>
      <c r="M1344" s="116">
        <v>3.4</v>
      </c>
      <c r="N1344" s="116">
        <v>3.4</v>
      </c>
      <c r="O1344" s="116">
        <v>3.4</v>
      </c>
      <c r="P1344" s="116">
        <v>3.4</v>
      </c>
      <c r="Q1344" s="116">
        <v>3.4</v>
      </c>
      <c r="R1344">
        <v>402301</v>
      </c>
    </row>
    <row r="1345" spans="1:18" x14ac:dyDescent="0.25">
      <c r="A1345" s="170">
        <v>43991</v>
      </c>
      <c r="B1345" s="116">
        <v>3.81</v>
      </c>
      <c r="C1345" s="116">
        <v>3.81</v>
      </c>
      <c r="D1345" s="116">
        <v>3.6</v>
      </c>
      <c r="E1345" s="116">
        <v>3.74</v>
      </c>
      <c r="F1345" s="116">
        <v>3.81</v>
      </c>
      <c r="G1345">
        <v>2463907</v>
      </c>
      <c r="H1345" s="116"/>
      <c r="I1345" s="116"/>
      <c r="L1345" s="170">
        <v>43991</v>
      </c>
      <c r="M1345" s="116">
        <v>3.7</v>
      </c>
      <c r="N1345" s="116">
        <v>3.7</v>
      </c>
      <c r="O1345" s="116">
        <v>3.7</v>
      </c>
      <c r="P1345" s="116">
        <v>3.7</v>
      </c>
      <c r="Q1345" s="116">
        <v>3.7</v>
      </c>
      <c r="R1345">
        <v>743303</v>
      </c>
    </row>
    <row r="1346" spans="1:18" x14ac:dyDescent="0.25">
      <c r="A1346" s="170">
        <v>43992</v>
      </c>
      <c r="B1346" s="116">
        <v>3.95</v>
      </c>
      <c r="C1346" s="116">
        <v>3.62</v>
      </c>
      <c r="D1346" s="116">
        <v>3.62</v>
      </c>
      <c r="E1346" s="116">
        <v>3.86</v>
      </c>
      <c r="F1346" s="116">
        <v>3.62</v>
      </c>
      <c r="G1346">
        <v>844759</v>
      </c>
      <c r="H1346" s="116"/>
      <c r="I1346" s="116"/>
      <c r="L1346" s="170">
        <v>43992</v>
      </c>
      <c r="M1346" s="116">
        <v>3.55</v>
      </c>
      <c r="N1346" s="116">
        <v>3.85</v>
      </c>
      <c r="O1346" s="116">
        <v>3.55</v>
      </c>
      <c r="P1346" s="116">
        <v>3.85</v>
      </c>
      <c r="Q1346" s="116">
        <v>3.55</v>
      </c>
      <c r="R1346">
        <v>3940313</v>
      </c>
    </row>
    <row r="1347" spans="1:18" x14ac:dyDescent="0.25">
      <c r="A1347" s="170">
        <v>43993</v>
      </c>
      <c r="B1347" s="116">
        <v>3.69</v>
      </c>
      <c r="C1347" s="116">
        <v>3.45</v>
      </c>
      <c r="D1347" s="116">
        <v>3.44</v>
      </c>
      <c r="E1347" s="116">
        <v>3.44</v>
      </c>
      <c r="F1347" s="116">
        <v>3.45</v>
      </c>
      <c r="G1347">
        <v>4327068</v>
      </c>
      <c r="H1347" s="116"/>
      <c r="I1347" s="116"/>
      <c r="L1347" s="170">
        <v>43993</v>
      </c>
      <c r="M1347" s="116">
        <v>3.45</v>
      </c>
      <c r="N1347" s="116">
        <v>3.7</v>
      </c>
      <c r="O1347" s="116">
        <v>3.4</v>
      </c>
      <c r="P1347" s="116">
        <v>3.5</v>
      </c>
      <c r="Q1347" s="116">
        <v>3.45</v>
      </c>
      <c r="R1347">
        <v>8748305</v>
      </c>
    </row>
    <row r="1348" spans="1:18" x14ac:dyDescent="0.25">
      <c r="A1348" s="170">
        <v>43994</v>
      </c>
      <c r="B1348" s="116">
        <v>3.6</v>
      </c>
      <c r="C1348" s="116">
        <v>3.49</v>
      </c>
      <c r="D1348" s="116">
        <v>3.28</v>
      </c>
      <c r="E1348" s="116">
        <v>3.35</v>
      </c>
      <c r="F1348" s="116">
        <v>3.49</v>
      </c>
      <c r="G1348">
        <v>930626</v>
      </c>
      <c r="H1348" s="116"/>
      <c r="I1348" s="116"/>
      <c r="L1348" s="170">
        <v>43994</v>
      </c>
      <c r="M1348" s="116">
        <v>3.5</v>
      </c>
      <c r="N1348" s="116">
        <v>3.6</v>
      </c>
      <c r="O1348" s="116">
        <v>3.3</v>
      </c>
      <c r="P1348" s="116">
        <v>3.35</v>
      </c>
      <c r="Q1348" s="116">
        <v>3.5</v>
      </c>
      <c r="R1348">
        <v>3784297</v>
      </c>
    </row>
    <row r="1349" spans="1:18" x14ac:dyDescent="0.25">
      <c r="A1349" s="170">
        <v>43997</v>
      </c>
      <c r="B1349" s="116">
        <v>3.61</v>
      </c>
      <c r="C1349" s="116">
        <v>3.52</v>
      </c>
      <c r="D1349" s="116">
        <v>3.4</v>
      </c>
      <c r="E1349" s="116">
        <v>3.6</v>
      </c>
      <c r="F1349" s="116">
        <v>3.52</v>
      </c>
      <c r="G1349">
        <v>703332</v>
      </c>
      <c r="H1349" s="116"/>
      <c r="I1349" s="116"/>
      <c r="L1349" s="170">
        <v>43997</v>
      </c>
      <c r="M1349" s="116">
        <v>3.5</v>
      </c>
      <c r="N1349" s="116">
        <v>3.6</v>
      </c>
      <c r="O1349" s="116">
        <v>3.45</v>
      </c>
      <c r="P1349" s="116">
        <v>3.5</v>
      </c>
      <c r="Q1349" s="116">
        <v>3.5</v>
      </c>
      <c r="R1349">
        <v>2086122</v>
      </c>
    </row>
    <row r="1350" spans="1:18" x14ac:dyDescent="0.25">
      <c r="A1350" s="170">
        <v>43998</v>
      </c>
      <c r="B1350" s="116">
        <v>3.6</v>
      </c>
      <c r="C1350" s="116">
        <v>3.43</v>
      </c>
      <c r="D1350" s="116">
        <v>3.35</v>
      </c>
      <c r="E1350" s="116">
        <v>3.58</v>
      </c>
      <c r="F1350" s="116">
        <v>3.43</v>
      </c>
      <c r="G1350">
        <v>758618</v>
      </c>
      <c r="H1350" s="116"/>
      <c r="I1350" s="116"/>
      <c r="L1350" s="170">
        <v>43998</v>
      </c>
      <c r="M1350" s="116">
        <v>3.45</v>
      </c>
      <c r="N1350" s="116">
        <v>3.6</v>
      </c>
      <c r="O1350" s="116">
        <v>3.35</v>
      </c>
      <c r="P1350" s="116">
        <v>3.6</v>
      </c>
      <c r="Q1350" s="116">
        <v>3.45</v>
      </c>
      <c r="R1350">
        <v>2450975</v>
      </c>
    </row>
    <row r="1351" spans="1:18" x14ac:dyDescent="0.25">
      <c r="A1351" s="170">
        <v>43999</v>
      </c>
      <c r="B1351" s="116">
        <v>3.6</v>
      </c>
      <c r="C1351" s="116">
        <v>3.6</v>
      </c>
      <c r="D1351" s="116">
        <v>3.37</v>
      </c>
      <c r="E1351" s="116">
        <v>3.46</v>
      </c>
      <c r="F1351" s="116">
        <v>3.6</v>
      </c>
      <c r="G1351">
        <v>775229</v>
      </c>
      <c r="H1351" s="116"/>
      <c r="I1351" s="116"/>
      <c r="L1351" s="170">
        <v>43999</v>
      </c>
      <c r="M1351" s="116">
        <v>3.6</v>
      </c>
      <c r="N1351" s="116">
        <v>3.6</v>
      </c>
      <c r="O1351" s="116">
        <v>3.4</v>
      </c>
      <c r="P1351" s="116">
        <v>3.4</v>
      </c>
      <c r="Q1351" s="116">
        <v>3.6</v>
      </c>
      <c r="R1351">
        <v>3124551</v>
      </c>
    </row>
    <row r="1352" spans="1:18" x14ac:dyDescent="0.25">
      <c r="A1352" s="170">
        <v>44000</v>
      </c>
      <c r="B1352" s="116">
        <v>3.78</v>
      </c>
      <c r="C1352" s="116">
        <v>3.78</v>
      </c>
      <c r="D1352" s="116">
        <v>3.62</v>
      </c>
      <c r="E1352" s="116">
        <v>3.7</v>
      </c>
      <c r="F1352" s="116">
        <v>3.78</v>
      </c>
      <c r="G1352">
        <v>652590</v>
      </c>
      <c r="H1352" s="116"/>
      <c r="I1352" s="116"/>
      <c r="L1352" s="170">
        <v>44000</v>
      </c>
      <c r="M1352" s="116">
        <v>3.75</v>
      </c>
      <c r="N1352" s="116">
        <v>3.75</v>
      </c>
      <c r="O1352" s="116">
        <v>3.65</v>
      </c>
      <c r="P1352" s="116">
        <v>3.75</v>
      </c>
      <c r="Q1352" s="116">
        <v>3.75</v>
      </c>
      <c r="R1352">
        <v>2116104</v>
      </c>
    </row>
    <row r="1353" spans="1:18" x14ac:dyDescent="0.25">
      <c r="A1353" s="170">
        <v>44001</v>
      </c>
      <c r="B1353" s="116">
        <v>3.96</v>
      </c>
      <c r="C1353" s="116">
        <v>3.96</v>
      </c>
      <c r="D1353" s="116">
        <v>3.78</v>
      </c>
      <c r="E1353" s="116">
        <v>3.85</v>
      </c>
      <c r="F1353" s="116">
        <v>3.96</v>
      </c>
      <c r="G1353">
        <v>1413347</v>
      </c>
      <c r="H1353" s="116"/>
      <c r="I1353" s="116"/>
      <c r="L1353" s="170">
        <v>44001</v>
      </c>
      <c r="M1353" s="116">
        <v>3.9</v>
      </c>
      <c r="N1353" s="116">
        <v>3.9</v>
      </c>
      <c r="O1353" s="116">
        <v>3.75</v>
      </c>
      <c r="P1353" s="116">
        <v>3.85</v>
      </c>
      <c r="Q1353" s="116">
        <v>3.9</v>
      </c>
      <c r="R1353">
        <v>3548148</v>
      </c>
    </row>
    <row r="1354" spans="1:18" x14ac:dyDescent="0.25">
      <c r="A1354" s="170">
        <v>44004</v>
      </c>
      <c r="B1354" s="116">
        <v>4.1500000000000004</v>
      </c>
      <c r="C1354" s="116">
        <v>4.1500000000000004</v>
      </c>
      <c r="D1354" s="116">
        <v>3.95</v>
      </c>
      <c r="E1354" s="116">
        <v>4.0999999999999996</v>
      </c>
      <c r="F1354" s="116">
        <v>4.1500000000000004</v>
      </c>
      <c r="G1354">
        <v>1835304</v>
      </c>
      <c r="H1354" s="116"/>
      <c r="I1354" s="116"/>
      <c r="L1354" s="170">
        <v>44004</v>
      </c>
      <c r="M1354" s="116">
        <v>4.05</v>
      </c>
      <c r="N1354" s="116">
        <v>4.05</v>
      </c>
      <c r="O1354" s="116">
        <v>4</v>
      </c>
      <c r="P1354" s="116">
        <v>4.05</v>
      </c>
      <c r="Q1354" s="116">
        <v>4.05</v>
      </c>
      <c r="R1354">
        <v>645516</v>
      </c>
    </row>
    <row r="1355" spans="1:18" x14ac:dyDescent="0.25">
      <c r="A1355" s="170">
        <v>44005</v>
      </c>
      <c r="B1355" s="116">
        <v>4.3499999999999996</v>
      </c>
      <c r="C1355" s="116">
        <v>4.3499999999999996</v>
      </c>
      <c r="D1355" s="116">
        <v>4.28</v>
      </c>
      <c r="E1355" s="116">
        <v>4.28</v>
      </c>
      <c r="F1355" s="116">
        <v>4.3499999999999996</v>
      </c>
      <c r="G1355">
        <v>898330</v>
      </c>
      <c r="H1355" s="116"/>
      <c r="I1355" s="116"/>
      <c r="L1355" s="170">
        <v>44005</v>
      </c>
      <c r="M1355" s="116">
        <v>4.25</v>
      </c>
      <c r="N1355" s="116">
        <v>4.25</v>
      </c>
      <c r="O1355" s="116">
        <v>4.25</v>
      </c>
      <c r="P1355" s="116">
        <v>4.25</v>
      </c>
      <c r="Q1355" s="116">
        <v>4.25</v>
      </c>
      <c r="R1355">
        <v>322575</v>
      </c>
    </row>
    <row r="1356" spans="1:18" x14ac:dyDescent="0.25">
      <c r="A1356" s="170">
        <v>44006</v>
      </c>
      <c r="B1356" s="116">
        <v>4.55</v>
      </c>
      <c r="C1356" s="116">
        <v>4.1399999999999997</v>
      </c>
      <c r="D1356" s="116">
        <v>4.1399999999999997</v>
      </c>
      <c r="E1356" s="116">
        <v>4.55</v>
      </c>
      <c r="F1356" s="116">
        <v>4.1399999999999997</v>
      </c>
      <c r="G1356">
        <v>1765301</v>
      </c>
      <c r="H1356" s="116"/>
      <c r="I1356" s="116"/>
      <c r="L1356" s="170">
        <v>44006</v>
      </c>
      <c r="M1356" s="116">
        <v>4.0999999999999996</v>
      </c>
      <c r="N1356" s="116">
        <v>4.45</v>
      </c>
      <c r="O1356" s="116">
        <v>4.05</v>
      </c>
      <c r="P1356" s="116">
        <v>4.45</v>
      </c>
      <c r="Q1356" s="116">
        <v>4.0999999999999996</v>
      </c>
      <c r="R1356">
        <v>8418267</v>
      </c>
    </row>
    <row r="1357" spans="1:18" x14ac:dyDescent="0.25">
      <c r="A1357" s="170">
        <v>44007</v>
      </c>
      <c r="B1357" s="116">
        <v>4.33</v>
      </c>
      <c r="C1357" s="116">
        <v>4.28</v>
      </c>
      <c r="D1357" s="116">
        <v>3.94</v>
      </c>
      <c r="E1357" s="116">
        <v>3.96</v>
      </c>
      <c r="F1357" s="116">
        <v>4.28</v>
      </c>
      <c r="G1357">
        <v>1223858</v>
      </c>
      <c r="H1357" s="116"/>
      <c r="I1357" s="116"/>
      <c r="L1357" s="170">
        <v>44007</v>
      </c>
      <c r="M1357" s="116">
        <v>4.25</v>
      </c>
      <c r="N1357" s="116">
        <v>4.3</v>
      </c>
      <c r="O1357" s="116">
        <v>3.95</v>
      </c>
      <c r="P1357" s="116">
        <v>4.0999999999999996</v>
      </c>
      <c r="Q1357" s="116">
        <v>4.25</v>
      </c>
      <c r="R1357">
        <v>3490408</v>
      </c>
    </row>
    <row r="1358" spans="1:18" x14ac:dyDescent="0.25">
      <c r="A1358" s="170">
        <v>44008</v>
      </c>
      <c r="B1358" s="116">
        <v>4.43</v>
      </c>
      <c r="C1358" s="116">
        <v>4.2</v>
      </c>
      <c r="D1358" s="116">
        <v>4.1500000000000004</v>
      </c>
      <c r="E1358" s="116">
        <v>4.3</v>
      </c>
      <c r="F1358" s="116">
        <v>4.2</v>
      </c>
      <c r="G1358">
        <v>657062</v>
      </c>
      <c r="H1358" s="116"/>
      <c r="I1358" s="116"/>
      <c r="L1358" s="170">
        <v>44008</v>
      </c>
      <c r="M1358" s="116">
        <v>4.2</v>
      </c>
      <c r="N1358" s="116">
        <v>4.4000000000000004</v>
      </c>
      <c r="O1358" s="116">
        <v>4.1500000000000004</v>
      </c>
      <c r="P1358" s="116">
        <v>4.4000000000000004</v>
      </c>
      <c r="Q1358" s="116">
        <v>4.2</v>
      </c>
      <c r="R1358">
        <v>2093780</v>
      </c>
    </row>
    <row r="1359" spans="1:18" x14ac:dyDescent="0.25">
      <c r="A1359" s="170">
        <v>44011</v>
      </c>
      <c r="B1359" s="116">
        <v>4.25</v>
      </c>
      <c r="C1359" s="116">
        <v>4.08</v>
      </c>
      <c r="D1359" s="116">
        <v>4</v>
      </c>
      <c r="E1359" s="116">
        <v>4.25</v>
      </c>
      <c r="F1359" s="116">
        <v>4.08</v>
      </c>
      <c r="G1359">
        <v>758090</v>
      </c>
      <c r="H1359" s="116"/>
      <c r="I1359" s="116"/>
      <c r="L1359" s="170">
        <v>44011</v>
      </c>
      <c r="M1359" s="116">
        <v>4.0999999999999996</v>
      </c>
      <c r="N1359" s="116">
        <v>4.3</v>
      </c>
      <c r="O1359" s="116">
        <v>4</v>
      </c>
      <c r="P1359" s="116">
        <v>4.25</v>
      </c>
      <c r="Q1359" s="116">
        <v>4.0999999999999996</v>
      </c>
      <c r="R1359">
        <v>1788708</v>
      </c>
    </row>
    <row r="1360" spans="1:18" x14ac:dyDescent="0.25">
      <c r="A1360" s="170">
        <v>44012</v>
      </c>
      <c r="B1360" s="116">
        <v>4.25</v>
      </c>
      <c r="C1360" s="116">
        <v>3.97</v>
      </c>
      <c r="D1360" s="116">
        <v>3.93</v>
      </c>
      <c r="E1360" s="116">
        <v>4.25</v>
      </c>
      <c r="F1360" s="116">
        <v>3.97</v>
      </c>
      <c r="G1360">
        <v>308439</v>
      </c>
      <c r="H1360" s="116"/>
      <c r="I1360" s="116"/>
      <c r="L1360" s="170">
        <v>44012</v>
      </c>
      <c r="M1360" s="116">
        <v>3.95</v>
      </c>
      <c r="N1360" s="116">
        <v>4.1500000000000004</v>
      </c>
      <c r="O1360" s="116">
        <v>3.9</v>
      </c>
      <c r="P1360" s="116">
        <v>4.1500000000000004</v>
      </c>
      <c r="Q1360" s="116">
        <v>3.95</v>
      </c>
      <c r="R1360">
        <v>2160923</v>
      </c>
    </row>
    <row r="1361" spans="1:18" x14ac:dyDescent="0.25">
      <c r="A1361" s="170">
        <v>44013</v>
      </c>
      <c r="B1361" s="116">
        <v>3.97</v>
      </c>
      <c r="C1361" s="116">
        <v>3.79</v>
      </c>
      <c r="D1361" s="116">
        <v>3.78</v>
      </c>
      <c r="E1361" s="116">
        <v>3.9</v>
      </c>
      <c r="F1361" s="116">
        <v>3.79</v>
      </c>
      <c r="G1361">
        <v>764599</v>
      </c>
      <c r="H1361" s="116"/>
      <c r="I1361" s="116"/>
      <c r="L1361" s="170">
        <v>44013</v>
      </c>
      <c r="M1361" s="116">
        <v>3.8</v>
      </c>
      <c r="N1361" s="116">
        <v>3.95</v>
      </c>
      <c r="O1361" s="116">
        <v>3.8</v>
      </c>
      <c r="P1361" s="116">
        <v>3.95</v>
      </c>
      <c r="Q1361" s="116">
        <v>3.8</v>
      </c>
      <c r="R1361">
        <v>2244387</v>
      </c>
    </row>
    <row r="1362" spans="1:18" x14ac:dyDescent="0.25">
      <c r="A1362" s="170">
        <v>44014</v>
      </c>
      <c r="B1362" s="116">
        <v>3.8</v>
      </c>
      <c r="C1362" s="116">
        <v>3.68</v>
      </c>
      <c r="D1362" s="116">
        <v>3.65</v>
      </c>
      <c r="E1362" s="116">
        <v>3.71</v>
      </c>
      <c r="F1362" s="116">
        <v>3.68</v>
      </c>
      <c r="G1362">
        <v>826547</v>
      </c>
      <c r="H1362" s="116"/>
      <c r="I1362" s="116"/>
      <c r="L1362" s="170">
        <v>44014</v>
      </c>
      <c r="M1362" s="116">
        <v>3.7</v>
      </c>
      <c r="N1362" s="116">
        <v>3.8</v>
      </c>
      <c r="O1362" s="116">
        <v>3.65</v>
      </c>
      <c r="P1362" s="116">
        <v>3.7</v>
      </c>
      <c r="Q1362" s="116">
        <v>3.7</v>
      </c>
      <c r="R1362">
        <v>2889983</v>
      </c>
    </row>
    <row r="1363" spans="1:18" x14ac:dyDescent="0.25">
      <c r="A1363" s="170">
        <v>44015</v>
      </c>
      <c r="B1363" s="116">
        <v>3.86</v>
      </c>
      <c r="C1363" s="116">
        <v>3.86</v>
      </c>
      <c r="D1363" s="116">
        <v>3.66</v>
      </c>
      <c r="E1363" s="116">
        <v>3.73</v>
      </c>
      <c r="F1363" s="116">
        <v>3.86</v>
      </c>
      <c r="G1363">
        <v>428181</v>
      </c>
      <c r="H1363" s="116"/>
      <c r="I1363" s="116"/>
      <c r="L1363" s="170">
        <v>44015</v>
      </c>
      <c r="M1363" s="116">
        <v>3.85</v>
      </c>
      <c r="N1363" s="116">
        <v>3.85</v>
      </c>
      <c r="O1363" s="116">
        <v>3.65</v>
      </c>
      <c r="P1363" s="116">
        <v>3.7</v>
      </c>
      <c r="Q1363" s="116">
        <v>3.85</v>
      </c>
      <c r="R1363">
        <v>1925490</v>
      </c>
    </row>
    <row r="1364" spans="1:18" x14ac:dyDescent="0.25">
      <c r="A1364" s="170">
        <v>44018</v>
      </c>
      <c r="B1364" s="116">
        <v>4.05</v>
      </c>
      <c r="C1364" s="116">
        <v>4.03</v>
      </c>
      <c r="D1364" s="116">
        <v>3.88</v>
      </c>
      <c r="E1364" s="116">
        <v>4.03</v>
      </c>
      <c r="F1364" s="116">
        <v>4.03</v>
      </c>
      <c r="G1364">
        <v>999605</v>
      </c>
      <c r="H1364" s="116"/>
      <c r="I1364" s="116"/>
      <c r="L1364" s="170">
        <v>44018</v>
      </c>
      <c r="M1364" s="116">
        <v>4</v>
      </c>
      <c r="N1364" s="116">
        <v>4</v>
      </c>
      <c r="O1364" s="116">
        <v>3.9</v>
      </c>
      <c r="P1364" s="116">
        <v>4</v>
      </c>
      <c r="Q1364" s="116">
        <v>4</v>
      </c>
      <c r="R1364">
        <v>2627571</v>
      </c>
    </row>
    <row r="1365" spans="1:18" x14ac:dyDescent="0.25">
      <c r="A1365" s="170">
        <v>44019</v>
      </c>
      <c r="B1365" s="116">
        <v>4</v>
      </c>
      <c r="C1365" s="116">
        <v>3.84</v>
      </c>
      <c r="D1365" s="116">
        <v>3.83</v>
      </c>
      <c r="E1365" s="116">
        <v>3.97</v>
      </c>
      <c r="F1365" s="116">
        <v>3.84</v>
      </c>
      <c r="G1365">
        <v>892407</v>
      </c>
      <c r="H1365" s="116"/>
      <c r="I1365" s="116"/>
      <c r="L1365" s="170">
        <v>44019</v>
      </c>
      <c r="M1365" s="116">
        <v>3.8</v>
      </c>
      <c r="N1365" s="116">
        <v>4.05</v>
      </c>
      <c r="O1365" s="116">
        <v>3.8</v>
      </c>
      <c r="P1365" s="116">
        <v>4</v>
      </c>
      <c r="Q1365" s="116">
        <v>3.8</v>
      </c>
      <c r="R1365">
        <v>2144112</v>
      </c>
    </row>
    <row r="1366" spans="1:18" x14ac:dyDescent="0.25">
      <c r="A1366" s="170">
        <v>44020</v>
      </c>
      <c r="B1366" s="116">
        <v>3.95</v>
      </c>
      <c r="C1366" s="116">
        <v>3.9</v>
      </c>
      <c r="D1366" s="116">
        <v>3.66</v>
      </c>
      <c r="E1366" s="116">
        <v>3.66</v>
      </c>
      <c r="F1366" s="116">
        <v>3.9</v>
      </c>
      <c r="G1366">
        <v>464493</v>
      </c>
      <c r="H1366" s="116"/>
      <c r="I1366" s="116"/>
      <c r="L1366" s="170">
        <v>44020</v>
      </c>
      <c r="M1366" s="116">
        <v>3.9</v>
      </c>
      <c r="N1366" s="116">
        <v>3.95</v>
      </c>
      <c r="O1366" s="116">
        <v>3.7</v>
      </c>
      <c r="P1366" s="116">
        <v>3.8</v>
      </c>
      <c r="Q1366" s="116">
        <v>3.9</v>
      </c>
      <c r="R1366">
        <v>2062523</v>
      </c>
    </row>
    <row r="1367" spans="1:18" x14ac:dyDescent="0.25">
      <c r="A1367" s="170">
        <v>44021</v>
      </c>
      <c r="B1367" s="116">
        <v>3.92</v>
      </c>
      <c r="C1367" s="116">
        <v>3.82</v>
      </c>
      <c r="D1367" s="116">
        <v>3.8</v>
      </c>
      <c r="E1367" s="116">
        <v>3.92</v>
      </c>
      <c r="F1367" s="116">
        <v>3.82</v>
      </c>
      <c r="G1367">
        <v>199618</v>
      </c>
      <c r="H1367" s="116"/>
      <c r="I1367" s="116"/>
      <c r="L1367" s="170">
        <v>44021</v>
      </c>
      <c r="M1367" s="116">
        <v>3.8</v>
      </c>
      <c r="N1367" s="116">
        <v>3.95</v>
      </c>
      <c r="O1367" s="116">
        <v>3.75</v>
      </c>
      <c r="P1367" s="116">
        <v>3.95</v>
      </c>
      <c r="Q1367" s="116">
        <v>3.8</v>
      </c>
      <c r="R1367">
        <v>1662541</v>
      </c>
    </row>
    <row r="1368" spans="1:18" x14ac:dyDescent="0.25">
      <c r="A1368" s="170">
        <v>44022</v>
      </c>
      <c r="B1368" s="116">
        <v>3.88</v>
      </c>
      <c r="C1368" s="116">
        <v>3.73</v>
      </c>
      <c r="D1368" s="116">
        <v>3.66</v>
      </c>
      <c r="E1368" s="116">
        <v>3.77</v>
      </c>
      <c r="F1368" s="116">
        <v>3.73</v>
      </c>
      <c r="G1368">
        <v>497468</v>
      </c>
      <c r="H1368" s="116"/>
      <c r="I1368" s="116"/>
      <c r="L1368" s="170">
        <v>44022</v>
      </c>
      <c r="M1368" s="116">
        <v>3.75</v>
      </c>
      <c r="N1368" s="116">
        <v>3.9</v>
      </c>
      <c r="O1368" s="116">
        <v>3.65</v>
      </c>
      <c r="P1368" s="116">
        <v>3.75</v>
      </c>
      <c r="Q1368" s="116">
        <v>3.75</v>
      </c>
      <c r="R1368">
        <v>2150299</v>
      </c>
    </row>
    <row r="1369" spans="1:18" x14ac:dyDescent="0.25">
      <c r="A1369" s="170">
        <v>44025</v>
      </c>
      <c r="B1369" s="116">
        <v>3.8</v>
      </c>
      <c r="C1369" s="116">
        <v>3.68</v>
      </c>
      <c r="D1369" s="116">
        <v>3.66</v>
      </c>
      <c r="E1369" s="116">
        <v>3.72</v>
      </c>
      <c r="F1369" s="116">
        <v>3.68</v>
      </c>
      <c r="G1369">
        <v>215285</v>
      </c>
      <c r="H1369" s="116"/>
      <c r="I1369" s="116"/>
      <c r="L1369" s="170">
        <v>44025</v>
      </c>
      <c r="M1369" s="116">
        <v>3.65</v>
      </c>
      <c r="N1369" s="116">
        <v>3.8</v>
      </c>
      <c r="O1369" s="116">
        <v>3.65</v>
      </c>
      <c r="P1369" s="116">
        <v>3.75</v>
      </c>
      <c r="Q1369" s="116">
        <v>3.65</v>
      </c>
      <c r="R1369">
        <v>956883</v>
      </c>
    </row>
    <row r="1370" spans="1:18" x14ac:dyDescent="0.25">
      <c r="A1370" s="170">
        <v>44026</v>
      </c>
      <c r="B1370" s="116">
        <v>3.69</v>
      </c>
      <c r="C1370" s="116">
        <v>3.56</v>
      </c>
      <c r="D1370" s="116">
        <v>3.51</v>
      </c>
      <c r="E1370" s="116">
        <v>3.65</v>
      </c>
      <c r="F1370" s="116">
        <v>3.56</v>
      </c>
      <c r="G1370">
        <v>439274</v>
      </c>
      <c r="H1370" s="116"/>
      <c r="I1370" s="116"/>
      <c r="L1370" s="170">
        <v>44026</v>
      </c>
      <c r="M1370" s="116">
        <v>3.55</v>
      </c>
      <c r="N1370" s="116">
        <v>3.7</v>
      </c>
      <c r="O1370" s="116">
        <v>3.5</v>
      </c>
      <c r="P1370" s="116">
        <v>3.7</v>
      </c>
      <c r="Q1370" s="116">
        <v>3.55</v>
      </c>
      <c r="R1370">
        <v>2079911</v>
      </c>
    </row>
    <row r="1371" spans="1:18" x14ac:dyDescent="0.25">
      <c r="A1371" s="170">
        <v>44027</v>
      </c>
      <c r="B1371" s="116">
        <v>3.73</v>
      </c>
      <c r="C1371" s="116">
        <v>3.58</v>
      </c>
      <c r="D1371" s="116">
        <v>3.55</v>
      </c>
      <c r="E1371" s="116">
        <v>3.55</v>
      </c>
      <c r="F1371" s="116">
        <v>3.58</v>
      </c>
      <c r="G1371">
        <v>838495</v>
      </c>
      <c r="H1371" s="116"/>
      <c r="I1371" s="116"/>
      <c r="L1371" s="170">
        <v>44027</v>
      </c>
      <c r="M1371" s="116">
        <v>3.55</v>
      </c>
      <c r="N1371" s="116">
        <v>3.7</v>
      </c>
      <c r="O1371" s="116">
        <v>3.55</v>
      </c>
      <c r="P1371" s="116">
        <v>3.6</v>
      </c>
      <c r="Q1371" s="116">
        <v>3.55</v>
      </c>
      <c r="R1371">
        <v>2165049</v>
      </c>
    </row>
    <row r="1372" spans="1:18" x14ac:dyDescent="0.25">
      <c r="A1372" s="170">
        <v>44028</v>
      </c>
      <c r="B1372" s="116">
        <v>3.59</v>
      </c>
      <c r="C1372" s="116">
        <v>3.43</v>
      </c>
      <c r="D1372" s="116">
        <v>3.41</v>
      </c>
      <c r="E1372" s="116">
        <v>3.55</v>
      </c>
      <c r="F1372" s="116">
        <v>3.43</v>
      </c>
      <c r="G1372">
        <v>581873</v>
      </c>
      <c r="H1372" s="116"/>
      <c r="I1372" s="116"/>
      <c r="L1372" s="170">
        <v>44028</v>
      </c>
      <c r="M1372" s="116">
        <v>3.45</v>
      </c>
      <c r="N1372" s="116">
        <v>3.6</v>
      </c>
      <c r="O1372" s="116">
        <v>3.4</v>
      </c>
      <c r="P1372" s="116">
        <v>3.55</v>
      </c>
      <c r="Q1372" s="116">
        <v>3.45</v>
      </c>
      <c r="R1372">
        <v>2184330</v>
      </c>
    </row>
    <row r="1373" spans="1:18" x14ac:dyDescent="0.25">
      <c r="A1373" s="170">
        <v>44029</v>
      </c>
      <c r="B1373" s="116">
        <v>3.6</v>
      </c>
      <c r="C1373" s="116">
        <v>3.49</v>
      </c>
      <c r="D1373" s="116">
        <v>3.33</v>
      </c>
      <c r="E1373" s="116">
        <v>3.43</v>
      </c>
      <c r="F1373" s="116">
        <v>3.49</v>
      </c>
      <c r="G1373">
        <v>437485</v>
      </c>
      <c r="H1373" s="116"/>
      <c r="I1373" s="116"/>
      <c r="L1373" s="170">
        <v>44029</v>
      </c>
      <c r="M1373" s="116">
        <v>3.55</v>
      </c>
      <c r="N1373" s="116">
        <v>3.6</v>
      </c>
      <c r="O1373" s="116">
        <v>3.3</v>
      </c>
      <c r="P1373" s="116">
        <v>3.45</v>
      </c>
      <c r="Q1373" s="116">
        <v>3.55</v>
      </c>
      <c r="R1373">
        <v>2006597</v>
      </c>
    </row>
    <row r="1374" spans="1:18" x14ac:dyDescent="0.25">
      <c r="A1374" s="170">
        <v>44032</v>
      </c>
      <c r="B1374" s="116">
        <v>3.66</v>
      </c>
      <c r="C1374" s="116">
        <v>3.66</v>
      </c>
      <c r="D1374" s="116">
        <v>3.54</v>
      </c>
      <c r="E1374" s="116">
        <v>3.65</v>
      </c>
      <c r="F1374" s="116">
        <v>3.66</v>
      </c>
      <c r="G1374">
        <v>262452</v>
      </c>
      <c r="H1374" s="116"/>
      <c r="I1374" s="116"/>
      <c r="L1374" s="170">
        <v>44032</v>
      </c>
      <c r="M1374" s="116">
        <v>3.7</v>
      </c>
      <c r="N1374" s="116">
        <v>3.7</v>
      </c>
      <c r="O1374" s="116">
        <v>3.55</v>
      </c>
      <c r="P1374" s="116">
        <v>3.55</v>
      </c>
      <c r="Q1374" s="116">
        <v>3.7</v>
      </c>
      <c r="R1374">
        <v>1351995</v>
      </c>
    </row>
    <row r="1375" spans="1:18" x14ac:dyDescent="0.25">
      <c r="A1375" s="170">
        <v>44033</v>
      </c>
      <c r="B1375" s="116">
        <v>3.8</v>
      </c>
      <c r="C1375" s="116">
        <v>3.66</v>
      </c>
      <c r="D1375" s="116">
        <v>3.61</v>
      </c>
      <c r="E1375" s="116">
        <v>3.8</v>
      </c>
      <c r="F1375" s="116">
        <v>3.66</v>
      </c>
      <c r="G1375">
        <v>408694</v>
      </c>
      <c r="H1375" s="116"/>
      <c r="I1375" s="116"/>
      <c r="L1375" s="170">
        <v>44033</v>
      </c>
      <c r="M1375" s="116">
        <v>3.65</v>
      </c>
      <c r="N1375" s="116">
        <v>3.75</v>
      </c>
      <c r="O1375" s="116">
        <v>3.6</v>
      </c>
      <c r="P1375" s="116">
        <v>3.75</v>
      </c>
      <c r="Q1375" s="116">
        <v>3.65</v>
      </c>
      <c r="R1375">
        <v>2477151</v>
      </c>
    </row>
    <row r="1376" spans="1:18" x14ac:dyDescent="0.25">
      <c r="A1376" s="170">
        <v>44034</v>
      </c>
      <c r="B1376" s="116">
        <v>3.74</v>
      </c>
      <c r="C1376" s="116">
        <v>3.62</v>
      </c>
      <c r="D1376" s="116">
        <v>3.6</v>
      </c>
      <c r="E1376" s="116">
        <v>3.74</v>
      </c>
      <c r="F1376" s="116">
        <v>3.62</v>
      </c>
      <c r="G1376">
        <v>318795</v>
      </c>
      <c r="H1376" s="116"/>
      <c r="I1376" s="116"/>
      <c r="L1376" s="170">
        <v>44034</v>
      </c>
      <c r="M1376" s="116">
        <v>3.6</v>
      </c>
      <c r="N1376" s="116">
        <v>3.7</v>
      </c>
      <c r="O1376" s="116">
        <v>3.6</v>
      </c>
      <c r="P1376" s="116">
        <v>3.7</v>
      </c>
      <c r="Q1376" s="116">
        <v>3.6</v>
      </c>
      <c r="R1376">
        <v>1171044</v>
      </c>
    </row>
    <row r="1377" spans="1:18" x14ac:dyDescent="0.25">
      <c r="A1377" s="170">
        <v>44035</v>
      </c>
      <c r="B1377" s="116">
        <v>3.68</v>
      </c>
      <c r="C1377" s="116">
        <v>3.54</v>
      </c>
      <c r="D1377" s="116">
        <v>3.53</v>
      </c>
      <c r="E1377" s="116">
        <v>3.55</v>
      </c>
      <c r="F1377" s="116">
        <v>3.54</v>
      </c>
      <c r="G1377">
        <v>748400</v>
      </c>
      <c r="H1377" s="116"/>
      <c r="I1377" s="116"/>
      <c r="L1377" s="170">
        <v>44035</v>
      </c>
      <c r="M1377" s="116">
        <v>3.55</v>
      </c>
      <c r="N1377" s="116">
        <v>3.7</v>
      </c>
      <c r="O1377" s="116">
        <v>3.5</v>
      </c>
      <c r="P1377" s="116">
        <v>3.6</v>
      </c>
      <c r="Q1377" s="116">
        <v>3.55</v>
      </c>
      <c r="R1377">
        <v>2338613</v>
      </c>
    </row>
    <row r="1378" spans="1:18" x14ac:dyDescent="0.25">
      <c r="A1378" s="170">
        <v>44036</v>
      </c>
      <c r="B1378" s="116">
        <v>3.55</v>
      </c>
      <c r="C1378" s="116">
        <v>3.47</v>
      </c>
      <c r="D1378" s="116">
        <v>3.45</v>
      </c>
      <c r="E1378" s="116">
        <v>3.55</v>
      </c>
      <c r="F1378" s="116">
        <v>3.47</v>
      </c>
      <c r="G1378">
        <v>296194</v>
      </c>
      <c r="H1378" s="116"/>
      <c r="I1378" s="116"/>
      <c r="L1378" s="170">
        <v>44036</v>
      </c>
      <c r="M1378" s="116">
        <v>3.45</v>
      </c>
      <c r="N1378" s="116">
        <v>3.55</v>
      </c>
      <c r="O1378" s="116">
        <v>3.45</v>
      </c>
      <c r="P1378" s="116">
        <v>3.55</v>
      </c>
      <c r="Q1378" s="116">
        <v>3.45</v>
      </c>
      <c r="R1378">
        <v>885640</v>
      </c>
    </row>
    <row r="1379" spans="1:18" x14ac:dyDescent="0.25">
      <c r="A1379" s="170">
        <v>44039</v>
      </c>
      <c r="B1379" s="116">
        <v>3.51</v>
      </c>
      <c r="C1379" s="116">
        <v>3.42</v>
      </c>
      <c r="D1379" s="116">
        <v>3.31</v>
      </c>
      <c r="E1379" s="116">
        <v>3.45</v>
      </c>
      <c r="F1379" s="116">
        <v>3.42</v>
      </c>
      <c r="G1379">
        <v>444955</v>
      </c>
      <c r="H1379" s="116"/>
      <c r="I1379" s="116"/>
      <c r="L1379" s="170">
        <v>44039</v>
      </c>
      <c r="M1379" s="116">
        <v>3.45</v>
      </c>
      <c r="N1379" s="116">
        <v>3.5</v>
      </c>
      <c r="O1379" s="116">
        <v>3.35</v>
      </c>
      <c r="P1379" s="116">
        <v>3.45</v>
      </c>
      <c r="Q1379" s="116">
        <v>3.45</v>
      </c>
      <c r="R1379">
        <v>1352185</v>
      </c>
    </row>
    <row r="1380" spans="1:18" x14ac:dyDescent="0.25">
      <c r="A1380" s="170">
        <v>44040</v>
      </c>
      <c r="B1380" s="116">
        <v>3.49</v>
      </c>
      <c r="C1380" s="116">
        <v>3.37</v>
      </c>
      <c r="D1380" s="116">
        <v>3.35</v>
      </c>
      <c r="E1380" s="116">
        <v>3.45</v>
      </c>
      <c r="F1380" s="116">
        <v>3.37</v>
      </c>
      <c r="G1380">
        <v>505778</v>
      </c>
      <c r="H1380" s="116"/>
      <c r="I1380" s="116"/>
      <c r="L1380" s="170">
        <v>44040</v>
      </c>
      <c r="M1380" s="116">
        <v>3.35</v>
      </c>
      <c r="N1380" s="116">
        <v>3.5</v>
      </c>
      <c r="O1380" s="116">
        <v>3.35</v>
      </c>
      <c r="P1380" s="116">
        <v>3.45</v>
      </c>
      <c r="Q1380" s="116">
        <v>3.35</v>
      </c>
      <c r="R1380">
        <v>1535676</v>
      </c>
    </row>
    <row r="1381" spans="1:18" x14ac:dyDescent="0.25">
      <c r="A1381" s="170">
        <v>44041</v>
      </c>
      <c r="B1381" s="116">
        <v>3.51</v>
      </c>
      <c r="C1381" s="116">
        <v>3.38</v>
      </c>
      <c r="D1381" s="116">
        <v>3.31</v>
      </c>
      <c r="E1381" s="116">
        <v>3.45</v>
      </c>
      <c r="F1381" s="116">
        <v>3.38</v>
      </c>
      <c r="G1381">
        <v>761499</v>
      </c>
      <c r="H1381" s="116"/>
      <c r="I1381" s="116"/>
      <c r="L1381" s="170">
        <v>44041</v>
      </c>
      <c r="M1381" s="116">
        <v>3.4</v>
      </c>
      <c r="N1381" s="116">
        <v>3.5</v>
      </c>
      <c r="O1381" s="116">
        <v>3.3</v>
      </c>
      <c r="P1381" s="116">
        <v>3.35</v>
      </c>
      <c r="Q1381" s="116">
        <v>3.4</v>
      </c>
      <c r="R1381">
        <v>1133356</v>
      </c>
    </row>
    <row r="1382" spans="1:18" x14ac:dyDescent="0.25">
      <c r="A1382" s="170">
        <v>44042</v>
      </c>
      <c r="B1382" s="116">
        <v>3.45</v>
      </c>
      <c r="C1382" s="116">
        <v>3.36</v>
      </c>
      <c r="D1382" s="116">
        <v>3.32</v>
      </c>
      <c r="E1382" s="116">
        <v>3.44</v>
      </c>
      <c r="F1382" s="116">
        <v>3.36</v>
      </c>
      <c r="G1382">
        <v>177252</v>
      </c>
      <c r="H1382" s="116"/>
      <c r="I1382" s="116"/>
      <c r="L1382" s="170">
        <v>44042</v>
      </c>
      <c r="M1382" s="116">
        <v>3.35</v>
      </c>
      <c r="N1382" s="116">
        <v>3.45</v>
      </c>
      <c r="O1382" s="116">
        <v>3.3</v>
      </c>
      <c r="P1382" s="116">
        <v>3.4</v>
      </c>
      <c r="Q1382" s="116">
        <v>3.35</v>
      </c>
      <c r="R1382">
        <v>1167561</v>
      </c>
    </row>
    <row r="1383" spans="1:18" x14ac:dyDescent="0.25">
      <c r="A1383" s="170">
        <v>44043</v>
      </c>
      <c r="B1383" s="116">
        <v>3.46</v>
      </c>
      <c r="C1383" s="116">
        <v>3.33</v>
      </c>
      <c r="D1383" s="116">
        <v>3.3</v>
      </c>
      <c r="E1383" s="116">
        <v>3.42</v>
      </c>
      <c r="F1383" s="116">
        <v>3.33</v>
      </c>
      <c r="G1383">
        <v>553608</v>
      </c>
      <c r="H1383" s="116"/>
      <c r="I1383" s="116"/>
      <c r="L1383" s="170">
        <v>44043</v>
      </c>
      <c r="M1383" s="116">
        <v>3.35</v>
      </c>
      <c r="N1383" s="116">
        <v>3.45</v>
      </c>
      <c r="O1383" s="116">
        <v>3.3</v>
      </c>
      <c r="P1383" s="116">
        <v>3.4</v>
      </c>
      <c r="Q1383" s="116">
        <v>3.35</v>
      </c>
      <c r="R1383">
        <v>984530</v>
      </c>
    </row>
    <row r="1384" spans="1:18" x14ac:dyDescent="0.25">
      <c r="A1384" s="170">
        <v>44046</v>
      </c>
      <c r="B1384" s="116">
        <v>3.44</v>
      </c>
      <c r="C1384" s="116">
        <v>3.38</v>
      </c>
      <c r="D1384" s="116">
        <v>3.29</v>
      </c>
      <c r="E1384" s="116">
        <v>3.44</v>
      </c>
      <c r="F1384" s="116">
        <v>3.38</v>
      </c>
      <c r="G1384">
        <v>310773</v>
      </c>
      <c r="H1384" s="116"/>
      <c r="I1384" s="116"/>
      <c r="L1384" s="170">
        <v>44046</v>
      </c>
      <c r="M1384" s="116">
        <v>3.35</v>
      </c>
      <c r="N1384" s="116">
        <v>3.4</v>
      </c>
      <c r="O1384" s="116">
        <v>3.3</v>
      </c>
      <c r="P1384" s="116">
        <v>3.35</v>
      </c>
      <c r="Q1384" s="116">
        <v>3.35</v>
      </c>
      <c r="R1384">
        <v>733482</v>
      </c>
    </row>
    <row r="1385" spans="1:18" x14ac:dyDescent="0.25">
      <c r="A1385" s="170">
        <v>44047</v>
      </c>
      <c r="B1385" s="116">
        <v>3.54</v>
      </c>
      <c r="C1385" s="116">
        <v>3.52</v>
      </c>
      <c r="D1385" s="116">
        <v>3.36</v>
      </c>
      <c r="E1385" s="116">
        <v>3.43</v>
      </c>
      <c r="F1385" s="116">
        <v>3.52</v>
      </c>
      <c r="G1385">
        <v>979396</v>
      </c>
      <c r="H1385" s="116"/>
      <c r="I1385" s="116"/>
      <c r="L1385" s="170">
        <v>44047</v>
      </c>
      <c r="M1385" s="116">
        <v>3.5</v>
      </c>
      <c r="N1385" s="116">
        <v>3.5</v>
      </c>
      <c r="O1385" s="116">
        <v>3.35</v>
      </c>
      <c r="P1385" s="116">
        <v>3.35</v>
      </c>
      <c r="Q1385" s="116">
        <v>3.5</v>
      </c>
      <c r="R1385">
        <v>1473406</v>
      </c>
    </row>
    <row r="1386" spans="1:18" x14ac:dyDescent="0.25">
      <c r="A1386" s="170">
        <v>44048</v>
      </c>
      <c r="B1386" s="116">
        <v>3.61</v>
      </c>
      <c r="C1386" s="116">
        <v>3.51</v>
      </c>
      <c r="D1386" s="116">
        <v>3.47</v>
      </c>
      <c r="E1386" s="116">
        <v>3.54</v>
      </c>
      <c r="F1386" s="116">
        <v>3.51</v>
      </c>
      <c r="G1386">
        <v>469573</v>
      </c>
      <c r="H1386" s="116"/>
      <c r="I1386" s="116"/>
      <c r="L1386" s="170">
        <v>44048</v>
      </c>
      <c r="M1386" s="116">
        <v>3.5</v>
      </c>
      <c r="N1386" s="116">
        <v>3.6</v>
      </c>
      <c r="O1386" s="116">
        <v>3.45</v>
      </c>
      <c r="P1386" s="116">
        <v>3.5</v>
      </c>
      <c r="Q1386" s="116">
        <v>3.5</v>
      </c>
      <c r="R1386">
        <v>1090621</v>
      </c>
    </row>
    <row r="1387" spans="1:18" x14ac:dyDescent="0.25">
      <c r="A1387" s="170">
        <v>44049</v>
      </c>
      <c r="B1387" s="116">
        <v>3.58</v>
      </c>
      <c r="C1387" s="116">
        <v>3.37</v>
      </c>
      <c r="D1387" s="116">
        <v>3.36</v>
      </c>
      <c r="E1387" s="116">
        <v>3.58</v>
      </c>
      <c r="F1387" s="116">
        <v>3.37</v>
      </c>
      <c r="G1387">
        <v>358317</v>
      </c>
      <c r="H1387" s="116"/>
      <c r="I1387" s="116"/>
      <c r="L1387" s="170">
        <v>44049</v>
      </c>
      <c r="M1387" s="116">
        <v>3.4</v>
      </c>
      <c r="N1387" s="116">
        <v>3.5</v>
      </c>
      <c r="O1387" s="116">
        <v>3.35</v>
      </c>
      <c r="P1387" s="116">
        <v>3.5</v>
      </c>
      <c r="Q1387" s="116">
        <v>3.4</v>
      </c>
      <c r="R1387">
        <v>1544403</v>
      </c>
    </row>
    <row r="1388" spans="1:18" x14ac:dyDescent="0.25">
      <c r="A1388" s="170">
        <v>44050</v>
      </c>
      <c r="B1388" s="116">
        <v>3.48</v>
      </c>
      <c r="C1388" s="116">
        <v>3.45</v>
      </c>
      <c r="D1388" s="116">
        <v>3.29</v>
      </c>
      <c r="E1388" s="116">
        <v>3.37</v>
      </c>
      <c r="F1388" s="116">
        <v>3.45</v>
      </c>
      <c r="G1388">
        <v>372389</v>
      </c>
      <c r="H1388" s="116"/>
      <c r="I1388" s="116"/>
      <c r="L1388" s="170">
        <v>44050</v>
      </c>
      <c r="M1388" s="116">
        <v>3.45</v>
      </c>
      <c r="N1388" s="116">
        <v>3.5</v>
      </c>
      <c r="O1388" s="116">
        <v>3.25</v>
      </c>
      <c r="P1388" s="116">
        <v>3.35</v>
      </c>
      <c r="Q1388" s="116">
        <v>3.45</v>
      </c>
      <c r="R1388">
        <v>1261983</v>
      </c>
    </row>
    <row r="1389" spans="1:18" x14ac:dyDescent="0.25">
      <c r="A1389" s="170">
        <v>44053</v>
      </c>
      <c r="B1389" s="116">
        <v>3.7</v>
      </c>
      <c r="C1389" s="116">
        <v>3.57</v>
      </c>
      <c r="D1389" s="116">
        <v>3.45</v>
      </c>
      <c r="E1389" s="116">
        <v>3.55</v>
      </c>
      <c r="F1389" s="116">
        <v>3.57</v>
      </c>
      <c r="G1389">
        <v>605012</v>
      </c>
      <c r="H1389" s="116"/>
      <c r="I1389" s="116"/>
      <c r="L1389" s="170">
        <v>44053</v>
      </c>
      <c r="M1389" s="116">
        <v>3.6</v>
      </c>
      <c r="N1389" s="116">
        <v>3.7</v>
      </c>
      <c r="O1389" s="116">
        <v>3.4</v>
      </c>
      <c r="P1389" s="116">
        <v>3.5</v>
      </c>
      <c r="Q1389" s="116">
        <v>3.6</v>
      </c>
      <c r="R1389">
        <v>1788532</v>
      </c>
    </row>
    <row r="1390" spans="1:18" x14ac:dyDescent="0.25">
      <c r="A1390" s="170">
        <v>44054</v>
      </c>
      <c r="B1390" s="116">
        <v>3.92</v>
      </c>
      <c r="C1390" s="116">
        <v>3.79</v>
      </c>
      <c r="D1390" s="116">
        <v>3.64</v>
      </c>
      <c r="E1390" s="116">
        <v>3.83</v>
      </c>
      <c r="F1390" s="116">
        <v>3.79</v>
      </c>
      <c r="G1390">
        <v>845561</v>
      </c>
      <c r="H1390" s="116"/>
      <c r="I1390" s="116"/>
      <c r="L1390" s="170">
        <v>44054</v>
      </c>
      <c r="M1390" s="116">
        <v>3.75</v>
      </c>
      <c r="N1390" s="116">
        <v>3.95</v>
      </c>
      <c r="O1390" s="116">
        <v>3.65</v>
      </c>
      <c r="P1390" s="116">
        <v>3.7</v>
      </c>
      <c r="Q1390" s="116">
        <v>3.75</v>
      </c>
      <c r="R1390">
        <v>3700086</v>
      </c>
    </row>
    <row r="1391" spans="1:18" x14ac:dyDescent="0.25">
      <c r="A1391" s="170">
        <v>44055</v>
      </c>
      <c r="B1391" s="116">
        <v>3.81</v>
      </c>
      <c r="C1391" s="116">
        <v>3.77</v>
      </c>
      <c r="D1391" s="116">
        <v>3.65</v>
      </c>
      <c r="E1391" s="116">
        <v>3.79</v>
      </c>
      <c r="F1391" s="116">
        <v>3.77</v>
      </c>
      <c r="G1391">
        <v>465731</v>
      </c>
      <c r="H1391" s="116"/>
      <c r="I1391" s="116"/>
      <c r="L1391" s="170">
        <v>44055</v>
      </c>
      <c r="M1391" s="116">
        <v>3.75</v>
      </c>
      <c r="N1391" s="116">
        <v>3.8</v>
      </c>
      <c r="O1391" s="116">
        <v>3.65</v>
      </c>
      <c r="P1391" s="116">
        <v>3.8</v>
      </c>
      <c r="Q1391" s="116">
        <v>3.75</v>
      </c>
      <c r="R1391">
        <v>1315063</v>
      </c>
    </row>
    <row r="1392" spans="1:18" x14ac:dyDescent="0.25">
      <c r="A1392" s="170">
        <v>44056</v>
      </c>
      <c r="B1392" s="116">
        <v>3.78</v>
      </c>
      <c r="C1392" s="116">
        <v>3.65</v>
      </c>
      <c r="D1392" s="116">
        <v>3.55</v>
      </c>
      <c r="E1392" s="116">
        <v>3.78</v>
      </c>
      <c r="F1392" s="116">
        <v>3.65</v>
      </c>
      <c r="G1392">
        <v>562307</v>
      </c>
      <c r="H1392" s="116"/>
      <c r="I1392" s="116"/>
      <c r="L1392" s="170">
        <v>44056</v>
      </c>
      <c r="M1392" s="116">
        <v>3.65</v>
      </c>
      <c r="N1392" s="116">
        <v>3.8</v>
      </c>
      <c r="O1392" s="116">
        <v>3.6</v>
      </c>
      <c r="P1392" s="116">
        <v>3.75</v>
      </c>
      <c r="Q1392" s="116">
        <v>3.65</v>
      </c>
      <c r="R1392">
        <v>1451308</v>
      </c>
    </row>
    <row r="1393" spans="1:18" x14ac:dyDescent="0.25">
      <c r="A1393" s="170">
        <v>44057</v>
      </c>
      <c r="B1393" s="116">
        <v>3.69</v>
      </c>
      <c r="C1393" s="116">
        <v>3.57</v>
      </c>
      <c r="D1393" s="116">
        <v>3.5</v>
      </c>
      <c r="E1393" s="116">
        <v>3.67</v>
      </c>
      <c r="F1393" s="116">
        <v>3.57</v>
      </c>
      <c r="G1393">
        <v>441682</v>
      </c>
      <c r="H1393" s="116"/>
      <c r="I1393" s="116"/>
      <c r="L1393" s="170">
        <v>44057</v>
      </c>
      <c r="M1393" s="116">
        <v>3.6</v>
      </c>
      <c r="N1393" s="116">
        <v>3.7</v>
      </c>
      <c r="O1393" s="116">
        <v>3.55</v>
      </c>
      <c r="P1393" s="116">
        <v>3.65</v>
      </c>
      <c r="Q1393" s="116">
        <v>3.6</v>
      </c>
      <c r="R1393">
        <v>1288478</v>
      </c>
    </row>
    <row r="1394" spans="1:18" x14ac:dyDescent="0.25">
      <c r="A1394" s="170">
        <v>44060</v>
      </c>
      <c r="B1394" s="116">
        <v>3.66</v>
      </c>
      <c r="C1394" s="116">
        <v>3.59</v>
      </c>
      <c r="D1394" s="116">
        <v>3.43</v>
      </c>
      <c r="E1394" s="116">
        <v>3.6</v>
      </c>
      <c r="F1394" s="116">
        <v>3.59</v>
      </c>
      <c r="G1394">
        <v>390920</v>
      </c>
      <c r="H1394" s="116"/>
      <c r="I1394" s="116"/>
      <c r="L1394" s="170">
        <v>44060</v>
      </c>
      <c r="M1394" s="116">
        <v>3.6</v>
      </c>
      <c r="N1394" s="116">
        <v>3.65</v>
      </c>
      <c r="O1394" s="116">
        <v>3.4</v>
      </c>
      <c r="P1394" s="116">
        <v>3.55</v>
      </c>
      <c r="Q1394" s="116">
        <v>3.6</v>
      </c>
      <c r="R1394">
        <v>1317966</v>
      </c>
    </row>
    <row r="1395" spans="1:18" x14ac:dyDescent="0.25">
      <c r="A1395" s="170">
        <v>44061</v>
      </c>
      <c r="B1395" s="116">
        <v>3.65</v>
      </c>
      <c r="C1395" s="116">
        <v>3.56</v>
      </c>
      <c r="D1395" s="116">
        <v>3.54</v>
      </c>
      <c r="E1395" s="116">
        <v>3.61</v>
      </c>
      <c r="F1395" s="116">
        <v>3.56</v>
      </c>
      <c r="G1395">
        <v>246204</v>
      </c>
      <c r="H1395" s="116"/>
      <c r="I1395" s="116"/>
      <c r="L1395" s="170">
        <v>44061</v>
      </c>
      <c r="M1395" s="116">
        <v>3.55</v>
      </c>
      <c r="N1395" s="116">
        <v>3.65</v>
      </c>
      <c r="O1395" s="116">
        <v>3.55</v>
      </c>
      <c r="P1395" s="116">
        <v>3.6</v>
      </c>
      <c r="Q1395" s="116">
        <v>3.55</v>
      </c>
      <c r="R1395">
        <v>915880</v>
      </c>
    </row>
    <row r="1396" spans="1:18" x14ac:dyDescent="0.25">
      <c r="A1396" s="170">
        <v>44062</v>
      </c>
      <c r="B1396" s="116">
        <v>3.61</v>
      </c>
      <c r="C1396" s="116">
        <v>3.57</v>
      </c>
      <c r="D1396" s="116">
        <v>3.52</v>
      </c>
      <c r="E1396" s="116">
        <v>3.61</v>
      </c>
      <c r="F1396" s="116">
        <v>3.57</v>
      </c>
      <c r="G1396">
        <v>453693</v>
      </c>
      <c r="H1396" s="116"/>
      <c r="I1396" s="116"/>
      <c r="L1396" s="170">
        <v>44062</v>
      </c>
      <c r="M1396" s="116">
        <v>3.55</v>
      </c>
      <c r="N1396" s="116">
        <v>3.6</v>
      </c>
      <c r="O1396" s="116">
        <v>3.5</v>
      </c>
      <c r="P1396" s="116">
        <v>3.6</v>
      </c>
      <c r="Q1396" s="116">
        <v>3.55</v>
      </c>
      <c r="R1396">
        <v>835229</v>
      </c>
    </row>
    <row r="1397" spans="1:18" x14ac:dyDescent="0.25">
      <c r="A1397" s="170">
        <v>44063</v>
      </c>
      <c r="B1397" s="116">
        <v>3.63</v>
      </c>
      <c r="C1397" s="116">
        <v>3.49</v>
      </c>
      <c r="D1397" s="116">
        <v>3.45</v>
      </c>
      <c r="E1397" s="116">
        <v>3.5</v>
      </c>
      <c r="F1397" s="116">
        <v>3.49</v>
      </c>
      <c r="G1397">
        <v>372216</v>
      </c>
      <c r="H1397" s="116"/>
      <c r="I1397" s="116"/>
      <c r="L1397" s="170">
        <v>44063</v>
      </c>
      <c r="M1397" s="116">
        <v>3.5</v>
      </c>
      <c r="N1397" s="116">
        <v>3.65</v>
      </c>
      <c r="O1397" s="116">
        <v>3.4</v>
      </c>
      <c r="P1397" s="116">
        <v>3.55</v>
      </c>
      <c r="Q1397" s="116">
        <v>3.5</v>
      </c>
      <c r="R1397">
        <v>1226584</v>
      </c>
    </row>
    <row r="1398" spans="1:18" x14ac:dyDescent="0.25">
      <c r="A1398" s="170">
        <v>44064</v>
      </c>
      <c r="B1398" s="116">
        <v>3.59</v>
      </c>
      <c r="C1398" s="116">
        <v>3.53</v>
      </c>
      <c r="D1398" s="116">
        <v>3.5</v>
      </c>
      <c r="E1398" s="116">
        <v>3.5</v>
      </c>
      <c r="F1398" s="116">
        <v>3.53</v>
      </c>
      <c r="G1398">
        <v>196713</v>
      </c>
      <c r="H1398" s="116"/>
      <c r="I1398" s="116"/>
      <c r="L1398" s="170">
        <v>44064</v>
      </c>
      <c r="M1398" s="116">
        <v>3.5</v>
      </c>
      <c r="N1398" s="116">
        <v>3.6</v>
      </c>
      <c r="O1398" s="116">
        <v>3.5</v>
      </c>
      <c r="P1398" s="116">
        <v>3.55</v>
      </c>
      <c r="Q1398" s="116">
        <v>3.5</v>
      </c>
      <c r="R1398">
        <v>854065</v>
      </c>
    </row>
    <row r="1399" spans="1:18" x14ac:dyDescent="0.25">
      <c r="A1399" s="170">
        <v>44067</v>
      </c>
      <c r="B1399" s="116">
        <v>3.6</v>
      </c>
      <c r="C1399" s="116">
        <v>3.52</v>
      </c>
      <c r="D1399" s="116">
        <v>3.33</v>
      </c>
      <c r="E1399" s="116">
        <v>3.52</v>
      </c>
      <c r="F1399" s="116">
        <v>3.52</v>
      </c>
      <c r="G1399">
        <v>424801</v>
      </c>
      <c r="H1399" s="116"/>
      <c r="I1399" s="116"/>
      <c r="L1399" s="170">
        <v>44067</v>
      </c>
      <c r="M1399" s="116">
        <v>3.5</v>
      </c>
      <c r="N1399" s="116">
        <v>3.6</v>
      </c>
      <c r="O1399" s="116">
        <v>3.5</v>
      </c>
      <c r="P1399" s="116">
        <v>3.6</v>
      </c>
      <c r="Q1399" s="116">
        <v>3.5</v>
      </c>
      <c r="R1399">
        <v>1911199</v>
      </c>
    </row>
    <row r="1400" spans="1:18" x14ac:dyDescent="0.25">
      <c r="A1400" s="170">
        <v>44068</v>
      </c>
      <c r="B1400" s="116">
        <v>3.55</v>
      </c>
      <c r="C1400" s="116">
        <v>3.48</v>
      </c>
      <c r="D1400" s="116">
        <v>3.37</v>
      </c>
      <c r="E1400" s="116">
        <v>3.51</v>
      </c>
      <c r="F1400" s="116">
        <v>3.48</v>
      </c>
      <c r="G1400">
        <v>685139</v>
      </c>
      <c r="H1400" s="116"/>
      <c r="I1400" s="116"/>
      <c r="L1400" s="170">
        <v>44068</v>
      </c>
      <c r="M1400" s="116">
        <v>3.5</v>
      </c>
      <c r="N1400" s="116">
        <v>3.55</v>
      </c>
      <c r="O1400" s="116">
        <v>3.45</v>
      </c>
      <c r="P1400" s="116">
        <v>3.55</v>
      </c>
      <c r="Q1400" s="116">
        <v>3.5</v>
      </c>
      <c r="R1400">
        <v>1254505</v>
      </c>
    </row>
    <row r="1401" spans="1:18" x14ac:dyDescent="0.25">
      <c r="A1401" s="170">
        <v>44069</v>
      </c>
      <c r="B1401" s="116">
        <v>3.57</v>
      </c>
      <c r="C1401" s="116">
        <v>3.51</v>
      </c>
      <c r="D1401" s="116">
        <v>3.45</v>
      </c>
      <c r="E1401" s="116">
        <v>3.53</v>
      </c>
      <c r="F1401" s="116">
        <v>3.51</v>
      </c>
      <c r="G1401">
        <v>455898</v>
      </c>
      <c r="H1401" s="116"/>
      <c r="I1401" s="116"/>
      <c r="L1401" s="170">
        <v>44069</v>
      </c>
      <c r="M1401" s="116">
        <v>3.5</v>
      </c>
      <c r="N1401" s="116">
        <v>3.55</v>
      </c>
      <c r="O1401" s="116">
        <v>3.45</v>
      </c>
      <c r="P1401" s="116">
        <v>3.55</v>
      </c>
      <c r="Q1401" s="116">
        <v>3.5</v>
      </c>
      <c r="R1401">
        <v>1057503</v>
      </c>
    </row>
    <row r="1402" spans="1:18" x14ac:dyDescent="0.25">
      <c r="A1402" s="170">
        <v>44070</v>
      </c>
      <c r="B1402" s="116">
        <v>3.54</v>
      </c>
      <c r="C1402" s="116">
        <v>3.5</v>
      </c>
      <c r="D1402" s="116">
        <v>3.47</v>
      </c>
      <c r="E1402" s="116">
        <v>3.48</v>
      </c>
      <c r="F1402" s="116">
        <v>3.5</v>
      </c>
      <c r="G1402">
        <v>244092</v>
      </c>
      <c r="H1402" s="116"/>
      <c r="I1402" s="116"/>
      <c r="L1402" s="170">
        <v>44070</v>
      </c>
      <c r="M1402" s="116">
        <v>3.5</v>
      </c>
      <c r="N1402" s="116">
        <v>3.55</v>
      </c>
      <c r="O1402" s="116">
        <v>3.45</v>
      </c>
      <c r="P1402" s="116">
        <v>3.5</v>
      </c>
      <c r="Q1402" s="116">
        <v>3.5</v>
      </c>
      <c r="R1402">
        <v>656986</v>
      </c>
    </row>
    <row r="1403" spans="1:18" x14ac:dyDescent="0.25">
      <c r="A1403" s="170">
        <v>44071</v>
      </c>
      <c r="B1403" s="116">
        <v>3.63</v>
      </c>
      <c r="C1403" s="116">
        <v>3.57</v>
      </c>
      <c r="D1403" s="116">
        <v>3.45</v>
      </c>
      <c r="E1403" s="116">
        <v>3.48</v>
      </c>
      <c r="F1403" s="116">
        <v>3.57</v>
      </c>
      <c r="G1403">
        <v>655230</v>
      </c>
      <c r="H1403" s="116"/>
      <c r="I1403" s="116"/>
      <c r="L1403" s="170">
        <v>44071</v>
      </c>
      <c r="M1403" s="116">
        <v>3.6</v>
      </c>
      <c r="N1403" s="116">
        <v>3.65</v>
      </c>
      <c r="O1403" s="116">
        <v>3.45</v>
      </c>
      <c r="P1403" s="116">
        <v>3.5</v>
      </c>
      <c r="Q1403" s="116">
        <v>3.6</v>
      </c>
      <c r="R1403">
        <v>3142588</v>
      </c>
    </row>
    <row r="1404" spans="1:18" x14ac:dyDescent="0.25">
      <c r="A1404" s="170">
        <v>44074</v>
      </c>
      <c r="B1404" s="116">
        <v>3.75</v>
      </c>
      <c r="C1404" s="116">
        <v>3.54</v>
      </c>
      <c r="D1404" s="116">
        <v>3.44</v>
      </c>
      <c r="E1404" s="116">
        <v>3.69</v>
      </c>
      <c r="F1404" s="116">
        <v>3.54</v>
      </c>
      <c r="G1404">
        <v>444554</v>
      </c>
      <c r="H1404" s="116"/>
      <c r="I1404" s="116"/>
      <c r="L1404" s="170">
        <v>44074</v>
      </c>
      <c r="M1404" s="116">
        <v>3.55</v>
      </c>
      <c r="N1404" s="116">
        <v>3.75</v>
      </c>
      <c r="O1404" s="116">
        <v>3.45</v>
      </c>
      <c r="P1404" s="116">
        <v>3.65</v>
      </c>
      <c r="Q1404" s="116">
        <v>3.55</v>
      </c>
      <c r="R1404">
        <v>1972154</v>
      </c>
    </row>
    <row r="1405" spans="1:18" x14ac:dyDescent="0.25">
      <c r="A1405" s="170">
        <v>44075</v>
      </c>
      <c r="B1405" s="116">
        <v>3.56</v>
      </c>
      <c r="C1405" s="116">
        <v>3.49</v>
      </c>
      <c r="D1405" s="116">
        <v>3.46</v>
      </c>
      <c r="E1405" s="116">
        <v>3.54</v>
      </c>
      <c r="F1405" s="116">
        <v>3.49</v>
      </c>
      <c r="G1405">
        <v>203433</v>
      </c>
      <c r="H1405" s="116"/>
      <c r="I1405" s="116"/>
      <c r="L1405" s="170">
        <v>44075</v>
      </c>
      <c r="M1405" s="116">
        <v>3.5</v>
      </c>
      <c r="N1405" s="116">
        <v>3.55</v>
      </c>
      <c r="O1405" s="116">
        <v>3.45</v>
      </c>
      <c r="P1405" s="116">
        <v>3.5</v>
      </c>
      <c r="Q1405" s="116">
        <v>3.5</v>
      </c>
      <c r="R1405">
        <v>1003656</v>
      </c>
    </row>
    <row r="1406" spans="1:18" x14ac:dyDescent="0.25">
      <c r="A1406" s="170">
        <v>44076</v>
      </c>
      <c r="B1406" s="116">
        <v>3.6</v>
      </c>
      <c r="C1406" s="116">
        <v>3.56</v>
      </c>
      <c r="D1406" s="116">
        <v>3.46</v>
      </c>
      <c r="E1406" s="116">
        <v>3.5</v>
      </c>
      <c r="F1406" s="116">
        <v>3.56</v>
      </c>
      <c r="G1406">
        <v>294314</v>
      </c>
      <c r="H1406" s="116"/>
      <c r="I1406" s="116"/>
      <c r="L1406" s="170">
        <v>44076</v>
      </c>
      <c r="M1406" s="116">
        <v>3.55</v>
      </c>
      <c r="N1406" s="116">
        <v>3.6</v>
      </c>
      <c r="O1406" s="116">
        <v>3.45</v>
      </c>
      <c r="P1406" s="116">
        <v>3.5</v>
      </c>
      <c r="Q1406" s="116">
        <v>3.55</v>
      </c>
      <c r="R1406">
        <v>932284</v>
      </c>
    </row>
    <row r="1407" spans="1:18" x14ac:dyDescent="0.25">
      <c r="A1407" s="170">
        <v>44077</v>
      </c>
      <c r="B1407" s="116">
        <v>3.63</v>
      </c>
      <c r="C1407" s="116">
        <v>3.52</v>
      </c>
      <c r="D1407" s="116">
        <v>3.46</v>
      </c>
      <c r="E1407" s="116">
        <v>3.63</v>
      </c>
      <c r="F1407" s="116">
        <v>3.52</v>
      </c>
      <c r="G1407">
        <v>358711</v>
      </c>
      <c r="H1407" s="116"/>
      <c r="I1407" s="116"/>
      <c r="L1407" s="170">
        <v>44077</v>
      </c>
      <c r="M1407" s="116">
        <v>3.5</v>
      </c>
      <c r="N1407" s="116">
        <v>3.6</v>
      </c>
      <c r="O1407" s="116">
        <v>3.45</v>
      </c>
      <c r="P1407" s="116">
        <v>3.5</v>
      </c>
      <c r="Q1407" s="116">
        <v>3.5</v>
      </c>
      <c r="R1407">
        <v>1032701</v>
      </c>
    </row>
    <row r="1408" spans="1:18" x14ac:dyDescent="0.25">
      <c r="A1408" s="170">
        <v>44078</v>
      </c>
      <c r="B1408" s="116">
        <v>3.54</v>
      </c>
      <c r="C1408" s="116">
        <v>3.45</v>
      </c>
      <c r="D1408" s="116">
        <v>3.33</v>
      </c>
      <c r="E1408" s="116">
        <v>3.33</v>
      </c>
      <c r="F1408" s="116">
        <v>3.45</v>
      </c>
      <c r="G1408">
        <v>709544</v>
      </c>
      <c r="H1408" s="116"/>
      <c r="I1408" s="116"/>
      <c r="L1408" s="170">
        <v>44078</v>
      </c>
      <c r="M1408" s="116">
        <v>3.5</v>
      </c>
      <c r="N1408" s="116">
        <v>3.55</v>
      </c>
      <c r="O1408" s="116">
        <v>3.4</v>
      </c>
      <c r="P1408" s="116">
        <v>3.45</v>
      </c>
      <c r="Q1408" s="116">
        <v>3.5</v>
      </c>
      <c r="R1408">
        <v>1498425</v>
      </c>
    </row>
    <row r="1409" spans="1:18" x14ac:dyDescent="0.25">
      <c r="A1409" s="170">
        <v>44081</v>
      </c>
      <c r="B1409" s="116">
        <v>3.53</v>
      </c>
      <c r="C1409" s="116">
        <v>3.48</v>
      </c>
      <c r="D1409" s="116">
        <v>3.45</v>
      </c>
      <c r="E1409" s="116">
        <v>3.53</v>
      </c>
      <c r="F1409" s="116">
        <v>3.48</v>
      </c>
      <c r="G1409">
        <v>217774</v>
      </c>
      <c r="H1409" s="116"/>
      <c r="I1409" s="116"/>
      <c r="L1409" s="170">
        <v>44081</v>
      </c>
      <c r="M1409" s="116">
        <v>3.5</v>
      </c>
      <c r="N1409" s="116">
        <v>3.55</v>
      </c>
      <c r="O1409" s="116">
        <v>3.45</v>
      </c>
      <c r="P1409" s="116">
        <v>3.55</v>
      </c>
      <c r="Q1409" s="116">
        <v>3.5</v>
      </c>
      <c r="R1409">
        <v>685249</v>
      </c>
    </row>
    <row r="1410" spans="1:18" x14ac:dyDescent="0.25">
      <c r="A1410" s="170">
        <v>44082</v>
      </c>
      <c r="B1410" s="116">
        <v>3.48</v>
      </c>
      <c r="C1410" s="116">
        <v>3.42</v>
      </c>
      <c r="D1410" s="116">
        <v>3.4</v>
      </c>
      <c r="E1410" s="116">
        <v>3.46</v>
      </c>
      <c r="F1410" s="116">
        <v>3.42</v>
      </c>
      <c r="G1410">
        <v>152596</v>
      </c>
      <c r="H1410" s="116"/>
      <c r="I1410" s="116"/>
      <c r="L1410" s="170">
        <v>44082</v>
      </c>
      <c r="M1410" s="116">
        <v>3.4</v>
      </c>
      <c r="N1410" s="116">
        <v>3.5</v>
      </c>
      <c r="O1410" s="116">
        <v>3.4</v>
      </c>
      <c r="P1410" s="116">
        <v>3.5</v>
      </c>
      <c r="Q1410" s="116">
        <v>3.4</v>
      </c>
      <c r="R1410">
        <v>874957</v>
      </c>
    </row>
    <row r="1411" spans="1:18" x14ac:dyDescent="0.25">
      <c r="A1411" s="170">
        <v>44083</v>
      </c>
      <c r="B1411" s="116">
        <v>3.44</v>
      </c>
      <c r="C1411" s="116">
        <v>3.38</v>
      </c>
      <c r="D1411" s="116">
        <v>3.33</v>
      </c>
      <c r="E1411" s="116">
        <v>3.38</v>
      </c>
      <c r="F1411" s="116">
        <v>3.38</v>
      </c>
      <c r="G1411">
        <v>380461</v>
      </c>
      <c r="H1411" s="116"/>
      <c r="I1411" s="116"/>
      <c r="L1411" s="170">
        <v>44083</v>
      </c>
      <c r="M1411" s="116">
        <v>3.35</v>
      </c>
      <c r="N1411" s="116">
        <v>3.45</v>
      </c>
      <c r="O1411" s="116">
        <v>3.3</v>
      </c>
      <c r="P1411" s="116">
        <v>3.4</v>
      </c>
      <c r="Q1411" s="116">
        <v>3.35</v>
      </c>
      <c r="R1411">
        <v>767679</v>
      </c>
    </row>
    <row r="1412" spans="1:18" x14ac:dyDescent="0.25">
      <c r="A1412" s="170">
        <v>44084</v>
      </c>
      <c r="B1412" s="116">
        <v>3.55</v>
      </c>
      <c r="C1412" s="116">
        <v>3.41</v>
      </c>
      <c r="D1412" s="116">
        <v>3.37</v>
      </c>
      <c r="E1412" s="116">
        <v>3.41</v>
      </c>
      <c r="F1412" s="116">
        <v>3.41</v>
      </c>
      <c r="G1412">
        <v>404113</v>
      </c>
      <c r="H1412" s="116"/>
      <c r="I1412" s="116"/>
      <c r="L1412" s="170">
        <v>44084</v>
      </c>
      <c r="M1412" s="116">
        <v>3.4</v>
      </c>
      <c r="N1412" s="116">
        <v>3.55</v>
      </c>
      <c r="O1412" s="116">
        <v>3.4</v>
      </c>
      <c r="P1412" s="116">
        <v>3.4</v>
      </c>
      <c r="Q1412" s="116">
        <v>3.4</v>
      </c>
      <c r="R1412">
        <v>1016459</v>
      </c>
    </row>
    <row r="1413" spans="1:18" x14ac:dyDescent="0.25">
      <c r="A1413" s="170">
        <v>44085</v>
      </c>
      <c r="B1413" s="116">
        <v>3.45</v>
      </c>
      <c r="C1413" s="116">
        <v>3.36</v>
      </c>
      <c r="D1413" s="116">
        <v>3.3</v>
      </c>
      <c r="E1413" s="116">
        <v>3.45</v>
      </c>
      <c r="F1413" s="116">
        <v>3.36</v>
      </c>
      <c r="G1413">
        <v>292131</v>
      </c>
      <c r="H1413" s="116"/>
      <c r="I1413" s="116"/>
      <c r="L1413" s="170">
        <v>44085</v>
      </c>
      <c r="M1413" s="116">
        <v>3.35</v>
      </c>
      <c r="N1413" s="116">
        <v>3.45</v>
      </c>
      <c r="O1413" s="116">
        <v>3.35</v>
      </c>
      <c r="P1413" s="116">
        <v>3.45</v>
      </c>
      <c r="Q1413" s="116">
        <v>3.35</v>
      </c>
      <c r="R1413">
        <v>783073</v>
      </c>
    </row>
    <row r="1414" spans="1:18" x14ac:dyDescent="0.25">
      <c r="A1414" s="170">
        <v>44088</v>
      </c>
      <c r="B1414" s="116">
        <v>3.43</v>
      </c>
      <c r="C1414" s="116">
        <v>3.37</v>
      </c>
      <c r="D1414" s="116">
        <v>3.35</v>
      </c>
      <c r="E1414" s="116">
        <v>3.4</v>
      </c>
      <c r="F1414" s="116">
        <v>3.37</v>
      </c>
      <c r="G1414">
        <v>344504</v>
      </c>
      <c r="H1414" s="116"/>
      <c r="I1414" s="116"/>
      <c r="L1414" s="170">
        <v>44088</v>
      </c>
      <c r="M1414" s="116">
        <v>3.35</v>
      </c>
      <c r="N1414" s="116">
        <v>3.45</v>
      </c>
      <c r="O1414" s="116">
        <v>3.35</v>
      </c>
      <c r="P1414" s="116">
        <v>3.4</v>
      </c>
      <c r="Q1414" s="116">
        <v>3.35</v>
      </c>
      <c r="R1414">
        <v>933651</v>
      </c>
    </row>
    <row r="1415" spans="1:18" x14ac:dyDescent="0.25">
      <c r="A1415" s="170">
        <v>44089</v>
      </c>
      <c r="B1415" s="116">
        <v>3.42</v>
      </c>
      <c r="C1415" s="116">
        <v>3.37</v>
      </c>
      <c r="D1415" s="116">
        <v>3.35</v>
      </c>
      <c r="E1415" s="116">
        <v>3.42</v>
      </c>
      <c r="F1415" s="116">
        <v>3.37</v>
      </c>
      <c r="G1415">
        <v>178438</v>
      </c>
      <c r="H1415" s="116"/>
      <c r="I1415" s="116"/>
      <c r="L1415" s="170">
        <v>44089</v>
      </c>
      <c r="M1415" s="116">
        <v>3.4</v>
      </c>
      <c r="N1415" s="116">
        <v>3.4</v>
      </c>
      <c r="O1415" s="116">
        <v>3.35</v>
      </c>
      <c r="P1415" s="116">
        <v>3.35</v>
      </c>
      <c r="Q1415" s="116">
        <v>3.4</v>
      </c>
      <c r="R1415">
        <v>477868</v>
      </c>
    </row>
    <row r="1416" spans="1:18" x14ac:dyDescent="0.25">
      <c r="A1416" s="170">
        <v>44090</v>
      </c>
      <c r="B1416" s="116">
        <v>3.41</v>
      </c>
      <c r="C1416" s="116">
        <v>3.33</v>
      </c>
      <c r="D1416" s="116">
        <v>3.25</v>
      </c>
      <c r="E1416" s="116">
        <v>3.37</v>
      </c>
      <c r="F1416" s="116">
        <v>3.33</v>
      </c>
      <c r="G1416">
        <v>626050</v>
      </c>
      <c r="H1416" s="116"/>
      <c r="I1416" s="116"/>
      <c r="L1416" s="170">
        <v>44090</v>
      </c>
      <c r="M1416" s="116">
        <v>3.35</v>
      </c>
      <c r="N1416" s="116">
        <v>3.4</v>
      </c>
      <c r="O1416" s="116">
        <v>3.25</v>
      </c>
      <c r="P1416" s="116">
        <v>3.4</v>
      </c>
      <c r="Q1416" s="116">
        <v>3.35</v>
      </c>
      <c r="R1416">
        <v>1344544</v>
      </c>
    </row>
    <row r="1417" spans="1:18" x14ac:dyDescent="0.25">
      <c r="A1417" s="170">
        <v>44091</v>
      </c>
      <c r="B1417" s="116">
        <v>3.38</v>
      </c>
      <c r="C1417" s="116">
        <v>3.29</v>
      </c>
      <c r="D1417" s="116">
        <v>3.25</v>
      </c>
      <c r="E1417" s="116">
        <v>3.37</v>
      </c>
      <c r="F1417" s="116">
        <v>3.29</v>
      </c>
      <c r="G1417">
        <v>282771</v>
      </c>
      <c r="H1417" s="116"/>
      <c r="I1417" s="116"/>
      <c r="L1417" s="170">
        <v>44091</v>
      </c>
      <c r="M1417" s="116">
        <v>3.25</v>
      </c>
      <c r="N1417" s="116">
        <v>3.4</v>
      </c>
      <c r="O1417" s="116">
        <v>3.25</v>
      </c>
      <c r="P1417" s="116">
        <v>3.35</v>
      </c>
      <c r="Q1417" s="116">
        <v>3.25</v>
      </c>
      <c r="R1417">
        <v>1118474</v>
      </c>
    </row>
    <row r="1418" spans="1:18" x14ac:dyDescent="0.25">
      <c r="A1418" s="170">
        <v>44092</v>
      </c>
      <c r="B1418" s="116">
        <v>3.34</v>
      </c>
      <c r="C1418" s="116">
        <v>3.15</v>
      </c>
      <c r="D1418" s="116">
        <v>3.1</v>
      </c>
      <c r="E1418" s="116">
        <v>3.34</v>
      </c>
      <c r="F1418" s="116">
        <v>3.15</v>
      </c>
      <c r="G1418">
        <v>389296</v>
      </c>
      <c r="H1418" s="116"/>
      <c r="I1418" s="116"/>
      <c r="L1418" s="170">
        <v>44092</v>
      </c>
      <c r="M1418" s="116">
        <v>3.15</v>
      </c>
      <c r="N1418" s="116">
        <v>3.35</v>
      </c>
      <c r="O1418" s="116">
        <v>3.1</v>
      </c>
      <c r="P1418" s="116">
        <v>3.3</v>
      </c>
      <c r="Q1418" s="116">
        <v>3.15</v>
      </c>
      <c r="R1418">
        <v>1981326</v>
      </c>
    </row>
    <row r="1419" spans="1:18" x14ac:dyDescent="0.25">
      <c r="A1419" s="170">
        <v>44095</v>
      </c>
      <c r="B1419" s="116">
        <v>3.21</v>
      </c>
      <c r="C1419" s="116">
        <v>2.96</v>
      </c>
      <c r="D1419" s="116">
        <v>2.91</v>
      </c>
      <c r="E1419" s="116">
        <v>3.21</v>
      </c>
      <c r="F1419" s="116">
        <v>2.96</v>
      </c>
      <c r="G1419">
        <v>448795</v>
      </c>
      <c r="H1419" s="116"/>
      <c r="I1419" s="116"/>
      <c r="L1419" s="170">
        <v>44095</v>
      </c>
      <c r="M1419" s="116">
        <v>2.95</v>
      </c>
      <c r="N1419" s="116">
        <v>3.2</v>
      </c>
      <c r="O1419" s="116">
        <v>2.9</v>
      </c>
      <c r="P1419" s="116">
        <v>3.15</v>
      </c>
      <c r="Q1419" s="116">
        <v>2.95</v>
      </c>
      <c r="R1419">
        <v>1084822</v>
      </c>
    </row>
    <row r="1420" spans="1:18" x14ac:dyDescent="0.25">
      <c r="A1420" s="170">
        <v>44096</v>
      </c>
      <c r="B1420" s="116">
        <v>3.01</v>
      </c>
      <c r="C1420" s="116">
        <v>2.96</v>
      </c>
      <c r="D1420" s="116">
        <v>2.76</v>
      </c>
      <c r="E1420" s="116">
        <v>3</v>
      </c>
      <c r="F1420" s="116">
        <v>2.96</v>
      </c>
      <c r="G1420">
        <v>467476</v>
      </c>
      <c r="H1420" s="116"/>
      <c r="I1420" s="116"/>
      <c r="L1420" s="170">
        <v>44096</v>
      </c>
      <c r="M1420" s="116">
        <v>2.95</v>
      </c>
      <c r="N1420" s="116">
        <v>3.05</v>
      </c>
      <c r="O1420" s="116">
        <v>2.75</v>
      </c>
      <c r="P1420" s="116">
        <v>3</v>
      </c>
      <c r="Q1420" s="116">
        <v>2.95</v>
      </c>
      <c r="R1420">
        <v>1202618</v>
      </c>
    </row>
    <row r="1421" spans="1:18" x14ac:dyDescent="0.25">
      <c r="A1421" s="170">
        <v>44097</v>
      </c>
      <c r="B1421" s="116">
        <v>3.1</v>
      </c>
      <c r="C1421" s="116">
        <v>2.86</v>
      </c>
      <c r="D1421" s="116">
        <v>2.82</v>
      </c>
      <c r="E1421" s="116">
        <v>2.95</v>
      </c>
      <c r="F1421" s="116">
        <v>2.86</v>
      </c>
      <c r="G1421">
        <v>279825</v>
      </c>
      <c r="H1421" s="116"/>
      <c r="I1421" s="116"/>
      <c r="L1421" s="170">
        <v>44097</v>
      </c>
      <c r="M1421" s="116">
        <v>2.85</v>
      </c>
      <c r="N1421" s="116">
        <v>3.15</v>
      </c>
      <c r="O1421" s="116">
        <v>2.8</v>
      </c>
      <c r="P1421" s="116">
        <v>3.05</v>
      </c>
      <c r="Q1421" s="116">
        <v>2.85</v>
      </c>
      <c r="R1421">
        <v>735791</v>
      </c>
    </row>
    <row r="1422" spans="1:18" x14ac:dyDescent="0.25">
      <c r="A1422" s="170">
        <v>44098</v>
      </c>
      <c r="B1422" s="116">
        <v>2.96</v>
      </c>
      <c r="C1422" s="116">
        <v>2.8</v>
      </c>
      <c r="D1422" s="116">
        <v>2.74</v>
      </c>
      <c r="E1422" s="116">
        <v>2.81</v>
      </c>
      <c r="F1422" s="116">
        <v>2.8</v>
      </c>
      <c r="G1422">
        <v>374897</v>
      </c>
      <c r="H1422" s="116"/>
      <c r="I1422" s="116"/>
      <c r="L1422" s="170">
        <v>44098</v>
      </c>
      <c r="M1422" s="116">
        <v>2.8</v>
      </c>
      <c r="N1422" s="116">
        <v>3</v>
      </c>
      <c r="O1422" s="116">
        <v>2.75</v>
      </c>
      <c r="P1422" s="116">
        <v>2.85</v>
      </c>
      <c r="Q1422" s="116">
        <v>2.8</v>
      </c>
      <c r="R1422">
        <v>857040</v>
      </c>
    </row>
    <row r="1423" spans="1:18" x14ac:dyDescent="0.25">
      <c r="A1423" s="170">
        <v>44099</v>
      </c>
      <c r="B1423" s="116">
        <v>3</v>
      </c>
      <c r="C1423" s="116">
        <v>2.98</v>
      </c>
      <c r="D1423" s="116">
        <v>2.84</v>
      </c>
      <c r="E1423" s="116">
        <v>2.92</v>
      </c>
      <c r="F1423" s="116">
        <v>2.98</v>
      </c>
      <c r="G1423">
        <v>207470</v>
      </c>
      <c r="H1423" s="116"/>
      <c r="I1423" s="116"/>
      <c r="L1423" s="170">
        <v>44099</v>
      </c>
      <c r="M1423" s="116">
        <v>2.95</v>
      </c>
      <c r="N1423" s="116">
        <v>3</v>
      </c>
      <c r="O1423" s="116">
        <v>2.8</v>
      </c>
      <c r="P1423" s="116">
        <v>2.8</v>
      </c>
      <c r="Q1423" s="116">
        <v>2.95</v>
      </c>
      <c r="R1423">
        <v>616676</v>
      </c>
    </row>
    <row r="1424" spans="1:18" x14ac:dyDescent="0.25">
      <c r="A1424" s="170">
        <v>44102</v>
      </c>
      <c r="B1424" s="116">
        <v>3.23</v>
      </c>
      <c r="C1424" s="116">
        <v>3.17</v>
      </c>
      <c r="D1424" s="116">
        <v>2.98</v>
      </c>
      <c r="E1424" s="116">
        <v>2.98</v>
      </c>
      <c r="F1424" s="116">
        <v>3.17</v>
      </c>
      <c r="G1424">
        <v>369925</v>
      </c>
      <c r="H1424" s="116"/>
      <c r="I1424" s="116"/>
      <c r="L1424" s="170">
        <v>44102</v>
      </c>
      <c r="M1424" s="116">
        <v>3.2</v>
      </c>
      <c r="N1424" s="116">
        <v>3.2</v>
      </c>
      <c r="O1424" s="116">
        <v>2.95</v>
      </c>
      <c r="P1424" s="116">
        <v>3</v>
      </c>
      <c r="Q1424" s="116">
        <v>3.2</v>
      </c>
      <c r="R1424">
        <v>991083</v>
      </c>
    </row>
    <row r="1425" spans="1:18" x14ac:dyDescent="0.25">
      <c r="A1425" s="170">
        <v>44103</v>
      </c>
      <c r="B1425" s="116">
        <v>3.27</v>
      </c>
      <c r="C1425" s="116">
        <v>2.93</v>
      </c>
      <c r="D1425" s="116">
        <v>2.89</v>
      </c>
      <c r="E1425" s="116">
        <v>3.27</v>
      </c>
      <c r="F1425" s="116">
        <v>2.93</v>
      </c>
      <c r="G1425">
        <v>314422</v>
      </c>
      <c r="H1425" s="116"/>
      <c r="I1425" s="116"/>
      <c r="L1425" s="170">
        <v>44103</v>
      </c>
      <c r="M1425" s="116">
        <v>2.95</v>
      </c>
      <c r="N1425" s="116">
        <v>3.25</v>
      </c>
      <c r="O1425" s="116">
        <v>2.9</v>
      </c>
      <c r="P1425" s="116">
        <v>3.25</v>
      </c>
      <c r="Q1425" s="116">
        <v>2.95</v>
      </c>
      <c r="R1425">
        <v>1742830</v>
      </c>
    </row>
    <row r="1426" spans="1:18" x14ac:dyDescent="0.25">
      <c r="A1426" s="170">
        <v>44104</v>
      </c>
      <c r="B1426" s="116">
        <v>3.08</v>
      </c>
      <c r="C1426" s="116">
        <v>2.93</v>
      </c>
      <c r="D1426" s="116">
        <v>2.89</v>
      </c>
      <c r="E1426" s="116">
        <v>3.08</v>
      </c>
      <c r="F1426" s="116">
        <v>2.93</v>
      </c>
      <c r="G1426">
        <v>197104</v>
      </c>
      <c r="H1426" s="116"/>
      <c r="I1426" s="116"/>
      <c r="L1426" s="170">
        <v>44104</v>
      </c>
      <c r="M1426" s="116">
        <v>2.95</v>
      </c>
      <c r="N1426" s="116">
        <v>3.05</v>
      </c>
      <c r="O1426" s="116">
        <v>2.9</v>
      </c>
      <c r="P1426" s="116">
        <v>3</v>
      </c>
      <c r="Q1426" s="116">
        <v>2.95</v>
      </c>
      <c r="R1426">
        <v>689448</v>
      </c>
    </row>
    <row r="1427" spans="1:18" x14ac:dyDescent="0.25">
      <c r="A1427" s="170">
        <v>44105</v>
      </c>
      <c r="B1427" s="116">
        <v>3.04</v>
      </c>
      <c r="C1427" s="116">
        <v>2.95</v>
      </c>
      <c r="D1427" s="116">
        <v>2.9</v>
      </c>
      <c r="E1427" s="116">
        <v>2.96</v>
      </c>
      <c r="F1427" s="116">
        <v>2.95</v>
      </c>
      <c r="G1427">
        <v>292583</v>
      </c>
      <c r="H1427" s="116"/>
      <c r="I1427" s="116"/>
      <c r="L1427" s="170">
        <v>44105</v>
      </c>
      <c r="M1427" s="116">
        <v>2.95</v>
      </c>
      <c r="N1427" s="116">
        <v>3</v>
      </c>
      <c r="O1427" s="116">
        <v>2.9</v>
      </c>
      <c r="P1427" s="116">
        <v>2.9</v>
      </c>
      <c r="Q1427" s="116">
        <v>2.95</v>
      </c>
      <c r="R1427">
        <v>661424</v>
      </c>
    </row>
    <row r="1428" spans="1:18" x14ac:dyDescent="0.25">
      <c r="A1428" s="170">
        <v>44109</v>
      </c>
      <c r="B1428" s="116">
        <v>3.05</v>
      </c>
      <c r="C1428" s="116">
        <v>2.96</v>
      </c>
      <c r="D1428" s="116">
        <v>2.93</v>
      </c>
      <c r="E1428" s="116">
        <v>3.05</v>
      </c>
      <c r="F1428" s="116">
        <v>2.96</v>
      </c>
      <c r="G1428">
        <v>208291</v>
      </c>
      <c r="H1428" s="116"/>
      <c r="I1428" s="116"/>
      <c r="L1428" s="170">
        <v>44109</v>
      </c>
      <c r="M1428" s="116">
        <v>2.95</v>
      </c>
      <c r="N1428" s="116">
        <v>3</v>
      </c>
      <c r="O1428" s="116">
        <v>2.95</v>
      </c>
      <c r="P1428" s="116">
        <v>2.95</v>
      </c>
      <c r="Q1428" s="116">
        <v>2.95</v>
      </c>
      <c r="R1428">
        <v>509007</v>
      </c>
    </row>
    <row r="1429" spans="1:18" x14ac:dyDescent="0.25">
      <c r="A1429" s="170">
        <v>44110</v>
      </c>
      <c r="B1429" s="116">
        <v>3.05</v>
      </c>
      <c r="C1429" s="116">
        <v>2.98</v>
      </c>
      <c r="D1429" s="116">
        <v>2.9</v>
      </c>
      <c r="E1429" s="116">
        <v>3.05</v>
      </c>
      <c r="F1429" s="116">
        <v>2.98</v>
      </c>
      <c r="G1429">
        <v>269878</v>
      </c>
      <c r="H1429" s="116"/>
      <c r="I1429" s="116"/>
      <c r="L1429" s="170">
        <v>44110</v>
      </c>
      <c r="M1429" s="116">
        <v>3</v>
      </c>
      <c r="N1429" s="116">
        <v>3</v>
      </c>
      <c r="O1429" s="116">
        <v>2.9</v>
      </c>
      <c r="P1429" s="116">
        <v>3</v>
      </c>
      <c r="Q1429" s="116">
        <v>3</v>
      </c>
      <c r="R1429">
        <v>664839</v>
      </c>
    </row>
    <row r="1430" spans="1:18" x14ac:dyDescent="0.25">
      <c r="A1430" s="170">
        <v>44111</v>
      </c>
      <c r="B1430" s="116">
        <v>3.01</v>
      </c>
      <c r="C1430" s="116">
        <v>2.92</v>
      </c>
      <c r="D1430" s="116">
        <v>2.9</v>
      </c>
      <c r="E1430" s="116">
        <v>3.01</v>
      </c>
      <c r="F1430" s="116">
        <v>2.92</v>
      </c>
      <c r="G1430">
        <v>105607</v>
      </c>
      <c r="H1430" s="116"/>
      <c r="I1430" s="116"/>
      <c r="L1430" s="170">
        <v>44111</v>
      </c>
      <c r="M1430" s="116">
        <v>2.9</v>
      </c>
      <c r="N1430" s="116">
        <v>3</v>
      </c>
      <c r="O1430" s="116">
        <v>2.9</v>
      </c>
      <c r="P1430" s="116">
        <v>3</v>
      </c>
      <c r="Q1430" s="116">
        <v>2.9</v>
      </c>
      <c r="R1430">
        <v>549894</v>
      </c>
    </row>
    <row r="1431" spans="1:18" x14ac:dyDescent="0.25">
      <c r="A1431" s="170">
        <v>44112</v>
      </c>
      <c r="B1431" s="116">
        <v>3.05</v>
      </c>
      <c r="C1431" s="116">
        <v>2.99</v>
      </c>
      <c r="D1431" s="116">
        <v>2.9</v>
      </c>
      <c r="E1431" s="116">
        <v>2.92</v>
      </c>
      <c r="F1431" s="116">
        <v>2.99</v>
      </c>
      <c r="G1431">
        <v>316481</v>
      </c>
      <c r="H1431" s="116"/>
      <c r="I1431" s="116"/>
      <c r="L1431" s="170">
        <v>44112</v>
      </c>
      <c r="M1431" s="116">
        <v>2.95</v>
      </c>
      <c r="N1431" s="116">
        <v>3.05</v>
      </c>
      <c r="O1431" s="116">
        <v>2.9</v>
      </c>
      <c r="P1431" s="116">
        <v>2.9</v>
      </c>
      <c r="Q1431" s="116">
        <v>2.95</v>
      </c>
      <c r="R1431">
        <v>649200</v>
      </c>
    </row>
    <row r="1432" spans="1:18" x14ac:dyDescent="0.25">
      <c r="A1432" s="170">
        <v>44113</v>
      </c>
      <c r="B1432" s="116">
        <v>3.05</v>
      </c>
      <c r="C1432" s="116">
        <v>2.97</v>
      </c>
      <c r="D1432" s="116">
        <v>2.86</v>
      </c>
      <c r="E1432" s="116">
        <v>3.05</v>
      </c>
      <c r="F1432" s="116">
        <v>2.97</v>
      </c>
      <c r="G1432">
        <v>194106</v>
      </c>
      <c r="H1432" s="116"/>
      <c r="I1432" s="116"/>
      <c r="L1432" s="170">
        <v>44113</v>
      </c>
      <c r="M1432" s="116">
        <v>3</v>
      </c>
      <c r="N1432" s="116">
        <v>3</v>
      </c>
      <c r="O1432" s="116">
        <v>2.95</v>
      </c>
      <c r="P1432" s="116">
        <v>2.95</v>
      </c>
      <c r="Q1432" s="116">
        <v>3</v>
      </c>
      <c r="R1432">
        <v>302962</v>
      </c>
    </row>
    <row r="1433" spans="1:18" x14ac:dyDescent="0.25">
      <c r="A1433" s="170">
        <v>44116</v>
      </c>
      <c r="B1433" s="116">
        <v>3.2</v>
      </c>
      <c r="C1433" s="116">
        <v>3</v>
      </c>
      <c r="D1433" s="116">
        <v>2.94</v>
      </c>
      <c r="E1433" s="116">
        <v>3.01</v>
      </c>
      <c r="F1433" s="116">
        <v>3</v>
      </c>
      <c r="G1433">
        <v>214393</v>
      </c>
      <c r="H1433" s="116"/>
      <c r="I1433" s="116"/>
      <c r="L1433" s="170">
        <v>44116</v>
      </c>
      <c r="M1433" s="116">
        <v>3</v>
      </c>
      <c r="N1433" s="116">
        <v>3.2</v>
      </c>
      <c r="O1433" s="116">
        <v>2.95</v>
      </c>
      <c r="P1433" s="116">
        <v>3</v>
      </c>
      <c r="Q1433" s="116">
        <v>3</v>
      </c>
      <c r="R1433">
        <v>934510</v>
      </c>
    </row>
    <row r="1434" spans="1:18" x14ac:dyDescent="0.25">
      <c r="A1434" s="170">
        <v>44117</v>
      </c>
      <c r="B1434" s="116">
        <v>3.08</v>
      </c>
      <c r="C1434" s="116">
        <v>2.91</v>
      </c>
      <c r="D1434" s="116">
        <v>2.85</v>
      </c>
      <c r="E1434" s="116">
        <v>3.08</v>
      </c>
      <c r="F1434" s="116">
        <v>2.91</v>
      </c>
      <c r="G1434">
        <v>185859</v>
      </c>
      <c r="H1434" s="116"/>
      <c r="I1434" s="116"/>
      <c r="L1434" s="170">
        <v>44117</v>
      </c>
      <c r="M1434" s="116">
        <v>2.9</v>
      </c>
      <c r="N1434" s="116">
        <v>3.05</v>
      </c>
      <c r="O1434" s="116">
        <v>2.85</v>
      </c>
      <c r="P1434" s="116">
        <v>3</v>
      </c>
      <c r="Q1434" s="116">
        <v>2.9</v>
      </c>
      <c r="R1434">
        <v>570576</v>
      </c>
    </row>
    <row r="1435" spans="1:18" x14ac:dyDescent="0.25">
      <c r="A1435" s="170">
        <v>44118</v>
      </c>
      <c r="B1435" s="116">
        <v>3</v>
      </c>
      <c r="C1435" s="116">
        <v>2.92</v>
      </c>
      <c r="D1435" s="116">
        <v>2.86</v>
      </c>
      <c r="E1435" s="116">
        <v>3</v>
      </c>
      <c r="F1435" s="116">
        <v>2.92</v>
      </c>
      <c r="G1435">
        <v>112936</v>
      </c>
      <c r="H1435" s="116"/>
      <c r="I1435" s="116"/>
      <c r="L1435" s="170">
        <v>44118</v>
      </c>
      <c r="M1435" s="116">
        <v>2.9</v>
      </c>
      <c r="N1435" s="116">
        <v>2.95</v>
      </c>
      <c r="O1435" s="116">
        <v>2.85</v>
      </c>
      <c r="P1435" s="116">
        <v>2.9</v>
      </c>
      <c r="Q1435" s="116">
        <v>2.9</v>
      </c>
      <c r="R1435">
        <v>342418</v>
      </c>
    </row>
    <row r="1436" spans="1:18" x14ac:dyDescent="0.25">
      <c r="A1436" s="170">
        <v>44119</v>
      </c>
      <c r="B1436" s="116">
        <v>2.95</v>
      </c>
      <c r="C1436" s="116">
        <v>2.84</v>
      </c>
      <c r="D1436" s="116">
        <v>2.75</v>
      </c>
      <c r="E1436" s="116">
        <v>2.9</v>
      </c>
      <c r="F1436" s="116">
        <v>2.84</v>
      </c>
      <c r="G1436">
        <v>361945</v>
      </c>
      <c r="H1436" s="116"/>
      <c r="I1436" s="116"/>
      <c r="L1436" s="170">
        <v>44119</v>
      </c>
      <c r="M1436" s="116">
        <v>2.85</v>
      </c>
      <c r="N1436" s="116">
        <v>2.95</v>
      </c>
      <c r="O1436" s="116">
        <v>2.7</v>
      </c>
      <c r="P1436" s="116">
        <v>2.9</v>
      </c>
      <c r="Q1436" s="116">
        <v>2.85</v>
      </c>
      <c r="R1436">
        <v>949037</v>
      </c>
    </row>
    <row r="1437" spans="1:18" x14ac:dyDescent="0.25">
      <c r="A1437" s="170">
        <v>44120</v>
      </c>
      <c r="B1437" s="116">
        <v>2.99</v>
      </c>
      <c r="C1437" s="116">
        <v>2.82</v>
      </c>
      <c r="D1437" s="116">
        <v>2.77</v>
      </c>
      <c r="E1437" s="116">
        <v>2.99</v>
      </c>
      <c r="F1437" s="116">
        <v>2.82</v>
      </c>
      <c r="G1437">
        <v>150621</v>
      </c>
      <c r="H1437" s="116"/>
      <c r="I1437" s="116"/>
      <c r="L1437" s="170">
        <v>44120</v>
      </c>
      <c r="M1437" s="116">
        <v>2.75</v>
      </c>
      <c r="N1437" s="116">
        <v>2.9</v>
      </c>
      <c r="O1437" s="116">
        <v>2.75</v>
      </c>
      <c r="P1437" s="116">
        <v>2.9</v>
      </c>
      <c r="Q1437" s="116">
        <v>2.75</v>
      </c>
      <c r="R1437">
        <v>647782</v>
      </c>
    </row>
    <row r="1438" spans="1:18" x14ac:dyDescent="0.25">
      <c r="A1438" s="170">
        <v>44123</v>
      </c>
      <c r="B1438" s="116">
        <v>3.38</v>
      </c>
      <c r="C1438" s="116">
        <v>3.38</v>
      </c>
      <c r="D1438" s="116">
        <v>2.9</v>
      </c>
      <c r="E1438" s="116">
        <v>2.9</v>
      </c>
      <c r="F1438" s="116">
        <v>3.38</v>
      </c>
      <c r="G1438">
        <v>1881088</v>
      </c>
      <c r="H1438" s="116"/>
      <c r="I1438" s="116"/>
      <c r="L1438" s="170">
        <v>44123</v>
      </c>
      <c r="M1438" s="116">
        <v>3.3</v>
      </c>
      <c r="N1438" s="116">
        <v>3.3</v>
      </c>
      <c r="O1438" s="116">
        <v>2.9</v>
      </c>
      <c r="P1438" s="116">
        <v>3.3</v>
      </c>
      <c r="Q1438" s="116">
        <v>3.3</v>
      </c>
      <c r="R1438">
        <v>2802132</v>
      </c>
    </row>
    <row r="1439" spans="1:18" x14ac:dyDescent="0.25">
      <c r="A1439" s="170">
        <v>44124</v>
      </c>
      <c r="B1439" s="116">
        <v>4.05</v>
      </c>
      <c r="C1439" s="116">
        <v>4.05</v>
      </c>
      <c r="D1439" s="116">
        <v>3.75</v>
      </c>
      <c r="E1439" s="116">
        <v>3.85</v>
      </c>
      <c r="F1439" s="116">
        <v>4.05</v>
      </c>
      <c r="G1439">
        <v>2833891</v>
      </c>
      <c r="H1439" s="116"/>
      <c r="I1439" s="116"/>
      <c r="L1439" s="170">
        <v>44124</v>
      </c>
      <c r="M1439" s="116">
        <v>3.95</v>
      </c>
      <c r="N1439" s="116">
        <v>3.95</v>
      </c>
      <c r="O1439" s="116">
        <v>3.65</v>
      </c>
      <c r="P1439" s="116">
        <v>3.8</v>
      </c>
      <c r="Q1439" s="116">
        <v>3.95</v>
      </c>
      <c r="R1439">
        <v>2690430</v>
      </c>
    </row>
    <row r="1440" spans="1:18" x14ac:dyDescent="0.25">
      <c r="A1440" s="170">
        <v>44125</v>
      </c>
      <c r="B1440" s="116">
        <v>4.8600000000000003</v>
      </c>
      <c r="C1440" s="116">
        <v>4.8600000000000003</v>
      </c>
      <c r="D1440" s="116">
        <v>4.46</v>
      </c>
      <c r="E1440" s="116">
        <v>4.8600000000000003</v>
      </c>
      <c r="F1440" s="116">
        <v>4.8600000000000003</v>
      </c>
      <c r="G1440">
        <v>10427412</v>
      </c>
      <c r="H1440" s="116"/>
      <c r="I1440" s="116"/>
      <c r="L1440" s="170">
        <v>44125</v>
      </c>
      <c r="M1440" s="116">
        <v>4.7</v>
      </c>
      <c r="N1440" s="116">
        <v>4.7</v>
      </c>
      <c r="O1440" s="116">
        <v>4.45</v>
      </c>
      <c r="P1440" s="116">
        <v>4.7</v>
      </c>
      <c r="Q1440" s="116">
        <v>4.7</v>
      </c>
      <c r="R1440">
        <v>10198323</v>
      </c>
    </row>
    <row r="1441" spans="1:18" x14ac:dyDescent="0.25">
      <c r="A1441" s="170">
        <v>44126</v>
      </c>
      <c r="B1441" s="116">
        <v>5.34</v>
      </c>
      <c r="C1441" s="116">
        <v>5.34</v>
      </c>
      <c r="D1441" s="116">
        <v>5.34</v>
      </c>
      <c r="E1441" s="116">
        <v>5.34</v>
      </c>
      <c r="F1441" s="116">
        <v>5.34</v>
      </c>
      <c r="G1441">
        <v>2602404</v>
      </c>
      <c r="H1441" s="116"/>
      <c r="I1441" s="116"/>
      <c r="L1441" s="170">
        <v>44126</v>
      </c>
      <c r="M1441" s="116">
        <v>5.15</v>
      </c>
      <c r="N1441" s="116">
        <v>5.15</v>
      </c>
      <c r="O1441" s="116">
        <v>5.15</v>
      </c>
      <c r="P1441" s="116">
        <v>5.15</v>
      </c>
      <c r="Q1441" s="116">
        <v>5.15</v>
      </c>
      <c r="R1441">
        <v>779440</v>
      </c>
    </row>
    <row r="1442" spans="1:18" x14ac:dyDescent="0.25">
      <c r="A1442" s="170">
        <v>44127</v>
      </c>
      <c r="B1442" s="116">
        <v>5.87</v>
      </c>
      <c r="C1442" s="116">
        <v>5.87</v>
      </c>
      <c r="D1442" s="116">
        <v>5.87</v>
      </c>
      <c r="E1442" s="116">
        <v>5.87</v>
      </c>
      <c r="F1442" s="116">
        <v>5.87</v>
      </c>
      <c r="G1442">
        <v>1838022</v>
      </c>
      <c r="H1442" s="116"/>
      <c r="I1442" s="116"/>
      <c r="L1442" s="170">
        <v>44127</v>
      </c>
      <c r="M1442" s="116">
        <v>5.65</v>
      </c>
      <c r="N1442" s="116">
        <v>5.65</v>
      </c>
      <c r="O1442" s="116">
        <v>5.65</v>
      </c>
      <c r="P1442" s="116">
        <v>5.65</v>
      </c>
      <c r="Q1442" s="116">
        <v>5.65</v>
      </c>
      <c r="R1442">
        <v>845546</v>
      </c>
    </row>
    <row r="1443" spans="1:18" x14ac:dyDescent="0.25">
      <c r="A1443" s="170">
        <v>44130</v>
      </c>
      <c r="B1443" s="116">
        <v>6.45</v>
      </c>
      <c r="C1443" s="116">
        <v>6.45</v>
      </c>
      <c r="D1443" s="116">
        <v>5.29</v>
      </c>
      <c r="E1443" s="116">
        <v>6.15</v>
      </c>
      <c r="F1443" s="116">
        <v>6.45</v>
      </c>
      <c r="G1443">
        <v>7871146</v>
      </c>
      <c r="H1443" s="116"/>
      <c r="I1443" s="116"/>
      <c r="L1443" s="170">
        <v>44130</v>
      </c>
      <c r="M1443" s="116">
        <v>6.2</v>
      </c>
      <c r="N1443" s="116">
        <v>6.2</v>
      </c>
      <c r="O1443" s="116">
        <v>5.15</v>
      </c>
      <c r="P1443" s="116">
        <v>6.2</v>
      </c>
      <c r="Q1443" s="116">
        <v>6.2</v>
      </c>
      <c r="R1443">
        <v>13418211</v>
      </c>
    </row>
    <row r="1444" spans="1:18" x14ac:dyDescent="0.25">
      <c r="A1444" s="170">
        <v>44131</v>
      </c>
      <c r="B1444" s="116">
        <v>6.77</v>
      </c>
      <c r="C1444" s="116">
        <v>6.77</v>
      </c>
      <c r="D1444" s="116">
        <v>6.28</v>
      </c>
      <c r="E1444" s="116">
        <v>6.77</v>
      </c>
      <c r="F1444" s="116">
        <v>6.77</v>
      </c>
      <c r="G1444">
        <v>7413121</v>
      </c>
      <c r="H1444" s="116"/>
      <c r="I1444" s="116"/>
      <c r="L1444" s="170">
        <v>44131</v>
      </c>
      <c r="M1444" s="116">
        <v>6.5</v>
      </c>
      <c r="N1444" s="116">
        <v>6.5</v>
      </c>
      <c r="O1444" s="116">
        <v>6.3</v>
      </c>
      <c r="P1444" s="116">
        <v>6.5</v>
      </c>
      <c r="Q1444" s="116">
        <v>6.5</v>
      </c>
      <c r="R1444">
        <v>7427934</v>
      </c>
    </row>
    <row r="1445" spans="1:18" x14ac:dyDescent="0.25">
      <c r="A1445" s="170">
        <v>44132</v>
      </c>
      <c r="B1445" s="116">
        <v>7.1</v>
      </c>
      <c r="C1445" s="116">
        <v>7.1</v>
      </c>
      <c r="D1445" s="116">
        <v>6.92</v>
      </c>
      <c r="E1445" s="116">
        <v>7.07</v>
      </c>
      <c r="F1445" s="116">
        <v>7.1</v>
      </c>
      <c r="G1445">
        <v>4907265</v>
      </c>
      <c r="H1445" s="116"/>
      <c r="I1445" s="116"/>
      <c r="L1445" s="170">
        <v>44132</v>
      </c>
      <c r="M1445" s="116">
        <v>6.8</v>
      </c>
      <c r="N1445" s="116">
        <v>6.8</v>
      </c>
      <c r="O1445" s="116">
        <v>6.8</v>
      </c>
      <c r="P1445" s="116">
        <v>6.8</v>
      </c>
      <c r="Q1445" s="116">
        <v>6.8</v>
      </c>
      <c r="R1445">
        <v>359292</v>
      </c>
    </row>
    <row r="1446" spans="1:18" x14ac:dyDescent="0.25">
      <c r="A1446" s="170">
        <v>44133</v>
      </c>
      <c r="B1446" s="116">
        <v>7.45</v>
      </c>
      <c r="C1446" s="116">
        <v>7.45</v>
      </c>
      <c r="D1446" s="116">
        <v>7.15</v>
      </c>
      <c r="E1446" s="116">
        <v>7.38</v>
      </c>
      <c r="F1446" s="116">
        <v>7.45</v>
      </c>
      <c r="G1446">
        <v>4701837</v>
      </c>
      <c r="H1446" s="116"/>
      <c r="I1446" s="116"/>
      <c r="L1446" s="170">
        <v>44133</v>
      </c>
      <c r="M1446" s="116">
        <v>7.1</v>
      </c>
      <c r="N1446" s="116">
        <v>7.1</v>
      </c>
      <c r="O1446" s="116">
        <v>7.1</v>
      </c>
      <c r="P1446" s="116">
        <v>7.1</v>
      </c>
      <c r="Q1446" s="116">
        <v>7.1</v>
      </c>
      <c r="R1446">
        <v>567116</v>
      </c>
    </row>
    <row r="1447" spans="1:18" x14ac:dyDescent="0.25">
      <c r="A1447" s="170">
        <v>44134</v>
      </c>
      <c r="B1447" s="116">
        <v>7.82</v>
      </c>
      <c r="C1447" s="116">
        <v>7.82</v>
      </c>
      <c r="D1447" s="116">
        <v>7.7</v>
      </c>
      <c r="E1447" s="116">
        <v>7.8</v>
      </c>
      <c r="F1447" s="116">
        <v>7.82</v>
      </c>
      <c r="G1447">
        <v>2444204</v>
      </c>
      <c r="H1447" s="116"/>
      <c r="I1447" s="116"/>
      <c r="L1447" s="170">
        <v>44134</v>
      </c>
      <c r="M1447" s="116">
        <v>7.45</v>
      </c>
      <c r="N1447" s="116">
        <v>7.45</v>
      </c>
      <c r="O1447" s="116">
        <v>7.45</v>
      </c>
      <c r="P1447" s="116">
        <v>7.45</v>
      </c>
      <c r="Q1447" s="116">
        <v>7.45</v>
      </c>
      <c r="R1447">
        <v>313304</v>
      </c>
    </row>
    <row r="1448" spans="1:18" x14ac:dyDescent="0.25">
      <c r="A1448" s="170">
        <v>44137</v>
      </c>
      <c r="B1448" s="116">
        <v>8.2100000000000009</v>
      </c>
      <c r="C1448" s="116">
        <v>8.2100000000000009</v>
      </c>
      <c r="D1448" s="116">
        <v>8.2100000000000009</v>
      </c>
      <c r="E1448" s="116">
        <v>8.2100000000000009</v>
      </c>
      <c r="F1448" s="116">
        <v>8.2100000000000009</v>
      </c>
      <c r="G1448">
        <v>1046240</v>
      </c>
      <c r="H1448" s="116"/>
      <c r="I1448" s="116"/>
      <c r="L1448" s="170">
        <v>44137</v>
      </c>
      <c r="M1448" s="116">
        <v>7.8</v>
      </c>
      <c r="N1448" s="116">
        <v>7.8</v>
      </c>
      <c r="O1448" s="116">
        <v>7.8</v>
      </c>
      <c r="P1448" s="116">
        <v>7.8</v>
      </c>
      <c r="Q1448" s="116">
        <v>7.8</v>
      </c>
      <c r="R1448">
        <v>260214</v>
      </c>
    </row>
    <row r="1449" spans="1:18" x14ac:dyDescent="0.25">
      <c r="A1449" s="170">
        <v>44138</v>
      </c>
      <c r="B1449" s="116">
        <v>8.6199999999999992</v>
      </c>
      <c r="C1449" s="116">
        <v>8.6199999999999992</v>
      </c>
      <c r="D1449" s="116">
        <v>8.1199999999999992</v>
      </c>
      <c r="E1449" s="116">
        <v>8.6199999999999992</v>
      </c>
      <c r="F1449" s="116">
        <v>8.6199999999999992</v>
      </c>
      <c r="G1449">
        <v>21355347</v>
      </c>
      <c r="H1449" s="116"/>
      <c r="I1449" s="116"/>
      <c r="L1449" s="170">
        <v>44138</v>
      </c>
      <c r="M1449" s="116">
        <v>8.15</v>
      </c>
      <c r="N1449" s="116">
        <v>8.15</v>
      </c>
      <c r="O1449" s="116">
        <v>8.15</v>
      </c>
      <c r="P1449" s="116">
        <v>8.15</v>
      </c>
      <c r="Q1449" s="116">
        <v>8.15</v>
      </c>
      <c r="R1449">
        <v>8322052</v>
      </c>
    </row>
    <row r="1450" spans="1:18" x14ac:dyDescent="0.25">
      <c r="A1450" s="170">
        <v>44139</v>
      </c>
      <c r="B1450" s="116">
        <v>9.0299999999999994</v>
      </c>
      <c r="C1450" s="116">
        <v>8.19</v>
      </c>
      <c r="D1450" s="116">
        <v>8.19</v>
      </c>
      <c r="E1450" s="116">
        <v>8.9499999999999993</v>
      </c>
      <c r="F1450" s="116">
        <v>8.19</v>
      </c>
      <c r="G1450">
        <v>14611143</v>
      </c>
      <c r="H1450" s="116"/>
      <c r="I1450" s="116"/>
      <c r="L1450" s="170">
        <v>44139</v>
      </c>
      <c r="M1450" s="116">
        <v>7.75</v>
      </c>
      <c r="N1450" s="116">
        <v>8.5500000000000007</v>
      </c>
      <c r="O1450" s="116">
        <v>7.75</v>
      </c>
      <c r="P1450" s="116">
        <v>8.5500000000000007</v>
      </c>
      <c r="Q1450" s="116">
        <v>7.75</v>
      </c>
      <c r="R1450">
        <v>35374075</v>
      </c>
    </row>
    <row r="1451" spans="1:18" x14ac:dyDescent="0.25">
      <c r="A1451" s="170">
        <v>44140</v>
      </c>
      <c r="B1451" s="116">
        <v>7.79</v>
      </c>
      <c r="C1451" s="116">
        <v>7.79</v>
      </c>
      <c r="D1451" s="116">
        <v>7.79</v>
      </c>
      <c r="E1451" s="116">
        <v>7.79</v>
      </c>
      <c r="F1451" s="116">
        <v>7.79</v>
      </c>
      <c r="G1451">
        <v>104355</v>
      </c>
      <c r="H1451" s="116"/>
      <c r="I1451" s="116"/>
      <c r="L1451" s="170">
        <v>44140</v>
      </c>
      <c r="M1451" s="116">
        <v>7.4</v>
      </c>
      <c r="N1451" s="116">
        <v>7.4</v>
      </c>
      <c r="O1451" s="116">
        <v>7.4</v>
      </c>
      <c r="P1451" s="116">
        <v>7.4</v>
      </c>
      <c r="Q1451" s="116">
        <v>7.4</v>
      </c>
      <c r="R1451">
        <v>1500086</v>
      </c>
    </row>
    <row r="1452" spans="1:18" x14ac:dyDescent="0.25">
      <c r="A1452" s="170">
        <v>44141</v>
      </c>
      <c r="B1452" s="116">
        <v>7.41</v>
      </c>
      <c r="C1452" s="116">
        <v>7.41</v>
      </c>
      <c r="D1452" s="116">
        <v>7.41</v>
      </c>
      <c r="E1452" s="116">
        <v>7.41</v>
      </c>
      <c r="F1452" s="116">
        <v>7.41</v>
      </c>
      <c r="G1452">
        <v>61050</v>
      </c>
      <c r="H1452" s="116"/>
      <c r="I1452" s="116"/>
      <c r="L1452" s="170">
        <v>44141</v>
      </c>
      <c r="M1452" s="116">
        <v>7.05</v>
      </c>
      <c r="N1452" s="116">
        <v>7.05</v>
      </c>
      <c r="O1452" s="116">
        <v>7.05</v>
      </c>
      <c r="P1452" s="116">
        <v>7.05</v>
      </c>
      <c r="Q1452" s="116">
        <v>7.05</v>
      </c>
      <c r="R1452">
        <v>907460</v>
      </c>
    </row>
    <row r="1453" spans="1:18" x14ac:dyDescent="0.25">
      <c r="A1453" s="170">
        <v>44144</v>
      </c>
      <c r="B1453" s="116">
        <v>7.04</v>
      </c>
      <c r="C1453" s="116">
        <v>7.04</v>
      </c>
      <c r="D1453" s="116">
        <v>7.04</v>
      </c>
      <c r="E1453" s="116">
        <v>7.04</v>
      </c>
      <c r="F1453" s="116">
        <v>7.04</v>
      </c>
      <c r="G1453">
        <v>135670</v>
      </c>
      <c r="H1453" s="116"/>
      <c r="I1453" s="116"/>
      <c r="L1453" s="170">
        <v>44144</v>
      </c>
      <c r="M1453" s="116">
        <v>6.7</v>
      </c>
      <c r="N1453" s="116">
        <v>7</v>
      </c>
      <c r="O1453" s="116">
        <v>6.7</v>
      </c>
      <c r="P1453" s="116">
        <v>6.7</v>
      </c>
      <c r="Q1453" s="116">
        <v>6.7</v>
      </c>
      <c r="R1453">
        <v>10378070</v>
      </c>
    </row>
    <row r="1454" spans="1:18" x14ac:dyDescent="0.25">
      <c r="A1454" s="170">
        <v>44145</v>
      </c>
      <c r="B1454" s="116">
        <v>6.69</v>
      </c>
      <c r="C1454" s="116">
        <v>6.69</v>
      </c>
      <c r="D1454" s="116">
        <v>6.69</v>
      </c>
      <c r="E1454" s="116">
        <v>6.69</v>
      </c>
      <c r="F1454" s="116">
        <v>6.69</v>
      </c>
      <c r="G1454">
        <v>116189</v>
      </c>
      <c r="H1454" s="116"/>
      <c r="I1454" s="116"/>
      <c r="L1454" s="170">
        <v>44145</v>
      </c>
      <c r="M1454" s="116">
        <v>6.4</v>
      </c>
      <c r="N1454" s="116">
        <v>6.4</v>
      </c>
      <c r="O1454" s="116">
        <v>6.4</v>
      </c>
      <c r="P1454" s="116">
        <v>6.4</v>
      </c>
      <c r="Q1454" s="116">
        <v>6.4</v>
      </c>
      <c r="R1454">
        <v>924646</v>
      </c>
    </row>
    <row r="1455" spans="1:18" x14ac:dyDescent="0.25">
      <c r="A1455" s="170">
        <v>44146</v>
      </c>
      <c r="B1455" s="116">
        <v>6.36</v>
      </c>
      <c r="C1455" s="116">
        <v>6.36</v>
      </c>
      <c r="D1455" s="116">
        <v>6.36</v>
      </c>
      <c r="E1455" s="116">
        <v>6.36</v>
      </c>
      <c r="F1455" s="116">
        <v>6.36</v>
      </c>
      <c r="G1455">
        <v>86547</v>
      </c>
      <c r="H1455" s="116"/>
      <c r="I1455" s="116"/>
      <c r="L1455" s="170">
        <v>44146</v>
      </c>
      <c r="M1455" s="116">
        <v>6.1</v>
      </c>
      <c r="N1455" s="116">
        <v>6.1</v>
      </c>
      <c r="O1455" s="116">
        <v>6.1</v>
      </c>
      <c r="P1455" s="116">
        <v>6.1</v>
      </c>
      <c r="Q1455" s="116">
        <v>6.1</v>
      </c>
      <c r="R1455">
        <v>501077</v>
      </c>
    </row>
    <row r="1456" spans="1:18" x14ac:dyDescent="0.25">
      <c r="A1456" s="170">
        <v>44147</v>
      </c>
      <c r="B1456" s="116">
        <v>6.05</v>
      </c>
      <c r="C1456" s="116">
        <v>6.05</v>
      </c>
      <c r="D1456" s="116">
        <v>6.05</v>
      </c>
      <c r="E1456" s="116">
        <v>6.05</v>
      </c>
      <c r="F1456" s="116">
        <v>6.05</v>
      </c>
      <c r="G1456">
        <v>170249</v>
      </c>
      <c r="H1456" s="116"/>
      <c r="I1456" s="116"/>
      <c r="L1456" s="170">
        <v>44147</v>
      </c>
      <c r="M1456" s="116">
        <v>5.8</v>
      </c>
      <c r="N1456" s="116">
        <v>5.8</v>
      </c>
      <c r="O1456" s="116">
        <v>5.8</v>
      </c>
      <c r="P1456" s="116">
        <v>5.8</v>
      </c>
      <c r="Q1456" s="116">
        <v>5.8</v>
      </c>
      <c r="R1456">
        <v>535750</v>
      </c>
    </row>
    <row r="1457" spans="1:18" x14ac:dyDescent="0.25">
      <c r="A1457" s="170">
        <v>44148</v>
      </c>
      <c r="B1457" s="116">
        <v>6.35</v>
      </c>
      <c r="C1457" s="116">
        <v>6.35</v>
      </c>
      <c r="D1457" s="116">
        <v>5.75</v>
      </c>
      <c r="E1457" s="116">
        <v>5.75</v>
      </c>
      <c r="F1457" s="116">
        <v>6.35</v>
      </c>
      <c r="G1457">
        <v>5654646</v>
      </c>
      <c r="H1457" s="116"/>
      <c r="I1457" s="116"/>
      <c r="L1457" s="170">
        <v>44148</v>
      </c>
      <c r="M1457" s="116">
        <v>6.05</v>
      </c>
      <c r="N1457" s="116">
        <v>6.05</v>
      </c>
      <c r="O1457" s="116">
        <v>5.55</v>
      </c>
      <c r="P1457" s="116">
        <v>5.55</v>
      </c>
      <c r="Q1457" s="116">
        <v>6.05</v>
      </c>
      <c r="R1457">
        <v>4709481</v>
      </c>
    </row>
    <row r="1458" spans="1:18" x14ac:dyDescent="0.25">
      <c r="A1458" s="170">
        <v>44149</v>
      </c>
      <c r="B1458" s="116">
        <v>6.65</v>
      </c>
      <c r="C1458" s="116">
        <v>6.61</v>
      </c>
      <c r="D1458" s="116">
        <v>6.04</v>
      </c>
      <c r="E1458" s="116">
        <v>6.5</v>
      </c>
      <c r="F1458" s="116">
        <v>6.61</v>
      </c>
      <c r="G1458">
        <v>2249352</v>
      </c>
      <c r="H1458" s="116"/>
      <c r="I1458" s="116"/>
      <c r="L1458" s="170">
        <v>44149</v>
      </c>
      <c r="M1458" s="116">
        <v>6.35</v>
      </c>
      <c r="N1458" s="116">
        <v>6.35</v>
      </c>
      <c r="O1458" s="116">
        <v>6.15</v>
      </c>
      <c r="P1458" s="116">
        <v>6.35</v>
      </c>
      <c r="Q1458" s="116">
        <v>6.35</v>
      </c>
      <c r="R1458">
        <v>3770987</v>
      </c>
    </row>
    <row r="1459" spans="1:18" x14ac:dyDescent="0.25">
      <c r="A1459" s="170">
        <v>44152</v>
      </c>
      <c r="B1459" s="116">
        <v>6.84</v>
      </c>
      <c r="C1459" s="116">
        <v>6.79</v>
      </c>
      <c r="D1459" s="116">
        <v>6.3</v>
      </c>
      <c r="E1459" s="116">
        <v>6.61</v>
      </c>
      <c r="F1459" s="116">
        <v>6.79</v>
      </c>
      <c r="G1459">
        <v>2285977</v>
      </c>
      <c r="H1459" s="116"/>
      <c r="I1459" s="116"/>
      <c r="L1459" s="170">
        <v>44152</v>
      </c>
      <c r="M1459" s="116">
        <v>6.65</v>
      </c>
      <c r="N1459" s="116">
        <v>6.65</v>
      </c>
      <c r="O1459" s="116">
        <v>6.05</v>
      </c>
      <c r="P1459" s="116">
        <v>6.65</v>
      </c>
      <c r="Q1459" s="116">
        <v>6.65</v>
      </c>
      <c r="R1459">
        <v>5327286</v>
      </c>
    </row>
    <row r="1460" spans="1:18" x14ac:dyDescent="0.25">
      <c r="A1460" s="170">
        <v>44153</v>
      </c>
      <c r="B1460" s="116">
        <v>7.12</v>
      </c>
      <c r="C1460" s="116">
        <v>7.12</v>
      </c>
      <c r="D1460" s="116">
        <v>6.46</v>
      </c>
      <c r="E1460" s="116">
        <v>7.04</v>
      </c>
      <c r="F1460" s="116">
        <v>7.12</v>
      </c>
      <c r="G1460">
        <v>1726240</v>
      </c>
      <c r="H1460" s="116"/>
      <c r="I1460" s="116"/>
      <c r="L1460" s="170">
        <v>44153</v>
      </c>
      <c r="M1460" s="116">
        <v>6.95</v>
      </c>
      <c r="N1460" s="116">
        <v>6.95</v>
      </c>
      <c r="O1460" s="116">
        <v>6.8</v>
      </c>
      <c r="P1460" s="116">
        <v>6.95</v>
      </c>
      <c r="Q1460" s="116">
        <v>6.95</v>
      </c>
      <c r="R1460">
        <v>1242943</v>
      </c>
    </row>
    <row r="1461" spans="1:18" x14ac:dyDescent="0.25">
      <c r="A1461" s="170">
        <v>44154</v>
      </c>
      <c r="B1461" s="116">
        <v>7.47</v>
      </c>
      <c r="C1461" s="116">
        <v>7.46</v>
      </c>
      <c r="D1461" s="116">
        <v>6.8</v>
      </c>
      <c r="E1461" s="116">
        <v>7.29</v>
      </c>
      <c r="F1461" s="116">
        <v>7.46</v>
      </c>
      <c r="G1461">
        <v>3123472</v>
      </c>
      <c r="H1461" s="116"/>
      <c r="I1461" s="116"/>
      <c r="L1461" s="170">
        <v>44154</v>
      </c>
      <c r="M1461" s="116">
        <v>7.25</v>
      </c>
      <c r="N1461" s="116">
        <v>7.25</v>
      </c>
      <c r="O1461" s="116">
        <v>6.95</v>
      </c>
      <c r="P1461" s="116">
        <v>7.25</v>
      </c>
      <c r="Q1461" s="116">
        <v>7.25</v>
      </c>
      <c r="R1461">
        <v>1284050</v>
      </c>
    </row>
    <row r="1462" spans="1:18" x14ac:dyDescent="0.25">
      <c r="A1462" s="170">
        <v>44155</v>
      </c>
      <c r="B1462" s="116">
        <v>7.83</v>
      </c>
      <c r="C1462" s="116">
        <v>7.82</v>
      </c>
      <c r="D1462" s="116">
        <v>7.46</v>
      </c>
      <c r="E1462" s="116">
        <v>7.47</v>
      </c>
      <c r="F1462" s="116">
        <v>7.82</v>
      </c>
      <c r="G1462">
        <v>3037736</v>
      </c>
      <c r="H1462" s="116"/>
      <c r="I1462" s="116"/>
      <c r="L1462" s="170">
        <v>44155</v>
      </c>
      <c r="M1462" s="116">
        <v>7.6</v>
      </c>
      <c r="N1462" s="116">
        <v>7.6</v>
      </c>
      <c r="O1462" s="116">
        <v>7.35</v>
      </c>
      <c r="P1462" s="116">
        <v>7.6</v>
      </c>
      <c r="Q1462" s="116">
        <v>7.6</v>
      </c>
      <c r="R1462">
        <v>2222597</v>
      </c>
    </row>
    <row r="1463" spans="1:18" x14ac:dyDescent="0.25">
      <c r="A1463" s="170">
        <v>44158</v>
      </c>
      <c r="B1463" s="116">
        <v>8</v>
      </c>
      <c r="C1463" s="116">
        <v>7.43</v>
      </c>
      <c r="D1463" s="116">
        <v>7.43</v>
      </c>
      <c r="E1463" s="116">
        <v>8</v>
      </c>
      <c r="F1463" s="116">
        <v>7.43</v>
      </c>
      <c r="G1463">
        <v>649142</v>
      </c>
      <c r="H1463" s="116"/>
      <c r="I1463" s="116"/>
      <c r="L1463" s="170">
        <v>44158</v>
      </c>
      <c r="M1463" s="116">
        <v>7.25</v>
      </c>
      <c r="N1463" s="116">
        <v>7.95</v>
      </c>
      <c r="O1463" s="116">
        <v>7.25</v>
      </c>
      <c r="P1463" s="116">
        <v>7.95</v>
      </c>
      <c r="Q1463" s="116">
        <v>7.25</v>
      </c>
      <c r="R1463">
        <v>3054795</v>
      </c>
    </row>
    <row r="1464" spans="1:18" x14ac:dyDescent="0.25">
      <c r="A1464" s="170">
        <v>44159</v>
      </c>
      <c r="B1464" s="116">
        <v>7.06</v>
      </c>
      <c r="C1464" s="116">
        <v>7.06</v>
      </c>
      <c r="D1464" s="116">
        <v>7.06</v>
      </c>
      <c r="E1464" s="116">
        <v>7.06</v>
      </c>
      <c r="F1464" s="116">
        <v>7.06</v>
      </c>
      <c r="G1464">
        <v>175650</v>
      </c>
      <c r="H1464" s="116"/>
      <c r="I1464" s="116"/>
      <c r="L1464" s="170">
        <v>44159</v>
      </c>
      <c r="M1464" s="116">
        <v>6.9</v>
      </c>
      <c r="N1464" s="116">
        <v>6.9</v>
      </c>
      <c r="O1464" s="116">
        <v>6.9</v>
      </c>
      <c r="P1464" s="116">
        <v>6.9</v>
      </c>
      <c r="Q1464" s="116">
        <v>6.9</v>
      </c>
      <c r="R1464">
        <v>918991</v>
      </c>
    </row>
    <row r="1465" spans="1:18" x14ac:dyDescent="0.25">
      <c r="A1465" s="170">
        <v>44160</v>
      </c>
      <c r="B1465" s="116">
        <v>7.41</v>
      </c>
      <c r="C1465" s="116">
        <v>7.38</v>
      </c>
      <c r="D1465" s="116">
        <v>6.71</v>
      </c>
      <c r="E1465" s="116">
        <v>6.71</v>
      </c>
      <c r="F1465" s="116">
        <v>7.38</v>
      </c>
      <c r="G1465">
        <v>3665259</v>
      </c>
      <c r="H1465" s="116"/>
      <c r="I1465" s="116"/>
      <c r="L1465" s="170">
        <v>44160</v>
      </c>
      <c r="M1465" s="116">
        <v>7.2</v>
      </c>
      <c r="N1465" s="116">
        <v>7.2</v>
      </c>
      <c r="O1465" s="116">
        <v>6.6</v>
      </c>
      <c r="P1465" s="116">
        <v>6.6</v>
      </c>
      <c r="Q1465" s="116">
        <v>7.2</v>
      </c>
      <c r="R1465">
        <v>1528270</v>
      </c>
    </row>
    <row r="1466" spans="1:18" x14ac:dyDescent="0.25">
      <c r="A1466" s="170">
        <v>44161</v>
      </c>
      <c r="B1466" s="116">
        <v>7.69</v>
      </c>
      <c r="C1466" s="116">
        <v>7.44</v>
      </c>
      <c r="D1466" s="116">
        <v>7.02</v>
      </c>
      <c r="E1466" s="116">
        <v>7.69</v>
      </c>
      <c r="F1466" s="116">
        <v>7.44</v>
      </c>
      <c r="G1466">
        <v>1766426</v>
      </c>
      <c r="H1466" s="116"/>
      <c r="I1466" s="116"/>
      <c r="L1466" s="170">
        <v>44161</v>
      </c>
      <c r="M1466" s="116">
        <v>7.45</v>
      </c>
      <c r="N1466" s="116">
        <v>7.55</v>
      </c>
      <c r="O1466" s="116">
        <v>6.85</v>
      </c>
      <c r="P1466" s="116">
        <v>7.55</v>
      </c>
      <c r="Q1466" s="116">
        <v>7.45</v>
      </c>
      <c r="R1466">
        <v>3940043</v>
      </c>
    </row>
    <row r="1467" spans="1:18" x14ac:dyDescent="0.25">
      <c r="A1467" s="170">
        <v>44162</v>
      </c>
      <c r="B1467" s="116">
        <v>7.5</v>
      </c>
      <c r="C1467" s="116">
        <v>7.21</v>
      </c>
      <c r="D1467" s="116">
        <v>7.1</v>
      </c>
      <c r="E1467" s="116">
        <v>7.5</v>
      </c>
      <c r="F1467" s="116">
        <v>7.21</v>
      </c>
      <c r="G1467">
        <v>554949</v>
      </c>
      <c r="H1467" s="116"/>
      <c r="I1467" s="116"/>
      <c r="L1467" s="170">
        <v>44162</v>
      </c>
      <c r="M1467" s="116">
        <v>7.3</v>
      </c>
      <c r="N1467" s="116">
        <v>7.45</v>
      </c>
      <c r="O1467" s="116">
        <v>7.1</v>
      </c>
      <c r="P1467" s="116">
        <v>7.45</v>
      </c>
      <c r="Q1467" s="116">
        <v>7.3</v>
      </c>
      <c r="R1467">
        <v>2176756</v>
      </c>
    </row>
    <row r="1468" spans="1:18" x14ac:dyDescent="0.25">
      <c r="A1468" s="170">
        <v>44166</v>
      </c>
      <c r="B1468" s="116">
        <v>7.57</v>
      </c>
      <c r="C1468" s="116">
        <v>7.03</v>
      </c>
      <c r="D1468" s="116">
        <v>6.85</v>
      </c>
      <c r="E1468" s="116">
        <v>7.57</v>
      </c>
      <c r="F1468" s="116">
        <v>7.03</v>
      </c>
      <c r="G1468">
        <v>1418595</v>
      </c>
      <c r="H1468" s="116"/>
      <c r="I1468" s="116"/>
      <c r="L1468" s="170">
        <v>44166</v>
      </c>
      <c r="M1468" s="116">
        <v>7</v>
      </c>
      <c r="N1468" s="116">
        <v>7.4</v>
      </c>
      <c r="O1468" s="116">
        <v>6.95</v>
      </c>
      <c r="P1468" s="116">
        <v>7.3</v>
      </c>
      <c r="Q1468" s="116">
        <v>7</v>
      </c>
      <c r="R1468">
        <v>2853339</v>
      </c>
    </row>
    <row r="1469" spans="1:18" x14ac:dyDescent="0.25">
      <c r="A1469" s="170">
        <v>44167</v>
      </c>
      <c r="B1469" s="116">
        <v>7.3</v>
      </c>
      <c r="C1469" s="116">
        <v>7.04</v>
      </c>
      <c r="D1469" s="116">
        <v>6.7</v>
      </c>
      <c r="E1469" s="116">
        <v>6.9</v>
      </c>
      <c r="F1469" s="116">
        <v>7.04</v>
      </c>
      <c r="G1469">
        <v>996930</v>
      </c>
      <c r="H1469" s="116"/>
      <c r="I1469" s="116"/>
      <c r="L1469" s="170">
        <v>44167</v>
      </c>
      <c r="M1469" s="116">
        <v>6.9</v>
      </c>
      <c r="N1469" s="116">
        <v>7.2</v>
      </c>
      <c r="O1469" s="116">
        <v>6.65</v>
      </c>
      <c r="P1469" s="116">
        <v>6.95</v>
      </c>
      <c r="Q1469" s="116">
        <v>6.9</v>
      </c>
      <c r="R1469">
        <v>2296320</v>
      </c>
    </row>
    <row r="1470" spans="1:18" x14ac:dyDescent="0.25">
      <c r="A1470" s="170">
        <v>44168</v>
      </c>
      <c r="B1470" s="116">
        <v>7.39</v>
      </c>
      <c r="C1470" s="116">
        <v>7.39</v>
      </c>
      <c r="D1470" s="116">
        <v>6.85</v>
      </c>
      <c r="E1470" s="116">
        <v>7.25</v>
      </c>
      <c r="F1470" s="116">
        <v>7.39</v>
      </c>
      <c r="G1470">
        <v>1631938</v>
      </c>
      <c r="H1470" s="116"/>
      <c r="I1470" s="116"/>
      <c r="L1470" s="170">
        <v>44168</v>
      </c>
      <c r="M1470" s="116">
        <v>7.2</v>
      </c>
      <c r="N1470" s="116">
        <v>7.2</v>
      </c>
      <c r="O1470" s="116">
        <v>7.2</v>
      </c>
      <c r="P1470" s="116">
        <v>7.2</v>
      </c>
      <c r="Q1470" s="116">
        <v>7.2</v>
      </c>
      <c r="R1470">
        <v>662405</v>
      </c>
    </row>
    <row r="1471" spans="1:18" x14ac:dyDescent="0.25">
      <c r="A1471" s="170">
        <v>44169</v>
      </c>
      <c r="B1471" s="116">
        <v>7.75</v>
      </c>
      <c r="C1471" s="116">
        <v>7.6</v>
      </c>
      <c r="D1471" s="116">
        <v>7.4</v>
      </c>
      <c r="E1471" s="116">
        <v>7.75</v>
      </c>
      <c r="F1471" s="116">
        <v>7.6</v>
      </c>
      <c r="G1471">
        <v>3283748</v>
      </c>
      <c r="H1471" s="116"/>
      <c r="I1471" s="116"/>
      <c r="L1471" s="170">
        <v>44169</v>
      </c>
      <c r="M1471" s="116">
        <v>7.55</v>
      </c>
      <c r="N1471" s="116">
        <v>7.55</v>
      </c>
      <c r="O1471" s="116">
        <v>7.5</v>
      </c>
      <c r="P1471" s="116">
        <v>7.55</v>
      </c>
      <c r="Q1471" s="116">
        <v>7.55</v>
      </c>
      <c r="R1471">
        <v>1863282</v>
      </c>
    </row>
    <row r="1472" spans="1:18" x14ac:dyDescent="0.25">
      <c r="A1472" s="170">
        <v>44172</v>
      </c>
      <c r="B1472" s="116">
        <v>7.98</v>
      </c>
      <c r="C1472" s="116">
        <v>7.98</v>
      </c>
      <c r="D1472" s="116">
        <v>7.62</v>
      </c>
      <c r="E1472" s="116">
        <v>7.8</v>
      </c>
      <c r="F1472" s="116">
        <v>7.98</v>
      </c>
      <c r="G1472">
        <v>1927410</v>
      </c>
      <c r="H1472" s="116"/>
      <c r="I1472" s="116"/>
      <c r="L1472" s="170">
        <v>44172</v>
      </c>
      <c r="M1472" s="116">
        <v>7.9</v>
      </c>
      <c r="N1472" s="116">
        <v>7.9</v>
      </c>
      <c r="O1472" s="116">
        <v>7.65</v>
      </c>
      <c r="P1472" s="116">
        <v>7.75</v>
      </c>
      <c r="Q1472" s="116">
        <v>7.9</v>
      </c>
      <c r="R1472">
        <v>3068158</v>
      </c>
    </row>
    <row r="1473" spans="1:18" x14ac:dyDescent="0.25">
      <c r="A1473" s="170">
        <v>44173</v>
      </c>
      <c r="B1473" s="116">
        <v>8.3699999999999992</v>
      </c>
      <c r="C1473" s="116">
        <v>8.2799999999999994</v>
      </c>
      <c r="D1473" s="116">
        <v>7.61</v>
      </c>
      <c r="E1473" s="116">
        <v>8.2899999999999991</v>
      </c>
      <c r="F1473" s="116">
        <v>8.2799999999999994</v>
      </c>
      <c r="G1473">
        <v>2659748</v>
      </c>
      <c r="H1473" s="116"/>
      <c r="I1473" s="116"/>
      <c r="L1473" s="170">
        <v>44173</v>
      </c>
      <c r="M1473" s="116">
        <v>8.25</v>
      </c>
      <c r="N1473" s="116">
        <v>8.25</v>
      </c>
      <c r="O1473" s="116">
        <v>7.55</v>
      </c>
      <c r="P1473" s="116">
        <v>8.25</v>
      </c>
      <c r="Q1473" s="116">
        <v>8.25</v>
      </c>
      <c r="R1473">
        <v>3386880</v>
      </c>
    </row>
    <row r="1474" spans="1:18" x14ac:dyDescent="0.25">
      <c r="A1474" s="170">
        <v>44174</v>
      </c>
      <c r="B1474" s="116">
        <v>8.6</v>
      </c>
      <c r="C1474" s="116">
        <v>8.31</v>
      </c>
      <c r="D1474" s="116">
        <v>7.87</v>
      </c>
      <c r="E1474" s="116">
        <v>7.87</v>
      </c>
      <c r="F1474" s="116">
        <v>8.31</v>
      </c>
      <c r="G1474">
        <v>1432856</v>
      </c>
      <c r="H1474" s="116"/>
      <c r="I1474" s="116"/>
      <c r="L1474" s="170">
        <v>44174</v>
      </c>
      <c r="M1474" s="116">
        <v>8.35</v>
      </c>
      <c r="N1474" s="116">
        <v>8.65</v>
      </c>
      <c r="O1474" s="116">
        <v>7.95</v>
      </c>
      <c r="P1474" s="116">
        <v>8.6</v>
      </c>
      <c r="Q1474" s="116">
        <v>8.35</v>
      </c>
      <c r="R1474">
        <v>3323935</v>
      </c>
    </row>
    <row r="1475" spans="1:18" x14ac:dyDescent="0.25">
      <c r="A1475" s="170">
        <v>44175</v>
      </c>
      <c r="B1475" s="116">
        <v>8.5</v>
      </c>
      <c r="C1475" s="116">
        <v>8.1199999999999992</v>
      </c>
      <c r="D1475" s="116">
        <v>7.9</v>
      </c>
      <c r="E1475" s="116">
        <v>8.5</v>
      </c>
      <c r="F1475" s="116">
        <v>8.1199999999999992</v>
      </c>
      <c r="G1475">
        <v>707144</v>
      </c>
      <c r="H1475" s="116"/>
      <c r="I1475" s="116"/>
      <c r="L1475" s="170">
        <v>44175</v>
      </c>
      <c r="M1475" s="116">
        <v>8.1</v>
      </c>
      <c r="N1475" s="116">
        <v>8.5500000000000007</v>
      </c>
      <c r="O1475" s="116">
        <v>7.95</v>
      </c>
      <c r="P1475" s="116">
        <v>8.5500000000000007</v>
      </c>
      <c r="Q1475" s="116">
        <v>8.1</v>
      </c>
      <c r="R1475">
        <v>3178028</v>
      </c>
    </row>
    <row r="1476" spans="1:18" x14ac:dyDescent="0.25">
      <c r="A1476" s="170">
        <v>44176</v>
      </c>
      <c r="B1476" s="116">
        <v>8.39</v>
      </c>
      <c r="C1476" s="116">
        <v>8.02</v>
      </c>
      <c r="D1476" s="116">
        <v>7.93</v>
      </c>
      <c r="E1476" s="116">
        <v>8.39</v>
      </c>
      <c r="F1476" s="116">
        <v>8.02</v>
      </c>
      <c r="G1476">
        <v>886624</v>
      </c>
      <c r="H1476" s="116"/>
      <c r="I1476" s="116"/>
      <c r="L1476" s="170">
        <v>44176</v>
      </c>
      <c r="M1476" s="116">
        <v>8</v>
      </c>
      <c r="N1476" s="116">
        <v>8.3000000000000007</v>
      </c>
      <c r="O1476" s="116">
        <v>7.9</v>
      </c>
      <c r="P1476" s="116">
        <v>8.1</v>
      </c>
      <c r="Q1476" s="116">
        <v>8</v>
      </c>
      <c r="R1476">
        <v>1986163</v>
      </c>
    </row>
    <row r="1477" spans="1:18" x14ac:dyDescent="0.25">
      <c r="A1477" s="170">
        <v>44179</v>
      </c>
      <c r="B1477" s="116">
        <v>8.35</v>
      </c>
      <c r="C1477" s="116">
        <v>8.24</v>
      </c>
      <c r="D1477" s="116">
        <v>8.0500000000000007</v>
      </c>
      <c r="E1477" s="116">
        <v>8.3000000000000007</v>
      </c>
      <c r="F1477" s="116">
        <v>8.24</v>
      </c>
      <c r="G1477">
        <v>901254</v>
      </c>
      <c r="H1477" s="116"/>
      <c r="I1477" s="116"/>
      <c r="L1477" s="170">
        <v>44179</v>
      </c>
      <c r="M1477" s="116">
        <v>8.1999999999999993</v>
      </c>
      <c r="N1477" s="116">
        <v>8.4</v>
      </c>
      <c r="O1477" s="116">
        <v>8.15</v>
      </c>
      <c r="P1477" s="116">
        <v>8.4</v>
      </c>
      <c r="Q1477" s="116">
        <v>8.1999999999999993</v>
      </c>
      <c r="R1477">
        <v>2489477</v>
      </c>
    </row>
    <row r="1478" spans="1:18" x14ac:dyDescent="0.25">
      <c r="A1478" s="170">
        <v>44180</v>
      </c>
      <c r="B1478" s="116">
        <v>8.36</v>
      </c>
      <c r="C1478" s="116">
        <v>7.99</v>
      </c>
      <c r="D1478" s="116">
        <v>7.86</v>
      </c>
      <c r="E1478" s="116">
        <v>8.24</v>
      </c>
      <c r="F1478" s="116">
        <v>7.99</v>
      </c>
      <c r="G1478">
        <v>861951</v>
      </c>
      <c r="H1478" s="116"/>
      <c r="I1478" s="116"/>
      <c r="L1478" s="170">
        <v>44180</v>
      </c>
      <c r="M1478" s="116">
        <v>7.95</v>
      </c>
      <c r="N1478" s="116">
        <v>8.35</v>
      </c>
      <c r="O1478" s="116">
        <v>7.9</v>
      </c>
      <c r="P1478" s="116">
        <v>8.3000000000000007</v>
      </c>
      <c r="Q1478" s="116">
        <v>7.95</v>
      </c>
      <c r="R1478">
        <v>1572659</v>
      </c>
    </row>
    <row r="1479" spans="1:18" x14ac:dyDescent="0.25">
      <c r="A1479" s="170">
        <v>44181</v>
      </c>
      <c r="B1479" s="116">
        <v>8.1</v>
      </c>
      <c r="C1479" s="116">
        <v>7.91</v>
      </c>
      <c r="D1479" s="116">
        <v>7.6</v>
      </c>
      <c r="E1479" s="116">
        <v>7.6</v>
      </c>
      <c r="F1479" s="116">
        <v>7.91</v>
      </c>
      <c r="G1479">
        <v>1016740</v>
      </c>
      <c r="H1479" s="116"/>
      <c r="I1479" s="116"/>
      <c r="L1479" s="170">
        <v>44181</v>
      </c>
      <c r="M1479" s="116">
        <v>7.9</v>
      </c>
      <c r="N1479" s="116">
        <v>8.1</v>
      </c>
      <c r="O1479" s="116">
        <v>7.6</v>
      </c>
      <c r="P1479" s="116">
        <v>7.95</v>
      </c>
      <c r="Q1479" s="116">
        <v>7.9</v>
      </c>
      <c r="R1479">
        <v>1693530</v>
      </c>
    </row>
    <row r="1480" spans="1:18" x14ac:dyDescent="0.25">
      <c r="A1480" s="170">
        <v>44182</v>
      </c>
      <c r="B1480" s="116">
        <v>7.98</v>
      </c>
      <c r="C1480" s="116">
        <v>7.72</v>
      </c>
      <c r="D1480" s="116">
        <v>7.6</v>
      </c>
      <c r="E1480" s="116">
        <v>7.6</v>
      </c>
      <c r="F1480" s="116">
        <v>7.72</v>
      </c>
      <c r="G1480">
        <v>609681</v>
      </c>
      <c r="H1480" s="116"/>
      <c r="I1480" s="116"/>
      <c r="L1480" s="170">
        <v>44182</v>
      </c>
      <c r="M1480" s="116">
        <v>7.75</v>
      </c>
      <c r="N1480" s="116">
        <v>7.95</v>
      </c>
      <c r="O1480" s="116">
        <v>7.6</v>
      </c>
      <c r="P1480" s="116">
        <v>7.9</v>
      </c>
      <c r="Q1480" s="116">
        <v>7.75</v>
      </c>
      <c r="R1480">
        <v>1376011</v>
      </c>
    </row>
    <row r="1481" spans="1:18" x14ac:dyDescent="0.25">
      <c r="A1481" s="170">
        <v>44183</v>
      </c>
      <c r="B1481" s="116">
        <v>7.98</v>
      </c>
      <c r="C1481" s="116">
        <v>7.63</v>
      </c>
      <c r="D1481" s="116">
        <v>7.36</v>
      </c>
      <c r="E1481" s="116">
        <v>7.98</v>
      </c>
      <c r="F1481" s="116">
        <v>7.63</v>
      </c>
      <c r="G1481">
        <v>417674</v>
      </c>
      <c r="H1481" s="116"/>
      <c r="I1481" s="116"/>
      <c r="L1481" s="170">
        <v>44183</v>
      </c>
      <c r="M1481" s="116">
        <v>7.6</v>
      </c>
      <c r="N1481" s="116">
        <v>7.85</v>
      </c>
      <c r="O1481" s="116">
        <v>7.4</v>
      </c>
      <c r="P1481" s="116">
        <v>7.75</v>
      </c>
      <c r="Q1481" s="116">
        <v>7.6</v>
      </c>
      <c r="R1481">
        <v>1467953</v>
      </c>
    </row>
    <row r="1482" spans="1:18" x14ac:dyDescent="0.25">
      <c r="A1482" s="170">
        <v>44186</v>
      </c>
      <c r="B1482" s="116">
        <v>8</v>
      </c>
      <c r="C1482" s="116">
        <v>7.26</v>
      </c>
      <c r="D1482" s="116">
        <v>7.25</v>
      </c>
      <c r="E1482" s="116">
        <v>7.63</v>
      </c>
      <c r="F1482" s="116">
        <v>7.26</v>
      </c>
      <c r="G1482">
        <v>1077785</v>
      </c>
      <c r="H1482" s="116"/>
      <c r="I1482" s="116"/>
      <c r="L1482" s="170">
        <v>44186</v>
      </c>
      <c r="M1482" s="116">
        <v>7.25</v>
      </c>
      <c r="N1482" s="116">
        <v>7.95</v>
      </c>
      <c r="O1482" s="116">
        <v>7.25</v>
      </c>
      <c r="P1482" s="116">
        <v>7.6</v>
      </c>
      <c r="Q1482" s="116">
        <v>7.25</v>
      </c>
      <c r="R1482">
        <v>3056414</v>
      </c>
    </row>
    <row r="1483" spans="1:18" x14ac:dyDescent="0.25">
      <c r="A1483" s="170">
        <v>44187</v>
      </c>
      <c r="B1483" s="116">
        <v>7.6</v>
      </c>
      <c r="C1483" s="116">
        <v>7.4</v>
      </c>
      <c r="D1483" s="116">
        <v>6.9</v>
      </c>
      <c r="E1483" s="116">
        <v>6.9</v>
      </c>
      <c r="F1483" s="116">
        <v>7.4</v>
      </c>
      <c r="G1483">
        <v>921273</v>
      </c>
      <c r="H1483" s="116"/>
      <c r="I1483" s="116"/>
      <c r="L1483" s="170">
        <v>44187</v>
      </c>
      <c r="M1483" s="116">
        <v>7.35</v>
      </c>
      <c r="N1483" s="116">
        <v>7.5</v>
      </c>
      <c r="O1483" s="116">
        <v>6.9</v>
      </c>
      <c r="P1483" s="116">
        <v>6.9</v>
      </c>
      <c r="Q1483" s="116">
        <v>7.35</v>
      </c>
      <c r="R1483">
        <v>1883552</v>
      </c>
    </row>
    <row r="1484" spans="1:18" x14ac:dyDescent="0.25">
      <c r="A1484" s="170">
        <v>44188</v>
      </c>
      <c r="B1484" s="116">
        <v>7.77</v>
      </c>
      <c r="C1484" s="116">
        <v>7.77</v>
      </c>
      <c r="D1484" s="116">
        <v>7.4</v>
      </c>
      <c r="E1484" s="116">
        <v>7.6</v>
      </c>
      <c r="F1484" s="116">
        <v>7.77</v>
      </c>
      <c r="G1484">
        <v>838474</v>
      </c>
      <c r="H1484" s="116"/>
      <c r="I1484" s="116"/>
      <c r="L1484" s="170">
        <v>44188</v>
      </c>
      <c r="M1484" s="116">
        <v>7.7</v>
      </c>
      <c r="N1484" s="116">
        <v>7.7</v>
      </c>
      <c r="O1484" s="116">
        <v>7.4</v>
      </c>
      <c r="P1484" s="116">
        <v>7.5</v>
      </c>
      <c r="Q1484" s="116">
        <v>7.7</v>
      </c>
      <c r="R1484">
        <v>1027007</v>
      </c>
    </row>
    <row r="1485" spans="1:18" x14ac:dyDescent="0.25">
      <c r="A1485" s="170">
        <v>44189</v>
      </c>
      <c r="B1485" s="116">
        <v>8</v>
      </c>
      <c r="C1485" s="116">
        <v>7.59</v>
      </c>
      <c r="D1485" s="116">
        <v>7.42</v>
      </c>
      <c r="E1485" s="116">
        <v>8</v>
      </c>
      <c r="F1485" s="116">
        <v>7.59</v>
      </c>
      <c r="G1485">
        <v>478512</v>
      </c>
      <c r="H1485" s="116"/>
      <c r="I1485" s="116"/>
      <c r="L1485" s="170">
        <v>44189</v>
      </c>
      <c r="M1485" s="116">
        <v>7.6</v>
      </c>
      <c r="N1485" s="116">
        <v>8</v>
      </c>
      <c r="O1485" s="116">
        <v>7.5</v>
      </c>
      <c r="P1485" s="116">
        <v>8</v>
      </c>
      <c r="Q1485" s="116">
        <v>7.6</v>
      </c>
      <c r="R1485">
        <v>1956576</v>
      </c>
    </row>
    <row r="1486" spans="1:18" x14ac:dyDescent="0.25">
      <c r="A1486" s="170">
        <v>44193</v>
      </c>
      <c r="B1486" s="116">
        <v>7.95</v>
      </c>
      <c r="C1486" s="116">
        <v>7.88</v>
      </c>
      <c r="D1486" s="116">
        <v>7.5</v>
      </c>
      <c r="E1486" s="116">
        <v>7.95</v>
      </c>
      <c r="F1486" s="116">
        <v>7.88</v>
      </c>
      <c r="G1486">
        <v>506765</v>
      </c>
      <c r="H1486" s="116"/>
      <c r="I1486" s="116"/>
      <c r="L1486" s="170">
        <v>44193</v>
      </c>
      <c r="M1486" s="116">
        <v>7.85</v>
      </c>
      <c r="N1486" s="116">
        <v>7.95</v>
      </c>
      <c r="O1486" s="116">
        <v>7.6</v>
      </c>
      <c r="P1486" s="116">
        <v>7.8</v>
      </c>
      <c r="Q1486" s="116">
        <v>7.85</v>
      </c>
      <c r="R1486">
        <v>2672570</v>
      </c>
    </row>
    <row r="1487" spans="1:18" x14ac:dyDescent="0.25">
      <c r="A1487" s="170">
        <v>44194</v>
      </c>
      <c r="B1487" s="116">
        <v>8.0500000000000007</v>
      </c>
      <c r="C1487" s="116">
        <v>7.85</v>
      </c>
      <c r="D1487" s="116">
        <v>7.8</v>
      </c>
      <c r="E1487" s="116">
        <v>8</v>
      </c>
      <c r="F1487" s="116">
        <v>7.85</v>
      </c>
      <c r="G1487">
        <v>652221</v>
      </c>
      <c r="H1487" s="116"/>
      <c r="I1487" s="116"/>
      <c r="L1487" s="170">
        <v>44194</v>
      </c>
      <c r="M1487" s="116">
        <v>7.85</v>
      </c>
      <c r="N1487" s="116">
        <v>8</v>
      </c>
      <c r="O1487" s="116">
        <v>7.7</v>
      </c>
      <c r="P1487" s="116">
        <v>8</v>
      </c>
      <c r="Q1487" s="116">
        <v>7.85</v>
      </c>
      <c r="R1487">
        <v>1459432</v>
      </c>
    </row>
    <row r="1488" spans="1:18" x14ac:dyDescent="0.25">
      <c r="A1488" s="170">
        <v>44195</v>
      </c>
      <c r="B1488" s="116">
        <v>8</v>
      </c>
      <c r="C1488" s="116">
        <v>7.87</v>
      </c>
      <c r="D1488" s="116">
        <v>7.76</v>
      </c>
      <c r="E1488" s="116">
        <v>8</v>
      </c>
      <c r="F1488" s="116">
        <v>7.87</v>
      </c>
      <c r="G1488">
        <v>649497</v>
      </c>
      <c r="H1488" s="116"/>
      <c r="I1488" s="116"/>
      <c r="L1488" s="170">
        <v>44195</v>
      </c>
      <c r="M1488" s="116">
        <v>7.9</v>
      </c>
      <c r="N1488" s="116">
        <v>8.0500000000000007</v>
      </c>
      <c r="O1488" s="116">
        <v>7.7</v>
      </c>
      <c r="P1488" s="116">
        <v>8</v>
      </c>
      <c r="Q1488" s="116">
        <v>7.9</v>
      </c>
      <c r="R1488">
        <v>1338284</v>
      </c>
    </row>
    <row r="1489" spans="1:18" x14ac:dyDescent="0.25">
      <c r="A1489" s="170">
        <v>44196</v>
      </c>
      <c r="B1489" s="116">
        <v>8.0500000000000007</v>
      </c>
      <c r="C1489" s="116">
        <v>7.97</v>
      </c>
      <c r="D1489" s="116">
        <v>7.84</v>
      </c>
      <c r="E1489" s="116">
        <v>8.0500000000000007</v>
      </c>
      <c r="F1489" s="116">
        <v>7.97</v>
      </c>
      <c r="G1489">
        <v>491527</v>
      </c>
      <c r="H1489" s="116"/>
      <c r="I1489" s="116"/>
      <c r="L1489" s="170">
        <v>44196</v>
      </c>
      <c r="M1489" s="116">
        <v>7.95</v>
      </c>
      <c r="N1489" s="116">
        <v>8.0500000000000007</v>
      </c>
      <c r="O1489" s="116">
        <v>7.9</v>
      </c>
      <c r="P1489" s="116">
        <v>8</v>
      </c>
      <c r="Q1489" s="116">
        <v>7.95</v>
      </c>
      <c r="R1489">
        <v>1500007</v>
      </c>
    </row>
    <row r="1490" spans="1:18" x14ac:dyDescent="0.25">
      <c r="A1490" s="170">
        <v>44197</v>
      </c>
      <c r="B1490" s="116">
        <v>8.0399999999999991</v>
      </c>
      <c r="C1490" s="116">
        <v>7.91</v>
      </c>
      <c r="D1490" s="116">
        <v>7.8</v>
      </c>
      <c r="E1490" s="116">
        <v>8.0399999999999991</v>
      </c>
      <c r="F1490" s="116">
        <v>7.91</v>
      </c>
      <c r="G1490">
        <v>605330</v>
      </c>
      <c r="H1490" s="116"/>
      <c r="I1490" s="116"/>
      <c r="L1490" s="170">
        <v>44197</v>
      </c>
      <c r="M1490" s="116">
        <v>7.85</v>
      </c>
      <c r="N1490" s="116">
        <v>8.0500000000000007</v>
      </c>
      <c r="O1490" s="116">
        <v>7.75</v>
      </c>
      <c r="P1490" s="116">
        <v>8.0500000000000007</v>
      </c>
      <c r="Q1490" s="116">
        <v>7.85</v>
      </c>
      <c r="R1490">
        <v>1597101</v>
      </c>
    </row>
    <row r="1491" spans="1:18" x14ac:dyDescent="0.25">
      <c r="A1491" s="170">
        <v>44200</v>
      </c>
      <c r="B1491" s="116">
        <v>8</v>
      </c>
      <c r="C1491" s="116">
        <v>7.92</v>
      </c>
      <c r="D1491" s="116">
        <v>7.7</v>
      </c>
      <c r="E1491" s="116">
        <v>8</v>
      </c>
      <c r="F1491" s="116">
        <v>7.92</v>
      </c>
      <c r="G1491">
        <v>819209</v>
      </c>
      <c r="H1491" s="116"/>
      <c r="I1491" s="116"/>
      <c r="L1491" s="170">
        <v>44200</v>
      </c>
      <c r="M1491" s="116">
        <v>7.9</v>
      </c>
      <c r="N1491" s="116">
        <v>8.1</v>
      </c>
      <c r="O1491" s="116">
        <v>7.8</v>
      </c>
      <c r="P1491" s="116">
        <v>8</v>
      </c>
      <c r="Q1491" s="116">
        <v>7.9</v>
      </c>
      <c r="R1491">
        <v>1622061</v>
      </c>
    </row>
    <row r="1492" spans="1:18" x14ac:dyDescent="0.25">
      <c r="A1492" s="170">
        <v>44201</v>
      </c>
      <c r="B1492" s="116">
        <v>8.25</v>
      </c>
      <c r="C1492" s="116">
        <v>8.06</v>
      </c>
      <c r="D1492" s="116">
        <v>7.55</v>
      </c>
      <c r="E1492" s="116">
        <v>7.9</v>
      </c>
      <c r="F1492" s="116">
        <v>8.06</v>
      </c>
      <c r="G1492">
        <v>971963</v>
      </c>
      <c r="H1492" s="116"/>
      <c r="I1492" s="116"/>
      <c r="L1492" s="170">
        <v>44201</v>
      </c>
      <c r="M1492" s="116">
        <v>8.1</v>
      </c>
      <c r="N1492" s="116">
        <v>8.25</v>
      </c>
      <c r="O1492" s="116">
        <v>7.6</v>
      </c>
      <c r="P1492" s="116">
        <v>7.95</v>
      </c>
      <c r="Q1492" s="116">
        <v>8.1</v>
      </c>
      <c r="R1492">
        <v>2468902</v>
      </c>
    </row>
    <row r="1493" spans="1:18" x14ac:dyDescent="0.25">
      <c r="A1493" s="170">
        <v>44202</v>
      </c>
      <c r="B1493" s="116">
        <v>8.4600000000000009</v>
      </c>
      <c r="C1493" s="116">
        <v>8.3699999999999992</v>
      </c>
      <c r="D1493" s="116">
        <v>8.1999999999999993</v>
      </c>
      <c r="E1493" s="116">
        <v>8.4600000000000009</v>
      </c>
      <c r="F1493" s="116">
        <v>8.3699999999999992</v>
      </c>
      <c r="G1493">
        <v>1131096</v>
      </c>
      <c r="H1493" s="116"/>
      <c r="I1493" s="116"/>
      <c r="L1493" s="170">
        <v>44202</v>
      </c>
      <c r="M1493" s="116">
        <v>8.35</v>
      </c>
      <c r="N1493" s="116">
        <v>8.5</v>
      </c>
      <c r="O1493" s="116">
        <v>8.1</v>
      </c>
      <c r="P1493" s="116">
        <v>8.4499999999999993</v>
      </c>
      <c r="Q1493" s="116">
        <v>8.35</v>
      </c>
      <c r="R1493">
        <v>4075549</v>
      </c>
    </row>
    <row r="1494" spans="1:18" x14ac:dyDescent="0.25">
      <c r="A1494" s="170">
        <v>44203</v>
      </c>
      <c r="B1494" s="116">
        <v>8.65</v>
      </c>
      <c r="C1494" s="116">
        <v>8.51</v>
      </c>
      <c r="D1494" s="116">
        <v>8.2899999999999991</v>
      </c>
      <c r="E1494" s="116">
        <v>8.4600000000000009</v>
      </c>
      <c r="F1494" s="116">
        <v>8.51</v>
      </c>
      <c r="G1494">
        <v>985887</v>
      </c>
      <c r="H1494" s="116"/>
      <c r="I1494" s="116"/>
      <c r="L1494" s="170">
        <v>44203</v>
      </c>
      <c r="M1494" s="116">
        <v>8.5500000000000007</v>
      </c>
      <c r="N1494" s="116">
        <v>8.65</v>
      </c>
      <c r="O1494" s="116">
        <v>8.35</v>
      </c>
      <c r="P1494" s="116">
        <v>8.65</v>
      </c>
      <c r="Q1494" s="116">
        <v>8.5500000000000007</v>
      </c>
      <c r="R1494">
        <v>2767309</v>
      </c>
    </row>
    <row r="1495" spans="1:18" x14ac:dyDescent="0.25">
      <c r="A1495" s="170">
        <v>44204</v>
      </c>
      <c r="B1495" s="116">
        <v>8.93</v>
      </c>
      <c r="C1495" s="116">
        <v>8.92</v>
      </c>
      <c r="D1495" s="116">
        <v>8.75</v>
      </c>
      <c r="E1495" s="116">
        <v>8.92</v>
      </c>
      <c r="F1495" s="116">
        <v>8.92</v>
      </c>
      <c r="G1495">
        <v>999984</v>
      </c>
      <c r="H1495" s="116"/>
      <c r="I1495" s="116"/>
      <c r="L1495" s="170">
        <v>44204</v>
      </c>
      <c r="M1495" s="116">
        <v>8.9499999999999993</v>
      </c>
      <c r="N1495" s="116">
        <v>8.9499999999999993</v>
      </c>
      <c r="O1495" s="116">
        <v>8.6999999999999993</v>
      </c>
      <c r="P1495" s="116">
        <v>8.9499999999999993</v>
      </c>
      <c r="Q1495" s="116">
        <v>8.9499999999999993</v>
      </c>
      <c r="R1495">
        <v>4206263</v>
      </c>
    </row>
    <row r="1496" spans="1:18" x14ac:dyDescent="0.25">
      <c r="A1496" s="170">
        <v>44207</v>
      </c>
      <c r="B1496" s="116">
        <v>9.36</v>
      </c>
      <c r="C1496" s="116">
        <v>9.36</v>
      </c>
      <c r="D1496" s="116">
        <v>8.91</v>
      </c>
      <c r="E1496" s="116">
        <v>9.35</v>
      </c>
      <c r="F1496" s="116">
        <v>9.36</v>
      </c>
      <c r="G1496">
        <v>855665</v>
      </c>
      <c r="H1496" s="116"/>
      <c r="I1496" s="116"/>
      <c r="L1496" s="170">
        <v>44207</v>
      </c>
      <c r="M1496" s="116">
        <v>9.35</v>
      </c>
      <c r="N1496" s="116">
        <v>9.35</v>
      </c>
      <c r="O1496" s="116">
        <v>8.9499999999999993</v>
      </c>
      <c r="P1496" s="116">
        <v>8.9499999999999993</v>
      </c>
      <c r="Q1496" s="116">
        <v>9.35</v>
      </c>
      <c r="R1496">
        <v>2226377</v>
      </c>
    </row>
    <row r="1497" spans="1:18" x14ac:dyDescent="0.25">
      <c r="A1497" s="170">
        <v>44208</v>
      </c>
      <c r="B1497" s="116">
        <v>9.82</v>
      </c>
      <c r="C1497" s="116">
        <v>9.82</v>
      </c>
      <c r="D1497" s="116">
        <v>9.6</v>
      </c>
      <c r="E1497" s="116">
        <v>9.75</v>
      </c>
      <c r="F1497" s="116">
        <v>9.82</v>
      </c>
      <c r="G1497">
        <v>1123660</v>
      </c>
      <c r="H1497" s="116"/>
      <c r="I1497" s="116"/>
      <c r="L1497" s="170">
        <v>44208</v>
      </c>
      <c r="M1497" s="116">
        <v>9.8000000000000007</v>
      </c>
      <c r="N1497" s="116">
        <v>9.8000000000000007</v>
      </c>
      <c r="O1497" s="116">
        <v>9.5500000000000007</v>
      </c>
      <c r="P1497" s="116">
        <v>9.8000000000000007</v>
      </c>
      <c r="Q1497" s="116">
        <v>9.8000000000000007</v>
      </c>
      <c r="R1497">
        <v>1988026</v>
      </c>
    </row>
    <row r="1498" spans="1:18" x14ac:dyDescent="0.25">
      <c r="A1498" s="170">
        <v>44209</v>
      </c>
      <c r="B1498" s="116">
        <v>10.31</v>
      </c>
      <c r="C1498" s="116">
        <v>10.31</v>
      </c>
      <c r="D1498" s="116">
        <v>9.33</v>
      </c>
      <c r="E1498" s="116">
        <v>10.31</v>
      </c>
      <c r="F1498" s="116">
        <v>10.31</v>
      </c>
      <c r="G1498">
        <v>3427388</v>
      </c>
      <c r="H1498" s="116"/>
      <c r="I1498" s="116"/>
      <c r="L1498" s="170">
        <v>44209</v>
      </c>
      <c r="M1498" s="116">
        <v>10.25</v>
      </c>
      <c r="N1498" s="116">
        <v>10.25</v>
      </c>
      <c r="O1498" s="116">
        <v>9.35</v>
      </c>
      <c r="P1498" s="116">
        <v>10.25</v>
      </c>
      <c r="Q1498" s="116">
        <v>10.25</v>
      </c>
      <c r="R1498">
        <v>3564421</v>
      </c>
    </row>
    <row r="1499" spans="1:18" x14ac:dyDescent="0.25">
      <c r="A1499" s="170">
        <v>44210</v>
      </c>
      <c r="B1499" s="116">
        <v>10.82</v>
      </c>
      <c r="C1499" s="116">
        <v>10.82</v>
      </c>
      <c r="D1499" s="116">
        <v>9.85</v>
      </c>
      <c r="E1499" s="116">
        <v>10.7</v>
      </c>
      <c r="F1499" s="116">
        <v>10.82</v>
      </c>
      <c r="G1499">
        <v>3481608</v>
      </c>
      <c r="H1499" s="116"/>
      <c r="I1499" s="116"/>
      <c r="L1499" s="170">
        <v>44210</v>
      </c>
      <c r="M1499" s="116">
        <v>10.75</v>
      </c>
      <c r="N1499" s="116">
        <v>10.75</v>
      </c>
      <c r="O1499" s="116">
        <v>9.8000000000000007</v>
      </c>
      <c r="P1499" s="116">
        <v>10.75</v>
      </c>
      <c r="Q1499" s="116">
        <v>10.75</v>
      </c>
      <c r="R1499">
        <v>5912960</v>
      </c>
    </row>
    <row r="1500" spans="1:18" x14ac:dyDescent="0.25">
      <c r="A1500" s="170">
        <v>44211</v>
      </c>
      <c r="B1500" s="116">
        <v>11.36</v>
      </c>
      <c r="C1500" s="116">
        <v>11.36</v>
      </c>
      <c r="D1500" s="116">
        <v>10.82</v>
      </c>
      <c r="E1500" s="116">
        <v>11.09</v>
      </c>
      <c r="F1500" s="116">
        <v>11.36</v>
      </c>
      <c r="G1500">
        <v>2086568</v>
      </c>
      <c r="H1500" s="116"/>
      <c r="I1500" s="116"/>
      <c r="L1500" s="170">
        <v>44211</v>
      </c>
      <c r="M1500" s="116">
        <v>11.25</v>
      </c>
      <c r="N1500" s="116">
        <v>11.25</v>
      </c>
      <c r="O1500" s="116">
        <v>10.85</v>
      </c>
      <c r="P1500" s="116">
        <v>10.9</v>
      </c>
      <c r="Q1500" s="116">
        <v>11.25</v>
      </c>
      <c r="R1500">
        <v>1693133</v>
      </c>
    </row>
    <row r="1501" spans="1:18" x14ac:dyDescent="0.25">
      <c r="A1501" s="170">
        <v>44214</v>
      </c>
      <c r="B1501" s="116">
        <v>11.92</v>
      </c>
      <c r="C1501" s="116">
        <v>11.92</v>
      </c>
      <c r="D1501" s="116">
        <v>11.7</v>
      </c>
      <c r="E1501" s="116">
        <v>11.7</v>
      </c>
      <c r="F1501" s="116">
        <v>11.92</v>
      </c>
      <c r="G1501">
        <v>2464368</v>
      </c>
      <c r="H1501" s="116"/>
      <c r="I1501" s="116"/>
      <c r="L1501" s="170">
        <v>44214</v>
      </c>
      <c r="M1501" s="116">
        <v>11.8</v>
      </c>
      <c r="N1501" s="116">
        <v>11.8</v>
      </c>
      <c r="O1501" s="116">
        <v>11.6</v>
      </c>
      <c r="P1501" s="116">
        <v>11.8</v>
      </c>
      <c r="Q1501" s="116">
        <v>11.8</v>
      </c>
      <c r="R1501">
        <v>1628117</v>
      </c>
    </row>
    <row r="1502" spans="1:18" x14ac:dyDescent="0.25">
      <c r="A1502" s="170">
        <v>44215</v>
      </c>
      <c r="B1502" s="116">
        <v>12.51</v>
      </c>
      <c r="C1502" s="116">
        <v>12.51</v>
      </c>
      <c r="D1502" s="116">
        <v>12.22</v>
      </c>
      <c r="E1502" s="116">
        <v>12.4</v>
      </c>
      <c r="F1502" s="116">
        <v>12.51</v>
      </c>
      <c r="G1502">
        <v>1298186</v>
      </c>
      <c r="H1502" s="116"/>
      <c r="I1502" s="116"/>
      <c r="L1502" s="170">
        <v>44215</v>
      </c>
      <c r="M1502" s="116">
        <v>12.35</v>
      </c>
      <c r="N1502" s="116">
        <v>12.35</v>
      </c>
      <c r="O1502" s="116">
        <v>12.15</v>
      </c>
      <c r="P1502" s="116">
        <v>12.3</v>
      </c>
      <c r="Q1502" s="116">
        <v>12.35</v>
      </c>
      <c r="R1502">
        <v>1250225</v>
      </c>
    </row>
    <row r="1503" spans="1:18" x14ac:dyDescent="0.25">
      <c r="A1503" s="170">
        <v>44216</v>
      </c>
      <c r="B1503" s="116">
        <v>13.13</v>
      </c>
      <c r="C1503" s="116">
        <v>13.13</v>
      </c>
      <c r="D1503" s="116">
        <v>13.13</v>
      </c>
      <c r="E1503" s="116">
        <v>13.13</v>
      </c>
      <c r="F1503" s="116">
        <v>13.13</v>
      </c>
      <c r="G1503">
        <v>1548982</v>
      </c>
      <c r="H1503" s="116"/>
      <c r="I1503" s="116"/>
      <c r="L1503" s="170">
        <v>44216</v>
      </c>
      <c r="M1503" s="116">
        <v>12.95</v>
      </c>
      <c r="N1503" s="116">
        <v>12.95</v>
      </c>
      <c r="O1503" s="116">
        <v>12.95</v>
      </c>
      <c r="P1503" s="116">
        <v>12.95</v>
      </c>
      <c r="Q1503" s="116">
        <v>12.95</v>
      </c>
      <c r="R1503">
        <v>556219</v>
      </c>
    </row>
    <row r="1504" spans="1:18" x14ac:dyDescent="0.25">
      <c r="A1504" s="170">
        <v>44217</v>
      </c>
      <c r="B1504" s="116">
        <v>13.78</v>
      </c>
      <c r="C1504" s="116">
        <v>13.64</v>
      </c>
      <c r="D1504" s="116">
        <v>12.48</v>
      </c>
      <c r="E1504" s="116">
        <v>13.74</v>
      </c>
      <c r="F1504" s="116">
        <v>13.64</v>
      </c>
      <c r="G1504">
        <v>5905486</v>
      </c>
      <c r="H1504" s="116"/>
      <c r="I1504" s="116"/>
      <c r="L1504" s="170">
        <v>44217</v>
      </c>
      <c r="M1504" s="116">
        <v>13.55</v>
      </c>
      <c r="N1504" s="116">
        <v>13.55</v>
      </c>
      <c r="O1504" s="116">
        <v>12.4</v>
      </c>
      <c r="P1504" s="116">
        <v>13.55</v>
      </c>
      <c r="Q1504" s="116">
        <v>13.55</v>
      </c>
      <c r="R1504">
        <v>6956770</v>
      </c>
    </row>
    <row r="1505" spans="1:18" x14ac:dyDescent="0.25">
      <c r="A1505" s="170">
        <v>44218</v>
      </c>
      <c r="B1505" s="116">
        <v>14.32</v>
      </c>
      <c r="C1505" s="116">
        <v>14.29</v>
      </c>
      <c r="D1505" s="116">
        <v>12.96</v>
      </c>
      <c r="E1505" s="116">
        <v>13.4</v>
      </c>
      <c r="F1505" s="116">
        <v>14.29</v>
      </c>
      <c r="G1505">
        <v>3307323</v>
      </c>
      <c r="H1505" s="116"/>
      <c r="I1505" s="116"/>
      <c r="L1505" s="170">
        <v>44218</v>
      </c>
      <c r="M1505" s="116">
        <v>14.2</v>
      </c>
      <c r="N1505" s="116">
        <v>14.2</v>
      </c>
      <c r="O1505" s="116">
        <v>12.9</v>
      </c>
      <c r="P1505" s="116">
        <v>13.35</v>
      </c>
      <c r="Q1505" s="116">
        <v>14.2</v>
      </c>
      <c r="R1505">
        <v>8869078</v>
      </c>
    </row>
    <row r="1506" spans="1:18" x14ac:dyDescent="0.25">
      <c r="A1506" s="170">
        <v>44221</v>
      </c>
      <c r="B1506" s="116">
        <v>15</v>
      </c>
      <c r="C1506" s="116">
        <v>15</v>
      </c>
      <c r="D1506" s="116">
        <v>14</v>
      </c>
      <c r="E1506" s="116">
        <v>14.9</v>
      </c>
      <c r="F1506" s="116">
        <v>15</v>
      </c>
      <c r="G1506">
        <v>2837555</v>
      </c>
      <c r="H1506" s="116"/>
      <c r="I1506" s="116"/>
      <c r="L1506" s="170">
        <v>44221</v>
      </c>
      <c r="M1506" s="116">
        <v>14.9</v>
      </c>
      <c r="N1506" s="116">
        <v>14.9</v>
      </c>
      <c r="O1506" s="116">
        <v>14.25</v>
      </c>
      <c r="P1506" s="116">
        <v>14.9</v>
      </c>
      <c r="Q1506" s="116">
        <v>14.9</v>
      </c>
      <c r="R1506">
        <v>2985410</v>
      </c>
    </row>
    <row r="1507" spans="1:18" x14ac:dyDescent="0.25">
      <c r="A1507" s="170">
        <v>44223</v>
      </c>
      <c r="B1507" s="116">
        <v>15.75</v>
      </c>
      <c r="C1507" s="116">
        <v>15.75</v>
      </c>
      <c r="D1507" s="116">
        <v>15.5</v>
      </c>
      <c r="E1507" s="116">
        <v>15.75</v>
      </c>
      <c r="F1507" s="116">
        <v>15.75</v>
      </c>
      <c r="G1507">
        <v>1640524</v>
      </c>
      <c r="H1507" s="116"/>
      <c r="I1507" s="116"/>
      <c r="L1507" s="170">
        <v>44223</v>
      </c>
      <c r="M1507" s="116">
        <v>15.6</v>
      </c>
      <c r="N1507" s="116">
        <v>15.6</v>
      </c>
      <c r="O1507" s="116">
        <v>15.6</v>
      </c>
      <c r="P1507" s="116">
        <v>15.6</v>
      </c>
      <c r="Q1507" s="116">
        <v>15.6</v>
      </c>
      <c r="R1507">
        <v>1355854</v>
      </c>
    </row>
    <row r="1508" spans="1:18" x14ac:dyDescent="0.25">
      <c r="A1508" s="170">
        <v>44224</v>
      </c>
      <c r="B1508" s="116">
        <v>16.53</v>
      </c>
      <c r="C1508" s="116">
        <v>16.53</v>
      </c>
      <c r="D1508" s="116">
        <v>16.100000000000001</v>
      </c>
      <c r="E1508" s="116">
        <v>16.53</v>
      </c>
      <c r="F1508" s="116">
        <v>16.53</v>
      </c>
      <c r="G1508">
        <v>1796387</v>
      </c>
      <c r="H1508" s="116"/>
      <c r="I1508" s="116"/>
      <c r="L1508" s="170">
        <v>44224</v>
      </c>
      <c r="M1508" s="116">
        <v>16.350000000000001</v>
      </c>
      <c r="N1508" s="116">
        <v>16.350000000000001</v>
      </c>
      <c r="O1508" s="116">
        <v>16.350000000000001</v>
      </c>
      <c r="P1508" s="116">
        <v>16.350000000000001</v>
      </c>
      <c r="Q1508" s="116">
        <v>16.350000000000001</v>
      </c>
      <c r="R1508">
        <v>954286</v>
      </c>
    </row>
    <row r="1509" spans="1:18" x14ac:dyDescent="0.25">
      <c r="A1509" s="170">
        <v>44225</v>
      </c>
      <c r="B1509" s="116">
        <v>17.350000000000001</v>
      </c>
      <c r="C1509" s="116">
        <v>17.350000000000001</v>
      </c>
      <c r="D1509" s="116">
        <v>17.350000000000001</v>
      </c>
      <c r="E1509" s="116">
        <v>17.350000000000001</v>
      </c>
      <c r="F1509" s="116">
        <v>17.350000000000001</v>
      </c>
      <c r="G1509">
        <v>1494993</v>
      </c>
      <c r="H1509" s="116"/>
      <c r="I1509" s="116"/>
      <c r="L1509" s="170">
        <v>44225</v>
      </c>
      <c r="M1509" s="116">
        <v>17.149999999999999</v>
      </c>
      <c r="N1509" s="116">
        <v>17.149999999999999</v>
      </c>
      <c r="O1509" s="116">
        <v>17.149999999999999</v>
      </c>
      <c r="P1509" s="116">
        <v>17.149999999999999</v>
      </c>
      <c r="Q1509" s="116">
        <v>17.149999999999999</v>
      </c>
      <c r="R1509">
        <v>783966</v>
      </c>
    </row>
    <row r="1510" spans="1:18" x14ac:dyDescent="0.25">
      <c r="A1510" s="170">
        <v>44228</v>
      </c>
      <c r="B1510" s="116">
        <v>18.2</v>
      </c>
      <c r="C1510" s="116">
        <v>18.2</v>
      </c>
      <c r="D1510" s="116">
        <v>17.95</v>
      </c>
      <c r="E1510" s="116">
        <v>18.2</v>
      </c>
      <c r="F1510" s="116">
        <v>18.2</v>
      </c>
      <c r="G1510">
        <v>3605836</v>
      </c>
      <c r="H1510" s="116"/>
      <c r="I1510" s="116"/>
      <c r="L1510" s="170">
        <v>44228</v>
      </c>
      <c r="M1510" s="116">
        <v>18</v>
      </c>
      <c r="N1510" s="116">
        <v>18</v>
      </c>
      <c r="O1510" s="116">
        <v>18</v>
      </c>
      <c r="P1510" s="116">
        <v>18</v>
      </c>
      <c r="Q1510" s="116">
        <v>18</v>
      </c>
      <c r="R1510">
        <v>3916044</v>
      </c>
    </row>
    <row r="1511" spans="1:18" x14ac:dyDescent="0.25">
      <c r="A1511" s="170">
        <v>44229</v>
      </c>
      <c r="B1511" s="116">
        <v>19.100000000000001</v>
      </c>
      <c r="C1511" s="116">
        <v>19.100000000000001</v>
      </c>
      <c r="D1511" s="116">
        <v>19.100000000000001</v>
      </c>
      <c r="E1511" s="116">
        <v>19.100000000000001</v>
      </c>
      <c r="F1511" s="116">
        <v>19.100000000000001</v>
      </c>
      <c r="G1511">
        <v>642517</v>
      </c>
      <c r="H1511" s="116"/>
      <c r="I1511" s="116"/>
      <c r="L1511" s="170">
        <v>44229</v>
      </c>
      <c r="M1511" s="116">
        <v>18.899999999999999</v>
      </c>
      <c r="N1511" s="116">
        <v>18.899999999999999</v>
      </c>
      <c r="O1511" s="116">
        <v>18.899999999999999</v>
      </c>
      <c r="P1511" s="116">
        <v>18.899999999999999</v>
      </c>
      <c r="Q1511" s="116">
        <v>18.899999999999999</v>
      </c>
      <c r="R1511">
        <v>496638</v>
      </c>
    </row>
    <row r="1512" spans="1:18" x14ac:dyDescent="0.25">
      <c r="A1512" s="170">
        <v>44230</v>
      </c>
      <c r="B1512" s="116">
        <v>20.05</v>
      </c>
      <c r="C1512" s="116">
        <v>20.05</v>
      </c>
      <c r="D1512" s="116">
        <v>20.05</v>
      </c>
      <c r="E1512" s="116">
        <v>20.05</v>
      </c>
      <c r="F1512" s="116">
        <v>20.05</v>
      </c>
      <c r="G1512">
        <v>814979</v>
      </c>
      <c r="H1512" s="116"/>
      <c r="I1512" s="116"/>
      <c r="L1512" s="170">
        <v>44230</v>
      </c>
      <c r="M1512" s="116">
        <v>19.8</v>
      </c>
      <c r="N1512" s="116">
        <v>19.8</v>
      </c>
      <c r="O1512" s="116">
        <v>19.8</v>
      </c>
      <c r="P1512" s="116">
        <v>19.8</v>
      </c>
      <c r="Q1512" s="116">
        <v>19.8</v>
      </c>
      <c r="R1512">
        <v>587882</v>
      </c>
    </row>
    <row r="1513" spans="1:18" x14ac:dyDescent="0.25">
      <c r="A1513" s="170">
        <v>44231</v>
      </c>
      <c r="B1513" s="116">
        <v>21.05</v>
      </c>
      <c r="C1513" s="116">
        <v>21.05</v>
      </c>
      <c r="D1513" s="116">
        <v>20.75</v>
      </c>
      <c r="E1513" s="116">
        <v>20.95</v>
      </c>
      <c r="F1513" s="116">
        <v>21.05</v>
      </c>
      <c r="G1513">
        <v>2734277</v>
      </c>
      <c r="H1513" s="116"/>
      <c r="I1513" s="116"/>
      <c r="L1513" s="170">
        <v>44231</v>
      </c>
      <c r="M1513" s="116">
        <v>20.75</v>
      </c>
      <c r="N1513" s="116">
        <v>20.75</v>
      </c>
      <c r="O1513" s="116">
        <v>20.75</v>
      </c>
      <c r="P1513" s="116">
        <v>20.75</v>
      </c>
      <c r="Q1513" s="116">
        <v>20.75</v>
      </c>
      <c r="R1513">
        <v>3279088</v>
      </c>
    </row>
    <row r="1514" spans="1:18" x14ac:dyDescent="0.25">
      <c r="A1514" s="170">
        <v>44232</v>
      </c>
      <c r="B1514" s="116">
        <v>22.1</v>
      </c>
      <c r="C1514" s="116">
        <v>22.1</v>
      </c>
      <c r="D1514" s="116">
        <v>22.1</v>
      </c>
      <c r="E1514" s="116">
        <v>22.1</v>
      </c>
      <c r="F1514" s="116">
        <v>22.1</v>
      </c>
      <c r="G1514">
        <v>1670417</v>
      </c>
      <c r="H1514" s="116"/>
      <c r="I1514" s="116"/>
      <c r="L1514" s="170">
        <v>44232</v>
      </c>
      <c r="M1514" s="116">
        <v>21.75</v>
      </c>
      <c r="N1514" s="116">
        <v>21.75</v>
      </c>
      <c r="O1514" s="116">
        <v>21.75</v>
      </c>
      <c r="P1514" s="116">
        <v>21.75</v>
      </c>
      <c r="Q1514" s="116">
        <v>21.75</v>
      </c>
      <c r="R1514">
        <v>510939</v>
      </c>
    </row>
    <row r="1515" spans="1:18" x14ac:dyDescent="0.25">
      <c r="A1515" s="170">
        <v>44235</v>
      </c>
      <c r="B1515" s="116">
        <v>23.2</v>
      </c>
      <c r="C1515" s="116">
        <v>21</v>
      </c>
      <c r="D1515" s="116">
        <v>21</v>
      </c>
      <c r="E1515" s="116">
        <v>23.2</v>
      </c>
      <c r="F1515" s="116">
        <v>21</v>
      </c>
      <c r="G1515">
        <v>4211670</v>
      </c>
      <c r="H1515" s="116"/>
      <c r="I1515" s="116"/>
      <c r="L1515" s="170">
        <v>44235</v>
      </c>
      <c r="M1515" s="116">
        <v>20.7</v>
      </c>
      <c r="N1515" s="116">
        <v>22.8</v>
      </c>
      <c r="O1515" s="116">
        <v>20.7</v>
      </c>
      <c r="P1515" s="116">
        <v>22.8</v>
      </c>
      <c r="Q1515" s="116">
        <v>20.7</v>
      </c>
      <c r="R1515">
        <v>7343606</v>
      </c>
    </row>
    <row r="1516" spans="1:18" x14ac:dyDescent="0.25">
      <c r="A1516" s="170">
        <v>44236</v>
      </c>
      <c r="B1516" s="116">
        <v>19.95</v>
      </c>
      <c r="C1516" s="116">
        <v>19.95</v>
      </c>
      <c r="D1516" s="116">
        <v>19.95</v>
      </c>
      <c r="E1516" s="116">
        <v>19.95</v>
      </c>
      <c r="F1516" s="116">
        <v>19.95</v>
      </c>
      <c r="G1516">
        <v>152261</v>
      </c>
      <c r="H1516" s="116"/>
      <c r="I1516" s="116"/>
      <c r="L1516" s="170">
        <v>44236</v>
      </c>
      <c r="M1516" s="116">
        <v>19.7</v>
      </c>
      <c r="N1516" s="116">
        <v>19.7</v>
      </c>
      <c r="O1516" s="116">
        <v>19.7</v>
      </c>
      <c r="P1516" s="116">
        <v>19.7</v>
      </c>
      <c r="Q1516" s="116">
        <v>19.7</v>
      </c>
      <c r="R1516">
        <v>769652</v>
      </c>
    </row>
    <row r="1517" spans="1:18" x14ac:dyDescent="0.25">
      <c r="A1517" s="170">
        <v>44237</v>
      </c>
      <c r="B1517" s="116">
        <v>19</v>
      </c>
      <c r="C1517" s="116">
        <v>19</v>
      </c>
      <c r="D1517" s="116">
        <v>19</v>
      </c>
      <c r="E1517" s="116">
        <v>19</v>
      </c>
      <c r="F1517" s="116">
        <v>19</v>
      </c>
      <c r="G1517">
        <v>108663</v>
      </c>
      <c r="H1517" s="116"/>
      <c r="I1517" s="116"/>
      <c r="L1517" s="170">
        <v>44237</v>
      </c>
      <c r="M1517" s="116">
        <v>18.75</v>
      </c>
      <c r="N1517" s="116">
        <v>18.75</v>
      </c>
      <c r="O1517" s="116">
        <v>18.75</v>
      </c>
      <c r="P1517" s="116">
        <v>18.75</v>
      </c>
      <c r="Q1517" s="116">
        <v>18.75</v>
      </c>
      <c r="R1517">
        <v>1057182</v>
      </c>
    </row>
    <row r="1518" spans="1:18" x14ac:dyDescent="0.25">
      <c r="A1518" s="170">
        <v>44238</v>
      </c>
      <c r="B1518" s="116">
        <v>18.05</v>
      </c>
      <c r="C1518" s="116">
        <v>18.05</v>
      </c>
      <c r="D1518" s="116">
        <v>18.05</v>
      </c>
      <c r="E1518" s="116">
        <v>18.05</v>
      </c>
      <c r="F1518" s="116">
        <v>18.05</v>
      </c>
      <c r="G1518">
        <v>83728</v>
      </c>
      <c r="H1518" s="116"/>
      <c r="I1518" s="116"/>
      <c r="L1518" s="170">
        <v>44238</v>
      </c>
      <c r="M1518" s="116">
        <v>17.850000000000001</v>
      </c>
      <c r="N1518" s="116">
        <v>17.850000000000001</v>
      </c>
      <c r="O1518" s="116">
        <v>17.850000000000001</v>
      </c>
      <c r="P1518" s="116">
        <v>17.850000000000001</v>
      </c>
      <c r="Q1518" s="116">
        <v>17.850000000000001</v>
      </c>
      <c r="R1518">
        <v>675241</v>
      </c>
    </row>
    <row r="1519" spans="1:18" x14ac:dyDescent="0.25">
      <c r="A1519" s="170">
        <v>44239</v>
      </c>
      <c r="B1519" s="116">
        <v>17.149999999999999</v>
      </c>
      <c r="C1519" s="116">
        <v>17.149999999999999</v>
      </c>
      <c r="D1519" s="116">
        <v>17.149999999999999</v>
      </c>
      <c r="E1519" s="116">
        <v>17.149999999999999</v>
      </c>
      <c r="F1519" s="116">
        <v>17.149999999999999</v>
      </c>
      <c r="G1519">
        <v>113255</v>
      </c>
      <c r="H1519" s="116"/>
      <c r="I1519" s="116"/>
      <c r="L1519" s="170">
        <v>44239</v>
      </c>
      <c r="M1519" s="116">
        <v>17</v>
      </c>
      <c r="N1519" s="116">
        <v>17</v>
      </c>
      <c r="O1519" s="116">
        <v>17</v>
      </c>
      <c r="P1519" s="116">
        <v>17</v>
      </c>
      <c r="Q1519" s="116">
        <v>17</v>
      </c>
      <c r="R1519">
        <v>426411</v>
      </c>
    </row>
    <row r="1520" spans="1:18" x14ac:dyDescent="0.25">
      <c r="A1520" s="170">
        <v>44242</v>
      </c>
      <c r="B1520" s="116">
        <v>16.3</v>
      </c>
      <c r="C1520" s="116">
        <v>16.3</v>
      </c>
      <c r="D1520" s="116">
        <v>16.3</v>
      </c>
      <c r="E1520" s="116">
        <v>16.3</v>
      </c>
      <c r="F1520" s="116">
        <v>16.3</v>
      </c>
      <c r="G1520">
        <v>83207</v>
      </c>
      <c r="H1520" s="116"/>
      <c r="I1520" s="116"/>
      <c r="L1520" s="170">
        <v>44242</v>
      </c>
      <c r="M1520" s="116">
        <v>16.149999999999999</v>
      </c>
      <c r="N1520" s="116">
        <v>16.149999999999999</v>
      </c>
      <c r="O1520" s="116">
        <v>16.149999999999999</v>
      </c>
      <c r="P1520" s="116">
        <v>16.149999999999999</v>
      </c>
      <c r="Q1520" s="116">
        <v>16.149999999999999</v>
      </c>
      <c r="R1520">
        <v>523639</v>
      </c>
    </row>
    <row r="1521" spans="1:18" x14ac:dyDescent="0.25">
      <c r="A1521" s="170">
        <v>44243</v>
      </c>
      <c r="B1521" s="116">
        <v>17.100000000000001</v>
      </c>
      <c r="C1521" s="116">
        <v>17.100000000000001</v>
      </c>
      <c r="D1521" s="116">
        <v>15.5</v>
      </c>
      <c r="E1521" s="116">
        <v>15.5</v>
      </c>
      <c r="F1521" s="116">
        <v>17.100000000000001</v>
      </c>
      <c r="G1521">
        <v>5943988</v>
      </c>
      <c r="H1521" s="116"/>
      <c r="I1521" s="116"/>
      <c r="L1521" s="170">
        <v>44243</v>
      </c>
      <c r="M1521" s="116">
        <v>16.95</v>
      </c>
      <c r="N1521" s="116">
        <v>16.95</v>
      </c>
      <c r="O1521" s="116">
        <v>15.35</v>
      </c>
      <c r="P1521" s="116">
        <v>15.35</v>
      </c>
      <c r="Q1521" s="116">
        <v>16.95</v>
      </c>
      <c r="R1521">
        <v>9352722</v>
      </c>
    </row>
    <row r="1522" spans="1:18" x14ac:dyDescent="0.25">
      <c r="A1522" s="170">
        <v>44244</v>
      </c>
      <c r="B1522" s="116">
        <v>17.95</v>
      </c>
      <c r="C1522" s="116">
        <v>17.95</v>
      </c>
      <c r="D1522" s="116">
        <v>17.2</v>
      </c>
      <c r="E1522" s="116">
        <v>17.7</v>
      </c>
      <c r="F1522" s="116">
        <v>17.95</v>
      </c>
      <c r="G1522">
        <v>4394163</v>
      </c>
      <c r="H1522" s="116"/>
      <c r="I1522" s="116"/>
      <c r="L1522" s="170">
        <v>44244</v>
      </c>
      <c r="M1522" s="116">
        <v>17.75</v>
      </c>
      <c r="N1522" s="116">
        <v>17.75</v>
      </c>
      <c r="O1522" s="116">
        <v>16.95</v>
      </c>
      <c r="P1522" s="116">
        <v>17.75</v>
      </c>
      <c r="Q1522" s="116">
        <v>17.75</v>
      </c>
      <c r="R1522">
        <v>4675762</v>
      </c>
    </row>
    <row r="1523" spans="1:18" x14ac:dyDescent="0.25">
      <c r="A1523" s="170">
        <v>44245</v>
      </c>
      <c r="B1523" s="116">
        <v>18.8</v>
      </c>
      <c r="C1523" s="116">
        <v>18.45</v>
      </c>
      <c r="D1523" s="116">
        <v>17.100000000000001</v>
      </c>
      <c r="E1523" s="116">
        <v>18.8</v>
      </c>
      <c r="F1523" s="116">
        <v>18.45</v>
      </c>
      <c r="G1523">
        <v>4315232</v>
      </c>
      <c r="H1523" s="116"/>
      <c r="I1523" s="116"/>
      <c r="L1523" s="170">
        <v>44245</v>
      </c>
      <c r="M1523" s="116">
        <v>18.25</v>
      </c>
      <c r="N1523" s="116">
        <v>18.600000000000001</v>
      </c>
      <c r="O1523" s="116">
        <v>16.899999999999999</v>
      </c>
      <c r="P1523" s="116">
        <v>18.600000000000001</v>
      </c>
      <c r="Q1523" s="116">
        <v>18.25</v>
      </c>
      <c r="R1523">
        <v>11147861</v>
      </c>
    </row>
    <row r="1524" spans="1:18" x14ac:dyDescent="0.25">
      <c r="A1524" s="170">
        <v>44246</v>
      </c>
      <c r="B1524" s="116">
        <v>18.2</v>
      </c>
      <c r="C1524" s="116">
        <v>17.55</v>
      </c>
      <c r="D1524" s="116">
        <v>17.55</v>
      </c>
      <c r="E1524" s="116">
        <v>17.55</v>
      </c>
      <c r="F1524" s="116">
        <v>17.55</v>
      </c>
      <c r="G1524">
        <v>399525</v>
      </c>
      <c r="H1524" s="116"/>
      <c r="I1524" s="116"/>
      <c r="L1524" s="170">
        <v>44246</v>
      </c>
      <c r="M1524" s="116">
        <v>17.350000000000001</v>
      </c>
      <c r="N1524" s="116">
        <v>17.649999999999999</v>
      </c>
      <c r="O1524" s="116">
        <v>17.350000000000001</v>
      </c>
      <c r="P1524" s="116">
        <v>17.649999999999999</v>
      </c>
      <c r="Q1524" s="116">
        <v>17.350000000000001</v>
      </c>
      <c r="R1524">
        <v>1772734</v>
      </c>
    </row>
    <row r="1525" spans="1:18" x14ac:dyDescent="0.25">
      <c r="A1525" s="170">
        <v>44249</v>
      </c>
      <c r="B1525" s="116">
        <v>16.7</v>
      </c>
      <c r="C1525" s="116">
        <v>16.7</v>
      </c>
      <c r="D1525" s="116">
        <v>16.7</v>
      </c>
      <c r="E1525" s="116">
        <v>16.7</v>
      </c>
      <c r="F1525" s="116">
        <v>16.7</v>
      </c>
      <c r="G1525">
        <v>222241</v>
      </c>
      <c r="H1525" s="116"/>
      <c r="I1525" s="116"/>
      <c r="L1525" s="170">
        <v>44249</v>
      </c>
      <c r="M1525" s="116">
        <v>16.5</v>
      </c>
      <c r="N1525" s="116">
        <v>16.5</v>
      </c>
      <c r="O1525" s="116">
        <v>16.5</v>
      </c>
      <c r="P1525" s="116">
        <v>16.5</v>
      </c>
      <c r="Q1525" s="116">
        <v>16.5</v>
      </c>
      <c r="R1525">
        <v>699396</v>
      </c>
    </row>
    <row r="1526" spans="1:18" x14ac:dyDescent="0.25">
      <c r="A1526" s="170">
        <v>44250</v>
      </c>
      <c r="B1526" s="116">
        <v>17.3</v>
      </c>
      <c r="C1526" s="116">
        <v>15.9</v>
      </c>
      <c r="D1526" s="116">
        <v>15.9</v>
      </c>
      <c r="E1526" s="116">
        <v>16.2</v>
      </c>
      <c r="F1526" s="116">
        <v>15.9</v>
      </c>
      <c r="G1526">
        <v>1950800</v>
      </c>
      <c r="H1526" s="116"/>
      <c r="I1526" s="116"/>
      <c r="L1526" s="170">
        <v>44250</v>
      </c>
      <c r="M1526" s="116">
        <v>15.7</v>
      </c>
      <c r="N1526" s="116">
        <v>17.3</v>
      </c>
      <c r="O1526" s="116">
        <v>15.7</v>
      </c>
      <c r="P1526" s="116">
        <v>16</v>
      </c>
      <c r="Q1526" s="116">
        <v>15.7</v>
      </c>
      <c r="R1526">
        <v>6907614</v>
      </c>
    </row>
    <row r="1527" spans="1:18" x14ac:dyDescent="0.25">
      <c r="A1527" s="170">
        <v>44251</v>
      </c>
      <c r="B1527" s="116">
        <v>15.5</v>
      </c>
      <c r="C1527" s="116">
        <v>15.15</v>
      </c>
      <c r="D1527" s="116">
        <v>15.15</v>
      </c>
      <c r="E1527" s="116">
        <v>15.15</v>
      </c>
      <c r="F1527" s="116">
        <v>15.15</v>
      </c>
      <c r="G1527">
        <v>402719</v>
      </c>
      <c r="H1527" s="116"/>
      <c r="I1527" s="116"/>
      <c r="L1527" s="170">
        <v>44251</v>
      </c>
      <c r="M1527" s="116">
        <v>14.95</v>
      </c>
      <c r="N1527" s="116">
        <v>15.4</v>
      </c>
      <c r="O1527" s="116">
        <v>14.95</v>
      </c>
      <c r="P1527" s="116">
        <v>15</v>
      </c>
      <c r="Q1527" s="116">
        <v>14.95</v>
      </c>
      <c r="R1527">
        <v>1585450</v>
      </c>
    </row>
    <row r="1528" spans="1:18" x14ac:dyDescent="0.25">
      <c r="A1528" s="170">
        <v>44252</v>
      </c>
      <c r="B1528" s="116">
        <v>15.9</v>
      </c>
      <c r="C1528" s="116">
        <v>15.9</v>
      </c>
      <c r="D1528" s="116">
        <v>14.4</v>
      </c>
      <c r="E1528" s="116">
        <v>14.4</v>
      </c>
      <c r="F1528" s="116">
        <v>15.9</v>
      </c>
      <c r="G1528">
        <v>3435739</v>
      </c>
      <c r="H1528" s="116"/>
      <c r="I1528" s="116"/>
      <c r="L1528" s="170">
        <v>44252</v>
      </c>
      <c r="M1528" s="116">
        <v>15.65</v>
      </c>
      <c r="N1528" s="116">
        <v>15.65</v>
      </c>
      <c r="O1528" s="116">
        <v>14.25</v>
      </c>
      <c r="P1528" s="116">
        <v>14.25</v>
      </c>
      <c r="Q1528" s="116">
        <v>15.65</v>
      </c>
      <c r="R1528">
        <v>3550223</v>
      </c>
    </row>
    <row r="1529" spans="1:18" x14ac:dyDescent="0.25">
      <c r="A1529" s="170">
        <v>44253</v>
      </c>
      <c r="B1529" s="116">
        <v>16.25</v>
      </c>
      <c r="C1529" s="116">
        <v>15.7</v>
      </c>
      <c r="D1529" s="116">
        <v>15.15</v>
      </c>
      <c r="E1529" s="116">
        <v>15.15</v>
      </c>
      <c r="F1529" s="116">
        <v>15.7</v>
      </c>
      <c r="G1529">
        <v>1514936</v>
      </c>
      <c r="H1529" s="116"/>
      <c r="I1529" s="116"/>
      <c r="L1529" s="170">
        <v>44253</v>
      </c>
      <c r="M1529" s="116">
        <v>15.75</v>
      </c>
      <c r="N1529" s="116">
        <v>16.399999999999999</v>
      </c>
      <c r="O1529" s="116">
        <v>14.9</v>
      </c>
      <c r="P1529" s="116">
        <v>14.9</v>
      </c>
      <c r="Q1529" s="116">
        <v>15.75</v>
      </c>
      <c r="R1529">
        <v>5135625</v>
      </c>
    </row>
    <row r="1530" spans="1:18" x14ac:dyDescent="0.25">
      <c r="A1530" s="170">
        <v>44256</v>
      </c>
      <c r="B1530" s="116">
        <v>16.399999999999999</v>
      </c>
      <c r="C1530" s="116">
        <v>15.3</v>
      </c>
      <c r="D1530" s="116">
        <v>15.1</v>
      </c>
      <c r="E1530" s="116">
        <v>16.399999999999999</v>
      </c>
      <c r="F1530" s="116">
        <v>15.3</v>
      </c>
      <c r="G1530">
        <v>635955</v>
      </c>
      <c r="H1530" s="116"/>
      <c r="I1530" s="116"/>
      <c r="L1530" s="170">
        <v>44256</v>
      </c>
      <c r="M1530" s="116">
        <v>15.35</v>
      </c>
      <c r="N1530" s="116">
        <v>16.350000000000001</v>
      </c>
      <c r="O1530" s="116">
        <v>15.2</v>
      </c>
      <c r="P1530" s="116">
        <v>16.350000000000001</v>
      </c>
      <c r="Q1530" s="116">
        <v>15.35</v>
      </c>
      <c r="R1530">
        <v>2323298</v>
      </c>
    </row>
    <row r="1531" spans="1:18" x14ac:dyDescent="0.25">
      <c r="A1531" s="170">
        <v>44257</v>
      </c>
      <c r="B1531" s="116">
        <v>15.35</v>
      </c>
      <c r="C1531" s="116">
        <v>14.65</v>
      </c>
      <c r="D1531" s="116">
        <v>14.55</v>
      </c>
      <c r="E1531" s="116">
        <v>15</v>
      </c>
      <c r="F1531" s="116">
        <v>14.65</v>
      </c>
      <c r="G1531">
        <v>980100</v>
      </c>
      <c r="H1531" s="116"/>
      <c r="I1531" s="116"/>
      <c r="L1531" s="170">
        <v>44257</v>
      </c>
      <c r="M1531" s="116">
        <v>14.65</v>
      </c>
      <c r="N1531" s="116">
        <v>15.4</v>
      </c>
      <c r="O1531" s="116">
        <v>14.6</v>
      </c>
      <c r="P1531" s="116">
        <v>15.35</v>
      </c>
      <c r="Q1531" s="116">
        <v>14.65</v>
      </c>
      <c r="R1531">
        <v>3041656</v>
      </c>
    </row>
    <row r="1532" spans="1:18" x14ac:dyDescent="0.25">
      <c r="A1532" s="170">
        <v>44258</v>
      </c>
      <c r="B1532" s="116">
        <v>14.5</v>
      </c>
      <c r="C1532" s="116">
        <v>13.95</v>
      </c>
      <c r="D1532" s="116">
        <v>13.95</v>
      </c>
      <c r="E1532" s="116">
        <v>14</v>
      </c>
      <c r="F1532" s="116">
        <v>13.95</v>
      </c>
      <c r="G1532">
        <v>1099186</v>
      </c>
      <c r="H1532" s="116"/>
      <c r="I1532" s="116"/>
      <c r="L1532" s="170">
        <v>44258</v>
      </c>
      <c r="M1532" s="116">
        <v>13.95</v>
      </c>
      <c r="N1532" s="116">
        <v>14.75</v>
      </c>
      <c r="O1532" s="116">
        <v>13.95</v>
      </c>
      <c r="P1532" s="116">
        <v>14.6</v>
      </c>
      <c r="Q1532" s="116">
        <v>13.95</v>
      </c>
      <c r="R1532">
        <v>2588209</v>
      </c>
    </row>
    <row r="1533" spans="1:18" x14ac:dyDescent="0.25">
      <c r="A1533" s="170">
        <v>44259</v>
      </c>
      <c r="B1533" s="116">
        <v>14.6</v>
      </c>
      <c r="C1533" s="116">
        <v>14.6</v>
      </c>
      <c r="D1533" s="116">
        <v>13.3</v>
      </c>
      <c r="E1533" s="116">
        <v>13.3</v>
      </c>
      <c r="F1533" s="116">
        <v>14.6</v>
      </c>
      <c r="G1533">
        <v>1374228</v>
      </c>
      <c r="H1533" s="116"/>
      <c r="I1533" s="116"/>
      <c r="L1533" s="170">
        <v>44259</v>
      </c>
      <c r="M1533" s="116">
        <v>14.6</v>
      </c>
      <c r="N1533" s="116">
        <v>14.6</v>
      </c>
      <c r="O1533" s="116">
        <v>13.3</v>
      </c>
      <c r="P1533" s="116">
        <v>13.3</v>
      </c>
      <c r="Q1533" s="116">
        <v>14.6</v>
      </c>
      <c r="R1533">
        <v>2272705</v>
      </c>
    </row>
    <row r="1534" spans="1:18" x14ac:dyDescent="0.25">
      <c r="A1534" s="170">
        <v>44260</v>
      </c>
      <c r="B1534" s="116">
        <v>15.2</v>
      </c>
      <c r="C1534" s="116">
        <v>14</v>
      </c>
      <c r="D1534" s="116">
        <v>13.9</v>
      </c>
      <c r="E1534" s="116">
        <v>15.2</v>
      </c>
      <c r="F1534" s="116">
        <v>14</v>
      </c>
      <c r="G1534">
        <v>1146907</v>
      </c>
      <c r="H1534" s="116"/>
      <c r="I1534" s="116"/>
      <c r="L1534" s="170">
        <v>44260</v>
      </c>
      <c r="M1534" s="116">
        <v>14.1</v>
      </c>
      <c r="N1534" s="116">
        <v>15.1</v>
      </c>
      <c r="O1534" s="116">
        <v>13.9</v>
      </c>
      <c r="P1534" s="116">
        <v>15</v>
      </c>
      <c r="Q1534" s="116">
        <v>14.1</v>
      </c>
      <c r="R1534">
        <v>3291309</v>
      </c>
    </row>
    <row r="1535" spans="1:18" x14ac:dyDescent="0.25">
      <c r="A1535" s="170">
        <v>44263</v>
      </c>
      <c r="B1535" s="116">
        <v>14.7</v>
      </c>
      <c r="C1535" s="116">
        <v>14.2</v>
      </c>
      <c r="D1535" s="116">
        <v>14.05</v>
      </c>
      <c r="E1535" s="116">
        <v>14.45</v>
      </c>
      <c r="F1535" s="116">
        <v>14.2</v>
      </c>
      <c r="G1535">
        <v>585170</v>
      </c>
      <c r="H1535" s="116"/>
      <c r="I1535" s="116"/>
      <c r="L1535" s="170">
        <v>44263</v>
      </c>
      <c r="M1535" s="116">
        <v>14.25</v>
      </c>
      <c r="N1535" s="116">
        <v>14.6</v>
      </c>
      <c r="O1535" s="116">
        <v>14.1</v>
      </c>
      <c r="P1535" s="116">
        <v>14.5</v>
      </c>
      <c r="Q1535" s="116">
        <v>14.25</v>
      </c>
      <c r="R1535">
        <v>1692179</v>
      </c>
    </row>
    <row r="1536" spans="1:18" x14ac:dyDescent="0.25">
      <c r="A1536" s="170">
        <v>44264</v>
      </c>
      <c r="B1536" s="116">
        <v>14.7</v>
      </c>
      <c r="C1536" s="116">
        <v>13.95</v>
      </c>
      <c r="D1536" s="116">
        <v>13.55</v>
      </c>
      <c r="E1536" s="116">
        <v>14.7</v>
      </c>
      <c r="F1536" s="116">
        <v>13.95</v>
      </c>
      <c r="G1536">
        <v>415764</v>
      </c>
      <c r="H1536" s="116"/>
      <c r="I1536" s="116"/>
      <c r="L1536" s="170">
        <v>44264</v>
      </c>
      <c r="M1536" s="116">
        <v>13.85</v>
      </c>
      <c r="N1536" s="116">
        <v>14.7</v>
      </c>
      <c r="O1536" s="116">
        <v>13.6</v>
      </c>
      <c r="P1536" s="116">
        <v>14.7</v>
      </c>
      <c r="Q1536" s="116">
        <v>13.85</v>
      </c>
      <c r="R1536">
        <v>1530680</v>
      </c>
    </row>
    <row r="1537" spans="1:18" x14ac:dyDescent="0.25">
      <c r="A1537" s="170">
        <v>44265</v>
      </c>
      <c r="B1537" s="116">
        <v>14.2</v>
      </c>
      <c r="C1537" s="116">
        <v>13.8</v>
      </c>
      <c r="D1537" s="116">
        <v>13.55</v>
      </c>
      <c r="E1537" s="116">
        <v>13.9</v>
      </c>
      <c r="F1537" s="116">
        <v>13.8</v>
      </c>
      <c r="G1537">
        <v>562234</v>
      </c>
      <c r="H1537" s="116"/>
      <c r="I1537" s="116"/>
      <c r="L1537" s="170">
        <v>44265</v>
      </c>
      <c r="M1537" s="116">
        <v>13.8</v>
      </c>
      <c r="N1537" s="116">
        <v>14.15</v>
      </c>
      <c r="O1537" s="116">
        <v>13.65</v>
      </c>
      <c r="P1537" s="116">
        <v>14</v>
      </c>
      <c r="Q1537" s="116">
        <v>13.8</v>
      </c>
      <c r="R1537">
        <v>1107367</v>
      </c>
    </row>
    <row r="1538" spans="1:18" x14ac:dyDescent="0.25">
      <c r="A1538" s="170">
        <v>44267</v>
      </c>
      <c r="B1538" s="116">
        <v>14.45</v>
      </c>
      <c r="C1538" s="116">
        <v>14.4</v>
      </c>
      <c r="D1538" s="116">
        <v>13.8</v>
      </c>
      <c r="E1538" s="116">
        <v>13.85</v>
      </c>
      <c r="F1538" s="116">
        <v>14.4</v>
      </c>
      <c r="G1538">
        <v>862126</v>
      </c>
      <c r="H1538" s="116"/>
      <c r="I1538" s="116"/>
      <c r="L1538" s="170">
        <v>44267</v>
      </c>
      <c r="M1538" s="116">
        <v>14.4</v>
      </c>
      <c r="N1538" s="116">
        <v>14.45</v>
      </c>
      <c r="O1538" s="116">
        <v>13.85</v>
      </c>
      <c r="P1538" s="116">
        <v>13.85</v>
      </c>
      <c r="Q1538" s="116">
        <v>14.4</v>
      </c>
      <c r="R1538">
        <v>2058282</v>
      </c>
    </row>
    <row r="1539" spans="1:18" x14ac:dyDescent="0.25">
      <c r="A1539" s="170">
        <v>44270</v>
      </c>
      <c r="B1539" s="116">
        <v>15.1</v>
      </c>
      <c r="C1539" s="116">
        <v>15.1</v>
      </c>
      <c r="D1539" s="116">
        <v>14.55</v>
      </c>
      <c r="E1539" s="116">
        <v>14.7</v>
      </c>
      <c r="F1539" s="116">
        <v>15.1</v>
      </c>
      <c r="G1539">
        <v>1328657</v>
      </c>
      <c r="H1539" s="116"/>
      <c r="I1539" s="116"/>
      <c r="L1539" s="170">
        <v>44270</v>
      </c>
      <c r="M1539" s="116">
        <v>15.1</v>
      </c>
      <c r="N1539" s="116">
        <v>15.1</v>
      </c>
      <c r="O1539" s="116">
        <v>14.5</v>
      </c>
      <c r="P1539" s="116">
        <v>14.5</v>
      </c>
      <c r="Q1539" s="116">
        <v>15.1</v>
      </c>
      <c r="R1539">
        <v>3047524</v>
      </c>
    </row>
    <row r="1540" spans="1:18" x14ac:dyDescent="0.25">
      <c r="A1540" s="170">
        <v>44271</v>
      </c>
      <c r="B1540" s="116">
        <v>15.85</v>
      </c>
      <c r="C1540" s="116">
        <v>15.85</v>
      </c>
      <c r="D1540" s="116">
        <v>15.6</v>
      </c>
      <c r="E1540" s="116">
        <v>15.8</v>
      </c>
      <c r="F1540" s="116">
        <v>15.85</v>
      </c>
      <c r="G1540">
        <v>560830</v>
      </c>
      <c r="H1540" s="116"/>
      <c r="I1540" s="116"/>
      <c r="L1540" s="170">
        <v>44271</v>
      </c>
      <c r="M1540" s="116">
        <v>15.85</v>
      </c>
      <c r="N1540" s="116">
        <v>15.85</v>
      </c>
      <c r="O1540" s="116">
        <v>15.1</v>
      </c>
      <c r="P1540" s="116">
        <v>15.85</v>
      </c>
      <c r="Q1540" s="116">
        <v>15.85</v>
      </c>
      <c r="R1540">
        <v>1315922</v>
      </c>
    </row>
    <row r="1541" spans="1:18" x14ac:dyDescent="0.25">
      <c r="A1541" s="170">
        <v>44272</v>
      </c>
      <c r="B1541" s="116">
        <v>16.600000000000001</v>
      </c>
      <c r="C1541" s="116">
        <v>15.5</v>
      </c>
      <c r="D1541" s="116">
        <v>15.2</v>
      </c>
      <c r="E1541" s="116">
        <v>16.600000000000001</v>
      </c>
      <c r="F1541" s="116">
        <v>15.5</v>
      </c>
      <c r="G1541">
        <v>1438227</v>
      </c>
      <c r="H1541" s="116"/>
      <c r="I1541" s="116"/>
      <c r="L1541" s="170">
        <v>44272</v>
      </c>
      <c r="M1541" s="116">
        <v>15.45</v>
      </c>
      <c r="N1541" s="116">
        <v>16.600000000000001</v>
      </c>
      <c r="O1541" s="116">
        <v>15.25</v>
      </c>
      <c r="P1541" s="116">
        <v>16.600000000000001</v>
      </c>
      <c r="Q1541" s="116">
        <v>15.45</v>
      </c>
      <c r="R1541">
        <v>3686920</v>
      </c>
    </row>
    <row r="1542" spans="1:18" x14ac:dyDescent="0.25">
      <c r="A1542" s="170">
        <v>44273</v>
      </c>
      <c r="B1542" s="116">
        <v>15.8</v>
      </c>
      <c r="C1542" s="116">
        <v>14.75</v>
      </c>
      <c r="D1542" s="116">
        <v>14.75</v>
      </c>
      <c r="E1542" s="116">
        <v>15.45</v>
      </c>
      <c r="F1542" s="116">
        <v>14.75</v>
      </c>
      <c r="G1542">
        <v>686852</v>
      </c>
      <c r="H1542" s="116"/>
      <c r="I1542" s="116"/>
      <c r="L1542" s="170">
        <v>44273</v>
      </c>
      <c r="M1542" s="116">
        <v>14.7</v>
      </c>
      <c r="N1542" s="116">
        <v>16.2</v>
      </c>
      <c r="O1542" s="116">
        <v>14.7</v>
      </c>
      <c r="P1542" s="116">
        <v>16.2</v>
      </c>
      <c r="Q1542" s="116">
        <v>14.7</v>
      </c>
      <c r="R1542">
        <v>1828432</v>
      </c>
    </row>
    <row r="1543" spans="1:18" x14ac:dyDescent="0.25">
      <c r="A1543" s="170">
        <v>44274</v>
      </c>
      <c r="B1543" s="116">
        <v>14.7</v>
      </c>
      <c r="C1543" s="116">
        <v>14.3</v>
      </c>
      <c r="D1543" s="116">
        <v>14.05</v>
      </c>
      <c r="E1543" s="116">
        <v>14.05</v>
      </c>
      <c r="F1543" s="116">
        <v>14.3</v>
      </c>
      <c r="G1543">
        <v>762358</v>
      </c>
      <c r="H1543" s="116"/>
      <c r="I1543" s="116"/>
      <c r="L1543" s="170">
        <v>44274</v>
      </c>
      <c r="M1543" s="116">
        <v>14.2</v>
      </c>
      <c r="N1543" s="116">
        <v>14.45</v>
      </c>
      <c r="O1543" s="116">
        <v>14</v>
      </c>
      <c r="P1543" s="116">
        <v>14</v>
      </c>
      <c r="Q1543" s="116">
        <v>14.2</v>
      </c>
      <c r="R1543">
        <v>1555441</v>
      </c>
    </row>
    <row r="1544" spans="1:18" x14ac:dyDescent="0.25">
      <c r="A1544" s="170">
        <v>44277</v>
      </c>
      <c r="B1544" s="116">
        <v>14.15</v>
      </c>
      <c r="C1544" s="116">
        <v>13.75</v>
      </c>
      <c r="D1544" s="116">
        <v>13.6</v>
      </c>
      <c r="E1544" s="116">
        <v>13.8</v>
      </c>
      <c r="F1544" s="116">
        <v>13.75</v>
      </c>
      <c r="G1544">
        <v>784354</v>
      </c>
      <c r="H1544" s="116"/>
      <c r="I1544" s="116"/>
      <c r="L1544" s="170">
        <v>44277</v>
      </c>
      <c r="M1544" s="116">
        <v>13.75</v>
      </c>
      <c r="N1544" s="116">
        <v>14.1</v>
      </c>
      <c r="O1544" s="116">
        <v>13.5</v>
      </c>
      <c r="P1544" s="116">
        <v>13.5</v>
      </c>
      <c r="Q1544" s="116">
        <v>13.75</v>
      </c>
      <c r="R1544">
        <v>1501580</v>
      </c>
    </row>
    <row r="1545" spans="1:18" x14ac:dyDescent="0.25">
      <c r="A1545" s="170">
        <v>44278</v>
      </c>
      <c r="B1545" s="116">
        <v>14.3</v>
      </c>
      <c r="C1545" s="116">
        <v>14.05</v>
      </c>
      <c r="D1545" s="116">
        <v>13.1</v>
      </c>
      <c r="E1545" s="116">
        <v>13.1</v>
      </c>
      <c r="F1545" s="116">
        <v>14.05</v>
      </c>
      <c r="G1545">
        <v>343432</v>
      </c>
      <c r="H1545" s="116"/>
      <c r="I1545" s="116"/>
      <c r="L1545" s="170">
        <v>44278</v>
      </c>
      <c r="M1545" s="116">
        <v>14.1</v>
      </c>
      <c r="N1545" s="116">
        <v>14.35</v>
      </c>
      <c r="O1545" s="116">
        <v>13.35</v>
      </c>
      <c r="P1545" s="116">
        <v>13.7</v>
      </c>
      <c r="Q1545" s="116">
        <v>14.1</v>
      </c>
      <c r="R1545">
        <v>1448969</v>
      </c>
    </row>
    <row r="1546" spans="1:18" x14ac:dyDescent="0.25">
      <c r="A1546" s="170">
        <v>44279</v>
      </c>
      <c r="B1546" s="116">
        <v>14.35</v>
      </c>
      <c r="C1546" s="116">
        <v>13.65</v>
      </c>
      <c r="D1546" s="116">
        <v>13.55</v>
      </c>
      <c r="E1546" s="116">
        <v>14.1</v>
      </c>
      <c r="F1546" s="116">
        <v>13.65</v>
      </c>
      <c r="G1546">
        <v>301875</v>
      </c>
      <c r="H1546" s="116"/>
      <c r="I1546" s="116"/>
      <c r="L1546" s="170">
        <v>44279</v>
      </c>
      <c r="M1546" s="116">
        <v>13.65</v>
      </c>
      <c r="N1546" s="116">
        <v>14.25</v>
      </c>
      <c r="O1546" s="116">
        <v>13.55</v>
      </c>
      <c r="P1546" s="116">
        <v>14.25</v>
      </c>
      <c r="Q1546" s="116">
        <v>13.65</v>
      </c>
      <c r="R1546">
        <v>1296463</v>
      </c>
    </row>
    <row r="1547" spans="1:18" x14ac:dyDescent="0.25">
      <c r="A1547" s="170">
        <v>44280</v>
      </c>
      <c r="B1547" s="116">
        <v>13.9</v>
      </c>
      <c r="C1547" s="116">
        <v>13.3</v>
      </c>
      <c r="D1547" s="116">
        <v>13</v>
      </c>
      <c r="E1547" s="116">
        <v>13.7</v>
      </c>
      <c r="F1547" s="116">
        <v>13.3</v>
      </c>
      <c r="G1547">
        <v>524157</v>
      </c>
      <c r="H1547" s="116"/>
      <c r="I1547" s="116"/>
      <c r="L1547" s="170">
        <v>44280</v>
      </c>
      <c r="M1547" s="116">
        <v>13.25</v>
      </c>
      <c r="N1547" s="116">
        <v>13.9</v>
      </c>
      <c r="O1547" s="116">
        <v>13</v>
      </c>
      <c r="P1547" s="116">
        <v>13.55</v>
      </c>
      <c r="Q1547" s="116">
        <v>13.25</v>
      </c>
      <c r="R1547">
        <v>2202593</v>
      </c>
    </row>
    <row r="1548" spans="1:18" x14ac:dyDescent="0.25">
      <c r="A1548" s="170">
        <v>44281</v>
      </c>
      <c r="B1548" s="116">
        <v>13.35</v>
      </c>
      <c r="C1548" s="116">
        <v>12.85</v>
      </c>
      <c r="D1548" s="116">
        <v>12.65</v>
      </c>
      <c r="E1548" s="116">
        <v>12.65</v>
      </c>
      <c r="F1548" s="116">
        <v>12.85</v>
      </c>
      <c r="G1548">
        <v>656373</v>
      </c>
      <c r="H1548" s="116"/>
      <c r="I1548" s="116"/>
      <c r="L1548" s="170">
        <v>44281</v>
      </c>
      <c r="M1548" s="116">
        <v>12.85</v>
      </c>
      <c r="N1548" s="116">
        <v>13.7</v>
      </c>
      <c r="O1548" s="116">
        <v>12.6</v>
      </c>
      <c r="P1548" s="116">
        <v>13</v>
      </c>
      <c r="Q1548" s="116">
        <v>12.85</v>
      </c>
      <c r="R1548">
        <v>1631731</v>
      </c>
    </row>
    <row r="1549" spans="1:18" x14ac:dyDescent="0.25">
      <c r="A1549" s="170">
        <v>44285</v>
      </c>
      <c r="B1549" s="116">
        <v>13.45</v>
      </c>
      <c r="C1549" s="116">
        <v>13.45</v>
      </c>
      <c r="D1549" s="116">
        <v>12.95</v>
      </c>
      <c r="E1549" s="116">
        <v>13.15</v>
      </c>
      <c r="F1549" s="116">
        <v>13.45</v>
      </c>
      <c r="G1549">
        <v>215959</v>
      </c>
      <c r="H1549" s="116"/>
      <c r="I1549" s="116"/>
      <c r="L1549" s="170">
        <v>44285</v>
      </c>
      <c r="M1549" s="116">
        <v>13.45</v>
      </c>
      <c r="N1549" s="116">
        <v>13.45</v>
      </c>
      <c r="O1549" s="116">
        <v>13</v>
      </c>
      <c r="P1549" s="116">
        <v>13</v>
      </c>
      <c r="Q1549" s="116">
        <v>13.45</v>
      </c>
      <c r="R1549">
        <v>947439</v>
      </c>
    </row>
    <row r="1550" spans="1:18" x14ac:dyDescent="0.25">
      <c r="A1550" s="170">
        <v>44286</v>
      </c>
      <c r="B1550" s="116">
        <v>14.1</v>
      </c>
      <c r="C1550" s="116">
        <v>14.1</v>
      </c>
      <c r="D1550" s="116">
        <v>13.8</v>
      </c>
      <c r="E1550" s="116">
        <v>14.1</v>
      </c>
      <c r="F1550" s="116">
        <v>14.1</v>
      </c>
      <c r="G1550">
        <v>357147</v>
      </c>
      <c r="H1550" s="116"/>
      <c r="I1550" s="116"/>
      <c r="L1550" s="170">
        <v>44286</v>
      </c>
      <c r="M1550" s="116">
        <v>14.1</v>
      </c>
      <c r="N1550" s="116">
        <v>14.1</v>
      </c>
      <c r="O1550" s="116">
        <v>13.6</v>
      </c>
      <c r="P1550" s="116">
        <v>14</v>
      </c>
      <c r="Q1550" s="116">
        <v>14.1</v>
      </c>
      <c r="R1550">
        <v>1586558</v>
      </c>
    </row>
    <row r="1551" spans="1:18" x14ac:dyDescent="0.25">
      <c r="A1551" s="170">
        <v>44287</v>
      </c>
      <c r="B1551" s="116">
        <v>14.55</v>
      </c>
      <c r="C1551" s="116">
        <v>14.14</v>
      </c>
      <c r="D1551" s="116">
        <v>13.65</v>
      </c>
      <c r="E1551" s="116">
        <v>14.5</v>
      </c>
      <c r="F1551" s="116">
        <v>14.14</v>
      </c>
      <c r="G1551">
        <v>387789</v>
      </c>
      <c r="H1551" s="116"/>
      <c r="I1551" s="116"/>
      <c r="L1551" s="170">
        <v>44287</v>
      </c>
      <c r="M1551" s="116">
        <v>14.05</v>
      </c>
      <c r="N1551" s="116">
        <v>14.5</v>
      </c>
      <c r="O1551" s="116">
        <v>13.8</v>
      </c>
      <c r="P1551" s="116">
        <v>14.45</v>
      </c>
      <c r="Q1551" s="116">
        <v>14.05</v>
      </c>
      <c r="R1551">
        <v>1369991</v>
      </c>
    </row>
    <row r="1552" spans="1:18" x14ac:dyDescent="0.25">
      <c r="A1552" s="170">
        <v>44291</v>
      </c>
      <c r="B1552" s="116">
        <v>14.14</v>
      </c>
      <c r="C1552" s="116">
        <v>13.49</v>
      </c>
      <c r="D1552" s="116">
        <v>13.44</v>
      </c>
      <c r="E1552" s="116">
        <v>14</v>
      </c>
      <c r="F1552" s="116">
        <v>13.49</v>
      </c>
      <c r="G1552">
        <v>557237</v>
      </c>
      <c r="H1552" s="116"/>
      <c r="I1552" s="116"/>
      <c r="L1552" s="170">
        <v>44291</v>
      </c>
      <c r="M1552" s="116">
        <v>13.45</v>
      </c>
      <c r="N1552" s="116">
        <v>14.05</v>
      </c>
      <c r="O1552" s="116">
        <v>13.35</v>
      </c>
      <c r="P1552" s="116">
        <v>14.05</v>
      </c>
      <c r="Q1552" s="116">
        <v>13.45</v>
      </c>
      <c r="R1552">
        <v>1328358</v>
      </c>
    </row>
    <row r="1553" spans="1:18" x14ac:dyDescent="0.25">
      <c r="A1553" s="170">
        <v>44292</v>
      </c>
      <c r="B1553" s="116">
        <v>13.58</v>
      </c>
      <c r="C1553" s="116">
        <v>13.18</v>
      </c>
      <c r="D1553" s="116">
        <v>13</v>
      </c>
      <c r="E1553" s="116">
        <v>13.01</v>
      </c>
      <c r="F1553" s="116">
        <v>13.18</v>
      </c>
      <c r="G1553">
        <v>517529</v>
      </c>
      <c r="H1553" s="116"/>
      <c r="I1553" s="116"/>
      <c r="L1553" s="170">
        <v>44292</v>
      </c>
      <c r="M1553" s="116">
        <v>13.05</v>
      </c>
      <c r="N1553" s="116">
        <v>13.6</v>
      </c>
      <c r="O1553" s="116">
        <v>12.95</v>
      </c>
      <c r="P1553" s="116">
        <v>13.05</v>
      </c>
      <c r="Q1553" s="116">
        <v>13.05</v>
      </c>
      <c r="R1553">
        <v>1413939</v>
      </c>
    </row>
    <row r="1554" spans="1:18" x14ac:dyDescent="0.25">
      <c r="A1554" s="170">
        <v>44293</v>
      </c>
      <c r="B1554" s="116">
        <v>13.34</v>
      </c>
      <c r="C1554" s="116">
        <v>13.15</v>
      </c>
      <c r="D1554" s="116">
        <v>13</v>
      </c>
      <c r="E1554" s="116">
        <v>13.34</v>
      </c>
      <c r="F1554" s="116">
        <v>13.15</v>
      </c>
      <c r="G1554">
        <v>443654</v>
      </c>
      <c r="H1554" s="116"/>
      <c r="I1554" s="116"/>
      <c r="L1554" s="170">
        <v>44293</v>
      </c>
      <c r="M1554" s="116">
        <v>13.15</v>
      </c>
      <c r="N1554" s="116">
        <v>13.45</v>
      </c>
      <c r="O1554" s="116">
        <v>13</v>
      </c>
      <c r="P1554" s="116">
        <v>13</v>
      </c>
      <c r="Q1554" s="116">
        <v>13.15</v>
      </c>
      <c r="R1554">
        <v>871327</v>
      </c>
    </row>
    <row r="1555" spans="1:18" x14ac:dyDescent="0.25">
      <c r="A1555" s="170">
        <v>44294</v>
      </c>
      <c r="B1555" s="116">
        <v>13.35</v>
      </c>
      <c r="C1555" s="116">
        <v>13.07</v>
      </c>
      <c r="D1555" s="116">
        <v>12.9</v>
      </c>
      <c r="E1555" s="116">
        <v>13.35</v>
      </c>
      <c r="F1555" s="116">
        <v>13.07</v>
      </c>
      <c r="G1555">
        <v>585454</v>
      </c>
      <c r="H1555" s="116"/>
      <c r="I1555" s="116"/>
      <c r="L1555" s="170">
        <v>44294</v>
      </c>
      <c r="M1555" s="116">
        <v>13.05</v>
      </c>
      <c r="N1555" s="116">
        <v>13.3</v>
      </c>
      <c r="O1555" s="116">
        <v>12.55</v>
      </c>
      <c r="P1555" s="116">
        <v>13</v>
      </c>
      <c r="Q1555" s="116">
        <v>13.05</v>
      </c>
      <c r="R1555">
        <v>1935496</v>
      </c>
    </row>
    <row r="1556" spans="1:18" x14ac:dyDescent="0.25">
      <c r="A1556" s="170">
        <v>44295</v>
      </c>
      <c r="B1556" s="116">
        <v>13.25</v>
      </c>
      <c r="C1556" s="116">
        <v>12.95</v>
      </c>
      <c r="D1556" s="116">
        <v>12.71</v>
      </c>
      <c r="E1556" s="116">
        <v>12.89</v>
      </c>
      <c r="F1556" s="116">
        <v>12.95</v>
      </c>
      <c r="G1556">
        <v>497120</v>
      </c>
      <c r="H1556" s="116"/>
      <c r="I1556" s="116"/>
      <c r="L1556" s="170">
        <v>44295</v>
      </c>
      <c r="M1556" s="116">
        <v>12.95</v>
      </c>
      <c r="N1556" s="116">
        <v>13.15</v>
      </c>
      <c r="O1556" s="116">
        <v>12.7</v>
      </c>
      <c r="P1556" s="116">
        <v>12.7</v>
      </c>
      <c r="Q1556" s="116">
        <v>12.95</v>
      </c>
      <c r="R1556">
        <v>1026043</v>
      </c>
    </row>
    <row r="1557" spans="1:18" x14ac:dyDescent="0.25">
      <c r="A1557" s="170">
        <v>44298</v>
      </c>
      <c r="B1557" s="116">
        <v>12.89</v>
      </c>
      <c r="C1557" s="116">
        <v>12.31</v>
      </c>
      <c r="D1557" s="116">
        <v>12.31</v>
      </c>
      <c r="E1557" s="116">
        <v>12.89</v>
      </c>
      <c r="F1557" s="116">
        <v>12.31</v>
      </c>
      <c r="G1557">
        <v>653948</v>
      </c>
      <c r="H1557" s="116"/>
      <c r="I1557" s="116"/>
      <c r="L1557" s="170">
        <v>44298</v>
      </c>
      <c r="M1557" s="116">
        <v>12.35</v>
      </c>
      <c r="N1557" s="116">
        <v>12.85</v>
      </c>
      <c r="O1557" s="116">
        <v>12.35</v>
      </c>
      <c r="P1557" s="116">
        <v>12.8</v>
      </c>
      <c r="Q1557" s="116">
        <v>12.35</v>
      </c>
      <c r="R1557">
        <v>688171</v>
      </c>
    </row>
    <row r="1558" spans="1:18" x14ac:dyDescent="0.25">
      <c r="A1558" s="170">
        <v>44299</v>
      </c>
      <c r="B1558" s="116">
        <v>12.15</v>
      </c>
      <c r="C1558" s="116">
        <v>11.8</v>
      </c>
      <c r="D1558" s="116">
        <v>11.7</v>
      </c>
      <c r="E1558" s="116">
        <v>11.7</v>
      </c>
      <c r="F1558" s="116">
        <v>11.8</v>
      </c>
      <c r="G1558">
        <v>491375</v>
      </c>
      <c r="H1558" s="116"/>
      <c r="I1558" s="116"/>
      <c r="L1558" s="170">
        <v>44299</v>
      </c>
      <c r="M1558" s="116">
        <v>11.85</v>
      </c>
      <c r="N1558" s="116">
        <v>12.75</v>
      </c>
      <c r="O1558" s="116">
        <v>11.75</v>
      </c>
      <c r="P1558" s="116">
        <v>11.75</v>
      </c>
      <c r="Q1558" s="116">
        <v>11.85</v>
      </c>
      <c r="R1558">
        <v>2378015</v>
      </c>
    </row>
    <row r="1559" spans="1:18" x14ac:dyDescent="0.25">
      <c r="A1559" s="170">
        <v>44301</v>
      </c>
      <c r="B1559" s="116">
        <v>11.71</v>
      </c>
      <c r="C1559" s="116">
        <v>11.25</v>
      </c>
      <c r="D1559" s="116">
        <v>11.21</v>
      </c>
      <c r="E1559" s="116">
        <v>11.71</v>
      </c>
      <c r="F1559" s="116">
        <v>11.25</v>
      </c>
      <c r="G1559">
        <v>556612</v>
      </c>
      <c r="H1559" s="116"/>
      <c r="I1559" s="116"/>
      <c r="L1559" s="170">
        <v>44301</v>
      </c>
      <c r="M1559" s="116">
        <v>11.3</v>
      </c>
      <c r="N1559" s="116">
        <v>11.8</v>
      </c>
      <c r="O1559" s="116">
        <v>11.3</v>
      </c>
      <c r="P1559" s="116">
        <v>11.8</v>
      </c>
      <c r="Q1559" s="116">
        <v>11.3</v>
      </c>
      <c r="R1559">
        <v>830677</v>
      </c>
    </row>
    <row r="1560" spans="1:18" x14ac:dyDescent="0.25">
      <c r="A1560" s="170">
        <v>44302</v>
      </c>
      <c r="B1560" s="116">
        <v>11.81</v>
      </c>
      <c r="C1560" s="116">
        <v>11.81</v>
      </c>
      <c r="D1560" s="116">
        <v>10.7</v>
      </c>
      <c r="E1560" s="116">
        <v>10.8</v>
      </c>
      <c r="F1560" s="116">
        <v>11.81</v>
      </c>
      <c r="G1560">
        <v>270055</v>
      </c>
      <c r="H1560" s="116"/>
      <c r="I1560" s="116"/>
      <c r="L1560" s="170">
        <v>44302</v>
      </c>
      <c r="M1560" s="116">
        <v>11.85</v>
      </c>
      <c r="N1560" s="116">
        <v>11.85</v>
      </c>
      <c r="O1560" s="116">
        <v>10.75</v>
      </c>
      <c r="P1560" s="116">
        <v>10.8</v>
      </c>
      <c r="Q1560" s="116">
        <v>11.85</v>
      </c>
      <c r="R1560">
        <v>2168176</v>
      </c>
    </row>
    <row r="1561" spans="1:18" x14ac:dyDescent="0.25">
      <c r="A1561" s="170">
        <v>44305</v>
      </c>
      <c r="B1561" s="116">
        <v>11.75</v>
      </c>
      <c r="C1561" s="116">
        <v>11.25</v>
      </c>
      <c r="D1561" s="116">
        <v>11.22</v>
      </c>
      <c r="E1561" s="116">
        <v>11.75</v>
      </c>
      <c r="F1561" s="116">
        <v>11.25</v>
      </c>
      <c r="G1561">
        <v>660571</v>
      </c>
      <c r="H1561" s="116"/>
      <c r="I1561" s="116"/>
      <c r="L1561" s="170">
        <v>44305</v>
      </c>
      <c r="M1561" s="116">
        <v>11.3</v>
      </c>
      <c r="N1561" s="116">
        <v>11.7</v>
      </c>
      <c r="O1561" s="116">
        <v>11.3</v>
      </c>
      <c r="P1561" s="116">
        <v>11.7</v>
      </c>
      <c r="Q1561" s="116">
        <v>11.3</v>
      </c>
      <c r="R1561">
        <v>1616950</v>
      </c>
    </row>
    <row r="1562" spans="1:18" x14ac:dyDescent="0.25">
      <c r="A1562" s="170">
        <v>44306</v>
      </c>
      <c r="B1562" s="116">
        <v>11.81</v>
      </c>
      <c r="C1562" s="116">
        <v>11.02</v>
      </c>
      <c r="D1562" s="116">
        <v>10.9</v>
      </c>
      <c r="E1562" s="116">
        <v>11</v>
      </c>
      <c r="F1562" s="116">
        <v>11.02</v>
      </c>
      <c r="G1562">
        <v>380346</v>
      </c>
      <c r="H1562" s="116"/>
      <c r="I1562" s="116"/>
      <c r="L1562" s="170">
        <v>44306</v>
      </c>
      <c r="M1562" s="116">
        <v>11</v>
      </c>
      <c r="N1562" s="116">
        <v>11.6</v>
      </c>
      <c r="O1562" s="116">
        <v>10.9</v>
      </c>
      <c r="P1562" s="116">
        <v>11.55</v>
      </c>
      <c r="Q1562" s="116">
        <v>11</v>
      </c>
      <c r="R1562">
        <v>1479485</v>
      </c>
    </row>
    <row r="1563" spans="1:18" x14ac:dyDescent="0.25">
      <c r="A1563" s="170">
        <v>44308</v>
      </c>
      <c r="B1563" s="116">
        <v>11.57</v>
      </c>
      <c r="C1563" s="116">
        <v>11.57</v>
      </c>
      <c r="D1563" s="116">
        <v>10.55</v>
      </c>
      <c r="E1563" s="116">
        <v>10.75</v>
      </c>
      <c r="F1563" s="116">
        <v>11.57</v>
      </c>
      <c r="G1563">
        <v>704256</v>
      </c>
      <c r="H1563" s="116"/>
      <c r="I1563" s="116"/>
      <c r="L1563" s="170">
        <v>44308</v>
      </c>
      <c r="M1563" s="116">
        <v>11.55</v>
      </c>
      <c r="N1563" s="116">
        <v>11.55</v>
      </c>
      <c r="O1563" s="116">
        <v>10.45</v>
      </c>
      <c r="P1563" s="116">
        <v>11</v>
      </c>
      <c r="Q1563" s="116">
        <v>11.55</v>
      </c>
      <c r="R1563">
        <v>1146718</v>
      </c>
    </row>
    <row r="1564" spans="1:18" x14ac:dyDescent="0.25">
      <c r="A1564" s="170">
        <v>44309</v>
      </c>
      <c r="B1564" s="116">
        <v>12.14</v>
      </c>
      <c r="C1564" s="116">
        <v>12.14</v>
      </c>
      <c r="D1564" s="116">
        <v>12.14</v>
      </c>
      <c r="E1564" s="116">
        <v>12.14</v>
      </c>
      <c r="F1564" s="116">
        <v>12.14</v>
      </c>
      <c r="G1564">
        <v>365006</v>
      </c>
      <c r="H1564" s="116"/>
      <c r="I1564" s="116"/>
      <c r="L1564" s="170">
        <v>44309</v>
      </c>
      <c r="M1564" s="116">
        <v>12.1</v>
      </c>
      <c r="N1564" s="116">
        <v>12.1</v>
      </c>
      <c r="O1564" s="116">
        <v>12.1</v>
      </c>
      <c r="P1564" s="116">
        <v>12.1</v>
      </c>
      <c r="Q1564" s="116">
        <v>12.1</v>
      </c>
      <c r="R1564">
        <v>320481</v>
      </c>
    </row>
    <row r="1565" spans="1:18" x14ac:dyDescent="0.25">
      <c r="A1565" s="170">
        <v>44312</v>
      </c>
      <c r="B1565" s="116">
        <v>12.74</v>
      </c>
      <c r="C1565" s="116">
        <v>12.74</v>
      </c>
      <c r="D1565" s="116">
        <v>12.74</v>
      </c>
      <c r="E1565" s="116">
        <v>12.74</v>
      </c>
      <c r="F1565" s="116">
        <v>12.74</v>
      </c>
      <c r="G1565">
        <v>582776</v>
      </c>
      <c r="H1565" s="116"/>
      <c r="I1565" s="116"/>
      <c r="L1565" s="170">
        <v>44312</v>
      </c>
      <c r="M1565" s="116">
        <v>12.7</v>
      </c>
      <c r="N1565" s="116">
        <v>12.7</v>
      </c>
      <c r="O1565" s="116">
        <v>12.7</v>
      </c>
      <c r="P1565" s="116">
        <v>12.7</v>
      </c>
      <c r="Q1565" s="116">
        <v>12.7</v>
      </c>
      <c r="R1565">
        <v>491404</v>
      </c>
    </row>
    <row r="1566" spans="1:18" x14ac:dyDescent="0.25">
      <c r="A1566" s="170">
        <v>44313</v>
      </c>
      <c r="B1566" s="116">
        <v>13.37</v>
      </c>
      <c r="C1566" s="116">
        <v>12.11</v>
      </c>
      <c r="D1566" s="116">
        <v>12.11</v>
      </c>
      <c r="E1566" s="116">
        <v>13.37</v>
      </c>
      <c r="F1566" s="116">
        <v>12.11</v>
      </c>
      <c r="G1566">
        <v>3305426</v>
      </c>
      <c r="H1566" s="116"/>
      <c r="I1566" s="116"/>
      <c r="L1566" s="170">
        <v>44313</v>
      </c>
      <c r="M1566" s="116">
        <v>12.1</v>
      </c>
      <c r="N1566" s="116">
        <v>13.3</v>
      </c>
      <c r="O1566" s="116">
        <v>12.1</v>
      </c>
      <c r="P1566" s="116">
        <v>13.3</v>
      </c>
      <c r="Q1566" s="116">
        <v>12.1</v>
      </c>
      <c r="R1566">
        <v>6390098</v>
      </c>
    </row>
    <row r="1567" spans="1:18" x14ac:dyDescent="0.25">
      <c r="A1567" s="170">
        <v>44314</v>
      </c>
      <c r="B1567" s="116">
        <v>12.71</v>
      </c>
      <c r="C1567" s="116">
        <v>12.71</v>
      </c>
      <c r="D1567" s="116">
        <v>11.61</v>
      </c>
      <c r="E1567" s="116">
        <v>12.1</v>
      </c>
      <c r="F1567" s="116">
        <v>12.71</v>
      </c>
      <c r="G1567">
        <v>1571117</v>
      </c>
      <c r="H1567" s="116"/>
      <c r="I1567" s="116"/>
      <c r="L1567" s="170">
        <v>44314</v>
      </c>
      <c r="M1567" s="116">
        <v>12.7</v>
      </c>
      <c r="N1567" s="116">
        <v>12.7</v>
      </c>
      <c r="O1567" s="116">
        <v>11.75</v>
      </c>
      <c r="P1567" s="116">
        <v>11.75</v>
      </c>
      <c r="Q1567" s="116">
        <v>12.7</v>
      </c>
      <c r="R1567">
        <v>5029405</v>
      </c>
    </row>
    <row r="1568" spans="1:18" x14ac:dyDescent="0.25">
      <c r="A1568" s="170">
        <v>44315</v>
      </c>
      <c r="B1568" s="116">
        <v>13.34</v>
      </c>
      <c r="C1568" s="116">
        <v>13.34</v>
      </c>
      <c r="D1568" s="116">
        <v>12.58</v>
      </c>
      <c r="E1568" s="116">
        <v>13.34</v>
      </c>
      <c r="F1568" s="116">
        <v>13.34</v>
      </c>
      <c r="G1568">
        <v>3188881</v>
      </c>
      <c r="H1568" s="116"/>
      <c r="I1568" s="116"/>
      <c r="L1568" s="170">
        <v>44315</v>
      </c>
      <c r="M1568" s="116">
        <v>13.3</v>
      </c>
      <c r="N1568" s="116">
        <v>13.3</v>
      </c>
      <c r="O1568" s="116">
        <v>12.45</v>
      </c>
      <c r="P1568" s="116">
        <v>13.3</v>
      </c>
      <c r="Q1568" s="116">
        <v>13.3</v>
      </c>
      <c r="R1568">
        <v>6221287</v>
      </c>
    </row>
    <row r="1569" spans="1:18" x14ac:dyDescent="0.25">
      <c r="A1569" s="170">
        <v>44316</v>
      </c>
      <c r="B1569" s="116">
        <v>14</v>
      </c>
      <c r="C1569" s="116">
        <v>13.99</v>
      </c>
      <c r="D1569" s="116">
        <v>13.34</v>
      </c>
      <c r="E1569" s="116">
        <v>13.89</v>
      </c>
      <c r="F1569" s="116">
        <v>13.99</v>
      </c>
      <c r="G1569">
        <v>3136947</v>
      </c>
      <c r="H1569" s="116"/>
      <c r="I1569" s="116"/>
      <c r="L1569" s="170">
        <v>44316</v>
      </c>
      <c r="M1569" s="116">
        <v>13.95</v>
      </c>
      <c r="N1569" s="116">
        <v>13.95</v>
      </c>
      <c r="O1569" s="116">
        <v>13.3</v>
      </c>
      <c r="P1569" s="116">
        <v>13.65</v>
      </c>
      <c r="Q1569" s="116">
        <v>13.95</v>
      </c>
      <c r="R1569">
        <v>8343103</v>
      </c>
    </row>
    <row r="1570" spans="1:18" x14ac:dyDescent="0.25">
      <c r="A1570" s="170">
        <v>44319</v>
      </c>
      <c r="B1570" s="116">
        <v>13.99</v>
      </c>
      <c r="C1570" s="116">
        <v>13.7</v>
      </c>
      <c r="D1570" s="116">
        <v>13.35</v>
      </c>
      <c r="E1570" s="116">
        <v>13.95</v>
      </c>
      <c r="F1570" s="116">
        <v>13.7</v>
      </c>
      <c r="G1570">
        <v>1357494</v>
      </c>
      <c r="H1570" s="116"/>
      <c r="I1570" s="116"/>
      <c r="L1570" s="170">
        <v>44319</v>
      </c>
      <c r="M1570" s="116">
        <v>13.7</v>
      </c>
      <c r="N1570" s="116">
        <v>14</v>
      </c>
      <c r="O1570" s="116">
        <v>13.35</v>
      </c>
      <c r="P1570" s="116">
        <v>13.8</v>
      </c>
      <c r="Q1570" s="116">
        <v>13.7</v>
      </c>
      <c r="R1570">
        <v>3784523</v>
      </c>
    </row>
    <row r="1571" spans="1:18" x14ac:dyDescent="0.25">
      <c r="A1571" s="170">
        <v>44320</v>
      </c>
      <c r="B1571" s="116">
        <v>13.99</v>
      </c>
      <c r="C1571" s="116">
        <v>13.03</v>
      </c>
      <c r="D1571" s="116">
        <v>13.02</v>
      </c>
      <c r="E1571" s="116">
        <v>13.65</v>
      </c>
      <c r="F1571" s="116">
        <v>13.03</v>
      </c>
      <c r="G1571">
        <v>1223541</v>
      </c>
      <c r="H1571" s="116"/>
      <c r="I1571" s="116"/>
      <c r="L1571" s="170">
        <v>44320</v>
      </c>
      <c r="M1571" s="116">
        <v>13.05</v>
      </c>
      <c r="N1571" s="116">
        <v>14</v>
      </c>
      <c r="O1571" s="116">
        <v>13.05</v>
      </c>
      <c r="P1571" s="116">
        <v>14</v>
      </c>
      <c r="Q1571" s="116">
        <v>13.05</v>
      </c>
      <c r="R1571">
        <v>3364900</v>
      </c>
    </row>
    <row r="1572" spans="1:18" x14ac:dyDescent="0.25">
      <c r="A1572" s="170">
        <v>44321</v>
      </c>
      <c r="B1572" s="116">
        <v>13.2</v>
      </c>
      <c r="C1572" s="116">
        <v>12.75</v>
      </c>
      <c r="D1572" s="116">
        <v>12.53</v>
      </c>
      <c r="E1572" s="116">
        <v>13.04</v>
      </c>
      <c r="F1572" s="116">
        <v>12.75</v>
      </c>
      <c r="G1572">
        <v>616220</v>
      </c>
      <c r="H1572" s="116"/>
      <c r="I1572" s="116"/>
      <c r="L1572" s="170">
        <v>44321</v>
      </c>
      <c r="M1572" s="116">
        <v>12.75</v>
      </c>
      <c r="N1572" s="116">
        <v>13.3</v>
      </c>
      <c r="O1572" s="116">
        <v>12.5</v>
      </c>
      <c r="P1572" s="116">
        <v>13.2</v>
      </c>
      <c r="Q1572" s="116">
        <v>12.75</v>
      </c>
      <c r="R1572">
        <v>2376821</v>
      </c>
    </row>
    <row r="1573" spans="1:18" x14ac:dyDescent="0.25">
      <c r="A1573" s="170">
        <v>44322</v>
      </c>
      <c r="B1573" s="116">
        <v>13.38</v>
      </c>
      <c r="C1573" s="116">
        <v>13.38</v>
      </c>
      <c r="D1573" s="116">
        <v>12.52</v>
      </c>
      <c r="E1573" s="116">
        <v>12.74</v>
      </c>
      <c r="F1573" s="116">
        <v>13.38</v>
      </c>
      <c r="G1573">
        <v>1783988</v>
      </c>
      <c r="H1573" s="116"/>
      <c r="I1573" s="116"/>
      <c r="L1573" s="170">
        <v>44322</v>
      </c>
      <c r="M1573" s="116">
        <v>13.35</v>
      </c>
      <c r="N1573" s="116">
        <v>13.35</v>
      </c>
      <c r="O1573" s="116">
        <v>12.5</v>
      </c>
      <c r="P1573" s="116">
        <v>12.5</v>
      </c>
      <c r="Q1573" s="116">
        <v>13.35</v>
      </c>
      <c r="R1573">
        <v>3437092</v>
      </c>
    </row>
    <row r="1574" spans="1:18" x14ac:dyDescent="0.25">
      <c r="A1574" s="170">
        <v>44323</v>
      </c>
      <c r="B1574" s="116">
        <v>13.94</v>
      </c>
      <c r="C1574" s="116">
        <v>13.31</v>
      </c>
      <c r="D1574" s="116">
        <v>12.95</v>
      </c>
      <c r="E1574" s="116">
        <v>13.94</v>
      </c>
      <c r="F1574" s="116">
        <v>13.31</v>
      </c>
      <c r="G1574">
        <v>1306201</v>
      </c>
      <c r="H1574" s="116"/>
      <c r="I1574" s="116"/>
      <c r="L1574" s="170">
        <v>44323</v>
      </c>
      <c r="M1574" s="116">
        <v>13.45</v>
      </c>
      <c r="N1574" s="116">
        <v>13.9</v>
      </c>
      <c r="O1574" s="116">
        <v>12.95</v>
      </c>
      <c r="P1574" s="116">
        <v>13.75</v>
      </c>
      <c r="Q1574" s="116">
        <v>13.45</v>
      </c>
      <c r="R1574">
        <v>3144171</v>
      </c>
    </row>
    <row r="1575" spans="1:18" x14ac:dyDescent="0.25">
      <c r="A1575" s="170">
        <v>44326</v>
      </c>
      <c r="B1575" s="116">
        <v>13.65</v>
      </c>
      <c r="C1575" s="116">
        <v>13.3</v>
      </c>
      <c r="D1575" s="116">
        <v>13.1</v>
      </c>
      <c r="E1575" s="116">
        <v>13.62</v>
      </c>
      <c r="F1575" s="116">
        <v>13.3</v>
      </c>
      <c r="G1575">
        <v>598735</v>
      </c>
      <c r="H1575" s="116"/>
      <c r="I1575" s="116"/>
      <c r="L1575" s="170">
        <v>44326</v>
      </c>
      <c r="M1575" s="116">
        <v>13.3</v>
      </c>
      <c r="N1575" s="116">
        <v>13.75</v>
      </c>
      <c r="O1575" s="116">
        <v>13.25</v>
      </c>
      <c r="P1575" s="116">
        <v>13.75</v>
      </c>
      <c r="Q1575" s="116">
        <v>13.3</v>
      </c>
      <c r="R1575">
        <v>2018928</v>
      </c>
    </row>
    <row r="1576" spans="1:18" x14ac:dyDescent="0.25">
      <c r="A1576" s="170">
        <v>44327</v>
      </c>
      <c r="B1576" s="116">
        <v>13.46</v>
      </c>
      <c r="C1576" s="116">
        <v>13.29</v>
      </c>
      <c r="D1576" s="116">
        <v>12.96</v>
      </c>
      <c r="E1576" s="116">
        <v>13.4</v>
      </c>
      <c r="F1576" s="116">
        <v>13.29</v>
      </c>
      <c r="G1576">
        <v>1011222</v>
      </c>
      <c r="H1576" s="116"/>
      <c r="I1576" s="116"/>
      <c r="L1576" s="170">
        <v>44327</v>
      </c>
      <c r="M1576" s="116">
        <v>13.3</v>
      </c>
      <c r="N1576" s="116">
        <v>13.45</v>
      </c>
      <c r="O1576" s="116">
        <v>12.8</v>
      </c>
      <c r="P1576" s="116">
        <v>13.2</v>
      </c>
      <c r="Q1576" s="116">
        <v>13.3</v>
      </c>
      <c r="R1576">
        <v>2542304</v>
      </c>
    </row>
    <row r="1577" spans="1:18" x14ac:dyDescent="0.25">
      <c r="A1577" s="170">
        <v>44328</v>
      </c>
      <c r="B1577" s="116">
        <v>13.4</v>
      </c>
      <c r="C1577" s="116">
        <v>13.11</v>
      </c>
      <c r="D1577" s="116">
        <v>13.05</v>
      </c>
      <c r="E1577" s="116">
        <v>13.4</v>
      </c>
      <c r="F1577" s="116">
        <v>13.11</v>
      </c>
      <c r="G1577">
        <v>498968</v>
      </c>
      <c r="H1577" s="116"/>
      <c r="I1577" s="116"/>
      <c r="L1577" s="170">
        <v>44328</v>
      </c>
      <c r="M1577" s="116">
        <v>13.1</v>
      </c>
      <c r="N1577" s="116">
        <v>13.45</v>
      </c>
      <c r="O1577" s="116">
        <v>13</v>
      </c>
      <c r="P1577" s="116">
        <v>13.35</v>
      </c>
      <c r="Q1577" s="116">
        <v>13.1</v>
      </c>
      <c r="R1577">
        <v>2442166</v>
      </c>
    </row>
    <row r="1578" spans="1:18" x14ac:dyDescent="0.25">
      <c r="A1578" s="170">
        <v>44330</v>
      </c>
      <c r="B1578" s="116">
        <v>13.25</v>
      </c>
      <c r="C1578" s="116">
        <v>12.91</v>
      </c>
      <c r="D1578" s="116">
        <v>12.82</v>
      </c>
      <c r="E1578" s="116">
        <v>13.11</v>
      </c>
      <c r="F1578" s="116">
        <v>12.91</v>
      </c>
      <c r="G1578">
        <v>812833</v>
      </c>
      <c r="H1578" s="116"/>
      <c r="I1578" s="116"/>
      <c r="L1578" s="170">
        <v>44330</v>
      </c>
      <c r="M1578" s="116">
        <v>12.9</v>
      </c>
      <c r="N1578" s="116">
        <v>13.25</v>
      </c>
      <c r="O1578" s="116">
        <v>12.8</v>
      </c>
      <c r="P1578" s="116">
        <v>13.15</v>
      </c>
      <c r="Q1578" s="116">
        <v>12.9</v>
      </c>
      <c r="R1578">
        <v>2353061</v>
      </c>
    </row>
    <row r="1579" spans="1:18" x14ac:dyDescent="0.25">
      <c r="A1579" s="170">
        <v>44333</v>
      </c>
      <c r="B1579" s="116">
        <v>13.06</v>
      </c>
      <c r="C1579" s="116">
        <v>12.81</v>
      </c>
      <c r="D1579" s="116">
        <v>12.56</v>
      </c>
      <c r="E1579" s="116">
        <v>13</v>
      </c>
      <c r="F1579" s="116">
        <v>12.81</v>
      </c>
      <c r="G1579">
        <v>644341</v>
      </c>
      <c r="H1579" s="116"/>
      <c r="I1579" s="116"/>
      <c r="L1579" s="170">
        <v>44333</v>
      </c>
      <c r="M1579" s="116">
        <v>12.8</v>
      </c>
      <c r="N1579" s="116">
        <v>13.05</v>
      </c>
      <c r="O1579" s="116">
        <v>12.55</v>
      </c>
      <c r="P1579" s="116">
        <v>13</v>
      </c>
      <c r="Q1579" s="116">
        <v>12.8</v>
      </c>
      <c r="R1579">
        <v>2089711</v>
      </c>
    </row>
    <row r="1580" spans="1:18" x14ac:dyDescent="0.25">
      <c r="A1580" s="170">
        <v>44334</v>
      </c>
      <c r="B1580" s="116">
        <v>13.01</v>
      </c>
      <c r="C1580" s="116">
        <v>12.85</v>
      </c>
      <c r="D1580" s="116">
        <v>12.7</v>
      </c>
      <c r="E1580" s="116">
        <v>12.86</v>
      </c>
      <c r="F1580" s="116">
        <v>12.85</v>
      </c>
      <c r="G1580">
        <v>571394</v>
      </c>
      <c r="H1580" s="116"/>
      <c r="I1580" s="116"/>
      <c r="L1580" s="170">
        <v>44334</v>
      </c>
      <c r="M1580" s="116">
        <v>12.85</v>
      </c>
      <c r="N1580" s="116">
        <v>13</v>
      </c>
      <c r="O1580" s="116">
        <v>12.75</v>
      </c>
      <c r="P1580" s="116">
        <v>12.9</v>
      </c>
      <c r="Q1580" s="116">
        <v>12.85</v>
      </c>
      <c r="R1580">
        <v>1626875</v>
      </c>
    </row>
    <row r="1581" spans="1:18" x14ac:dyDescent="0.25">
      <c r="A1581" s="170">
        <v>44335</v>
      </c>
      <c r="B1581" s="116">
        <v>12.94</v>
      </c>
      <c r="C1581" s="116">
        <v>12.71</v>
      </c>
      <c r="D1581" s="116">
        <v>12.67</v>
      </c>
      <c r="E1581" s="116">
        <v>12.94</v>
      </c>
      <c r="F1581" s="116">
        <v>12.71</v>
      </c>
      <c r="G1581">
        <v>550385</v>
      </c>
      <c r="H1581" s="116"/>
      <c r="I1581" s="116"/>
      <c r="L1581" s="170">
        <v>44335</v>
      </c>
      <c r="M1581" s="116">
        <v>12.7</v>
      </c>
      <c r="N1581" s="116">
        <v>12.9</v>
      </c>
      <c r="O1581" s="116">
        <v>12.6</v>
      </c>
      <c r="P1581" s="116">
        <v>12.85</v>
      </c>
      <c r="Q1581" s="116">
        <v>12.7</v>
      </c>
      <c r="R1581">
        <v>2155414</v>
      </c>
    </row>
    <row r="1582" spans="1:18" x14ac:dyDescent="0.25">
      <c r="A1582" s="170">
        <v>44336</v>
      </c>
      <c r="B1582" s="116">
        <v>12.81</v>
      </c>
      <c r="C1582" s="116">
        <v>12.57</v>
      </c>
      <c r="D1582" s="116">
        <v>12.48</v>
      </c>
      <c r="E1582" s="116">
        <v>12.71</v>
      </c>
      <c r="F1582" s="116">
        <v>12.57</v>
      </c>
      <c r="G1582">
        <v>624711</v>
      </c>
      <c r="H1582" s="116"/>
      <c r="I1582" s="116"/>
      <c r="L1582" s="170">
        <v>44336</v>
      </c>
      <c r="M1582" s="116">
        <v>12.55</v>
      </c>
      <c r="N1582" s="116">
        <v>12.8</v>
      </c>
      <c r="O1582" s="116">
        <v>12.5</v>
      </c>
      <c r="P1582" s="116">
        <v>12.7</v>
      </c>
      <c r="Q1582" s="116">
        <v>12.55</v>
      </c>
      <c r="R1582">
        <v>1153502</v>
      </c>
    </row>
    <row r="1583" spans="1:18" x14ac:dyDescent="0.25">
      <c r="A1583" s="170">
        <v>44337</v>
      </c>
      <c r="B1583" s="116">
        <v>12.65</v>
      </c>
      <c r="C1583" s="116">
        <v>12.52</v>
      </c>
      <c r="D1583" s="116">
        <v>12.44</v>
      </c>
      <c r="E1583" s="116">
        <v>12.6</v>
      </c>
      <c r="F1583" s="116">
        <v>12.52</v>
      </c>
      <c r="G1583">
        <v>642859</v>
      </c>
      <c r="H1583" s="116"/>
      <c r="I1583" s="116"/>
      <c r="L1583" s="170">
        <v>44337</v>
      </c>
      <c r="M1583" s="116">
        <v>12.5</v>
      </c>
      <c r="N1583" s="116">
        <v>12.7</v>
      </c>
      <c r="O1583" s="116">
        <v>12.4</v>
      </c>
      <c r="P1583" s="116">
        <v>12.65</v>
      </c>
      <c r="Q1583" s="116">
        <v>12.5</v>
      </c>
      <c r="R1583">
        <v>1434003</v>
      </c>
    </row>
    <row r="1584" spans="1:18" x14ac:dyDescent="0.25">
      <c r="A1584" s="170">
        <v>44340</v>
      </c>
      <c r="B1584" s="116">
        <v>12.68</v>
      </c>
      <c r="C1584" s="116">
        <v>12.36</v>
      </c>
      <c r="D1584" s="116">
        <v>12.15</v>
      </c>
      <c r="E1584" s="116">
        <v>12.6</v>
      </c>
      <c r="F1584" s="116">
        <v>12.36</v>
      </c>
      <c r="G1584">
        <v>861997</v>
      </c>
      <c r="H1584" s="116"/>
      <c r="I1584" s="116"/>
      <c r="L1584" s="170">
        <v>44340</v>
      </c>
      <c r="M1584" s="116">
        <v>12.35</v>
      </c>
      <c r="N1584" s="116">
        <v>12.7</v>
      </c>
      <c r="O1584" s="116">
        <v>12.3</v>
      </c>
      <c r="P1584" s="116">
        <v>12.7</v>
      </c>
      <c r="Q1584" s="116">
        <v>12.35</v>
      </c>
      <c r="R1584">
        <v>1541296</v>
      </c>
    </row>
    <row r="1585" spans="1:18" x14ac:dyDescent="0.25">
      <c r="A1585" s="170">
        <v>44341</v>
      </c>
      <c r="B1585" s="116">
        <v>12.97</v>
      </c>
      <c r="C1585" s="116">
        <v>12.97</v>
      </c>
      <c r="D1585" s="116">
        <v>12.97</v>
      </c>
      <c r="E1585" s="116">
        <v>12.97</v>
      </c>
      <c r="F1585" s="116">
        <v>12.97</v>
      </c>
      <c r="G1585">
        <v>488475</v>
      </c>
      <c r="H1585" s="116"/>
      <c r="I1585" s="116"/>
      <c r="L1585" s="170">
        <v>44341</v>
      </c>
      <c r="M1585" s="116">
        <v>12.95</v>
      </c>
      <c r="N1585" s="116">
        <v>12.95</v>
      </c>
      <c r="O1585" s="116">
        <v>12.95</v>
      </c>
      <c r="P1585" s="116">
        <v>12.95</v>
      </c>
      <c r="Q1585" s="116">
        <v>12.95</v>
      </c>
      <c r="R1585">
        <v>507914</v>
      </c>
    </row>
    <row r="1586" spans="1:18" x14ac:dyDescent="0.25">
      <c r="A1586" s="170">
        <v>44342</v>
      </c>
      <c r="B1586" s="116">
        <v>13.61</v>
      </c>
      <c r="C1586" s="116">
        <v>13.61</v>
      </c>
      <c r="D1586" s="116">
        <v>13.61</v>
      </c>
      <c r="E1586" s="116">
        <v>13.61</v>
      </c>
      <c r="F1586" s="116">
        <v>13.61</v>
      </c>
      <c r="G1586">
        <v>813553</v>
      </c>
      <c r="H1586" s="116"/>
      <c r="I1586" s="116"/>
      <c r="L1586" s="170">
        <v>44342</v>
      </c>
      <c r="M1586" s="116">
        <v>13.55</v>
      </c>
      <c r="N1586" s="116">
        <v>13.55</v>
      </c>
      <c r="O1586" s="116">
        <v>13.55</v>
      </c>
      <c r="P1586" s="116">
        <v>13.55</v>
      </c>
      <c r="Q1586" s="116">
        <v>13.55</v>
      </c>
      <c r="R1586">
        <v>401803</v>
      </c>
    </row>
    <row r="1587" spans="1:18" x14ac:dyDescent="0.25">
      <c r="A1587" s="170">
        <v>44343</v>
      </c>
      <c r="B1587" s="116">
        <v>14.29</v>
      </c>
      <c r="C1587" s="116">
        <v>14.29</v>
      </c>
      <c r="D1587" s="116">
        <v>14.29</v>
      </c>
      <c r="E1587" s="116">
        <v>14.29</v>
      </c>
      <c r="F1587" s="116">
        <v>14.29</v>
      </c>
      <c r="G1587">
        <v>749721</v>
      </c>
      <c r="H1587" s="116"/>
      <c r="I1587" s="116"/>
      <c r="L1587" s="170">
        <v>44343</v>
      </c>
      <c r="M1587" s="116">
        <v>14.2</v>
      </c>
      <c r="N1587" s="116">
        <v>14.2</v>
      </c>
      <c r="O1587" s="116">
        <v>14.2</v>
      </c>
      <c r="P1587" s="116">
        <v>14.2</v>
      </c>
      <c r="Q1587" s="116">
        <v>14.2</v>
      </c>
      <c r="R1587">
        <v>811431</v>
      </c>
    </row>
    <row r="1588" spans="1:18" x14ac:dyDescent="0.25">
      <c r="A1588" s="170">
        <v>44344</v>
      </c>
      <c r="B1588" s="116">
        <v>15</v>
      </c>
      <c r="C1588" s="116">
        <v>15</v>
      </c>
      <c r="D1588" s="116">
        <v>15</v>
      </c>
      <c r="E1588" s="116">
        <v>15</v>
      </c>
      <c r="F1588" s="116">
        <v>15</v>
      </c>
      <c r="G1588">
        <v>876019</v>
      </c>
      <c r="H1588" s="116"/>
      <c r="I1588" s="116"/>
      <c r="L1588" s="170">
        <v>44344</v>
      </c>
      <c r="M1588" s="116">
        <v>14.9</v>
      </c>
      <c r="N1588" s="116">
        <v>14.9</v>
      </c>
      <c r="O1588" s="116">
        <v>14.9</v>
      </c>
      <c r="P1588" s="116">
        <v>14.9</v>
      </c>
      <c r="Q1588" s="116">
        <v>14.9</v>
      </c>
      <c r="R1588">
        <v>658041</v>
      </c>
    </row>
    <row r="1589" spans="1:18" x14ac:dyDescent="0.25">
      <c r="A1589" s="170">
        <v>44347</v>
      </c>
      <c r="B1589" s="116">
        <v>15.75</v>
      </c>
      <c r="C1589" s="116">
        <v>15.75</v>
      </c>
      <c r="D1589" s="116">
        <v>15.75</v>
      </c>
      <c r="E1589" s="116">
        <v>15.75</v>
      </c>
      <c r="F1589" s="116">
        <v>15.75</v>
      </c>
      <c r="G1589">
        <v>800705</v>
      </c>
      <c r="H1589" s="116"/>
      <c r="I1589" s="116"/>
      <c r="L1589" s="170">
        <v>44347</v>
      </c>
      <c r="M1589" s="116">
        <v>15.6</v>
      </c>
      <c r="N1589" s="116">
        <v>15.6</v>
      </c>
      <c r="O1589" s="116">
        <v>15.6</v>
      </c>
      <c r="P1589" s="116">
        <v>15.6</v>
      </c>
      <c r="Q1589" s="116">
        <v>15.6</v>
      </c>
      <c r="R1589">
        <v>743782</v>
      </c>
    </row>
    <row r="1590" spans="1:18" x14ac:dyDescent="0.25">
      <c r="A1590" s="170">
        <v>44348</v>
      </c>
      <c r="B1590" s="116">
        <v>16.5</v>
      </c>
      <c r="C1590" s="116">
        <v>16.5</v>
      </c>
      <c r="D1590" s="116">
        <v>16.5</v>
      </c>
      <c r="E1590" s="116">
        <v>16.5</v>
      </c>
      <c r="F1590" s="116">
        <v>16.5</v>
      </c>
      <c r="G1590">
        <v>633067</v>
      </c>
      <c r="H1590" s="116"/>
      <c r="I1590" s="116"/>
      <c r="L1590" s="170">
        <v>44348</v>
      </c>
      <c r="M1590" s="116">
        <v>16.350000000000001</v>
      </c>
      <c r="N1590" s="116">
        <v>16.350000000000001</v>
      </c>
      <c r="O1590" s="116">
        <v>16.350000000000001</v>
      </c>
      <c r="P1590" s="116">
        <v>16.350000000000001</v>
      </c>
      <c r="Q1590" s="116">
        <v>16.350000000000001</v>
      </c>
      <c r="R1590">
        <v>555878</v>
      </c>
    </row>
    <row r="1591" spans="1:18" x14ac:dyDescent="0.25">
      <c r="A1591" s="170">
        <v>44349</v>
      </c>
      <c r="B1591" s="116">
        <v>17.3</v>
      </c>
      <c r="C1591" s="116">
        <v>17.3</v>
      </c>
      <c r="D1591" s="116">
        <v>16.75</v>
      </c>
      <c r="E1591" s="116">
        <v>16.95</v>
      </c>
      <c r="F1591" s="116">
        <v>17.3</v>
      </c>
      <c r="G1591">
        <v>6102324</v>
      </c>
      <c r="H1591" s="116"/>
      <c r="I1591" s="116"/>
      <c r="L1591" s="170">
        <v>44349</v>
      </c>
      <c r="M1591" s="116">
        <v>17.149999999999999</v>
      </c>
      <c r="N1591" s="116">
        <v>17.149999999999999</v>
      </c>
      <c r="O1591" s="116">
        <v>16.7</v>
      </c>
      <c r="P1591" s="116">
        <v>17.149999999999999</v>
      </c>
      <c r="Q1591" s="116">
        <v>17.149999999999999</v>
      </c>
      <c r="R1591">
        <v>13056089</v>
      </c>
    </row>
    <row r="1592" spans="1:18" x14ac:dyDescent="0.25">
      <c r="A1592" s="170">
        <v>44350</v>
      </c>
      <c r="B1592" s="116">
        <v>18.149999999999999</v>
      </c>
      <c r="C1592" s="116">
        <v>18.149999999999999</v>
      </c>
      <c r="D1592" s="116">
        <v>18.149999999999999</v>
      </c>
      <c r="E1592" s="116">
        <v>18.149999999999999</v>
      </c>
      <c r="F1592" s="116">
        <v>18.149999999999999</v>
      </c>
      <c r="G1592">
        <v>726380</v>
      </c>
      <c r="H1592" s="116"/>
      <c r="I1592" s="116"/>
      <c r="L1592" s="170">
        <v>44350</v>
      </c>
      <c r="M1592" s="116">
        <v>18</v>
      </c>
      <c r="N1592" s="116">
        <v>18</v>
      </c>
      <c r="O1592" s="116">
        <v>18</v>
      </c>
      <c r="P1592" s="116">
        <v>18</v>
      </c>
      <c r="Q1592" s="116">
        <v>18</v>
      </c>
      <c r="R1592">
        <v>526847</v>
      </c>
    </row>
    <row r="1593" spans="1:18" x14ac:dyDescent="0.25">
      <c r="A1593" s="170">
        <v>44351</v>
      </c>
      <c r="B1593" s="116">
        <v>19.05</v>
      </c>
      <c r="C1593" s="116">
        <v>19.05</v>
      </c>
      <c r="D1593" s="116">
        <v>19.05</v>
      </c>
      <c r="E1593" s="116">
        <v>19.05</v>
      </c>
      <c r="F1593" s="116">
        <v>19.05</v>
      </c>
      <c r="G1593">
        <v>1096905</v>
      </c>
      <c r="H1593" s="116"/>
      <c r="I1593" s="116"/>
      <c r="L1593" s="170">
        <v>44351</v>
      </c>
      <c r="M1593" s="116">
        <v>18.899999999999999</v>
      </c>
      <c r="N1593" s="116">
        <v>18.899999999999999</v>
      </c>
      <c r="O1593" s="116">
        <v>18.899999999999999</v>
      </c>
      <c r="P1593" s="116">
        <v>18.899999999999999</v>
      </c>
      <c r="Q1593" s="116">
        <v>18.899999999999999</v>
      </c>
      <c r="R1593">
        <v>633292</v>
      </c>
    </row>
    <row r="1594" spans="1:18" x14ac:dyDescent="0.25">
      <c r="A1594" s="170">
        <v>44354</v>
      </c>
      <c r="B1594" s="116">
        <v>20</v>
      </c>
      <c r="C1594" s="116">
        <v>20</v>
      </c>
      <c r="D1594" s="116">
        <v>20</v>
      </c>
      <c r="E1594" s="116">
        <v>20</v>
      </c>
      <c r="F1594" s="116">
        <v>20</v>
      </c>
      <c r="G1594">
        <v>844260</v>
      </c>
      <c r="H1594" s="116"/>
      <c r="I1594" s="116"/>
      <c r="L1594" s="170">
        <v>44354</v>
      </c>
      <c r="M1594" s="116">
        <v>19.8</v>
      </c>
      <c r="N1594" s="116">
        <v>19.8</v>
      </c>
      <c r="O1594" s="116">
        <v>19.8</v>
      </c>
      <c r="P1594" s="116">
        <v>19.8</v>
      </c>
      <c r="Q1594" s="116">
        <v>19.8</v>
      </c>
      <c r="R1594">
        <v>480509</v>
      </c>
    </row>
    <row r="1595" spans="1:18" x14ac:dyDescent="0.25">
      <c r="A1595" s="170">
        <v>44355</v>
      </c>
      <c r="B1595" s="116">
        <v>21</v>
      </c>
      <c r="C1595" s="116">
        <v>21</v>
      </c>
      <c r="D1595" s="116">
        <v>21</v>
      </c>
      <c r="E1595" s="116">
        <v>21</v>
      </c>
      <c r="F1595" s="116">
        <v>21</v>
      </c>
      <c r="G1595">
        <v>1140490</v>
      </c>
      <c r="H1595" s="116"/>
      <c r="I1595" s="116"/>
      <c r="L1595" s="170">
        <v>44355</v>
      </c>
      <c r="M1595" s="116">
        <v>20.75</v>
      </c>
      <c r="N1595" s="116">
        <v>20.75</v>
      </c>
      <c r="O1595" s="116">
        <v>20.75</v>
      </c>
      <c r="P1595" s="116">
        <v>20.75</v>
      </c>
      <c r="Q1595" s="116">
        <v>20.75</v>
      </c>
      <c r="R1595">
        <v>774599</v>
      </c>
    </row>
    <row r="1596" spans="1:18" x14ac:dyDescent="0.25">
      <c r="A1596" s="170">
        <v>44356</v>
      </c>
      <c r="B1596" s="116">
        <v>22.05</v>
      </c>
      <c r="C1596" s="116">
        <v>22.05</v>
      </c>
      <c r="D1596" s="116">
        <v>19.95</v>
      </c>
      <c r="E1596" s="116">
        <v>22.05</v>
      </c>
      <c r="F1596" s="116">
        <v>22.05</v>
      </c>
      <c r="G1596">
        <v>13749600</v>
      </c>
      <c r="H1596" s="116"/>
      <c r="I1596" s="116"/>
      <c r="L1596" s="170">
        <v>44356</v>
      </c>
      <c r="M1596" s="116">
        <v>21.75</v>
      </c>
      <c r="N1596" s="116">
        <v>21.75</v>
      </c>
      <c r="O1596" s="116">
        <v>19.75</v>
      </c>
      <c r="P1596" s="116">
        <v>21.75</v>
      </c>
      <c r="Q1596" s="116">
        <v>21.75</v>
      </c>
      <c r="R1596">
        <v>11834785</v>
      </c>
    </row>
    <row r="1597" spans="1:18" x14ac:dyDescent="0.25">
      <c r="A1597" s="170">
        <v>44357</v>
      </c>
      <c r="B1597" s="116">
        <v>23.15</v>
      </c>
      <c r="C1597" s="116">
        <v>23.15</v>
      </c>
      <c r="D1597" s="116">
        <v>21.1</v>
      </c>
      <c r="E1597" s="116">
        <v>22.5</v>
      </c>
      <c r="F1597" s="116">
        <v>23.15</v>
      </c>
      <c r="G1597">
        <v>3924776</v>
      </c>
      <c r="H1597" s="116"/>
      <c r="I1597" s="116"/>
      <c r="L1597" s="170">
        <v>44357</v>
      </c>
      <c r="M1597" s="116">
        <v>22.8</v>
      </c>
      <c r="N1597" s="116">
        <v>22.8</v>
      </c>
      <c r="O1597" s="116">
        <v>21.35</v>
      </c>
      <c r="P1597" s="116">
        <v>21.75</v>
      </c>
      <c r="Q1597" s="116">
        <v>22.8</v>
      </c>
      <c r="R1597">
        <v>3387707</v>
      </c>
    </row>
    <row r="1598" spans="1:18" x14ac:dyDescent="0.25">
      <c r="A1598" s="170">
        <v>44358</v>
      </c>
      <c r="B1598" s="116">
        <v>24.3</v>
      </c>
      <c r="C1598" s="116">
        <v>24.3</v>
      </c>
      <c r="D1598" s="116">
        <v>23.9</v>
      </c>
      <c r="E1598" s="116">
        <v>24.3</v>
      </c>
      <c r="F1598" s="116">
        <v>24.3</v>
      </c>
      <c r="G1598">
        <v>3626995</v>
      </c>
      <c r="H1598" s="116"/>
      <c r="I1598" s="116"/>
      <c r="L1598" s="170">
        <v>44358</v>
      </c>
      <c r="M1598" s="116">
        <v>23.9</v>
      </c>
      <c r="N1598" s="116">
        <v>23.9</v>
      </c>
      <c r="O1598" s="116">
        <v>23.9</v>
      </c>
      <c r="P1598" s="116">
        <v>23.9</v>
      </c>
      <c r="Q1598" s="116">
        <v>23.9</v>
      </c>
      <c r="R1598">
        <v>1518040</v>
      </c>
    </row>
    <row r="1599" spans="1:18" x14ac:dyDescent="0.25">
      <c r="A1599" s="170">
        <v>44361</v>
      </c>
      <c r="B1599" s="116">
        <v>25.5</v>
      </c>
      <c r="C1599" s="116">
        <v>25.5</v>
      </c>
      <c r="D1599" s="116">
        <v>24.55</v>
      </c>
      <c r="E1599" s="116">
        <v>25.5</v>
      </c>
      <c r="F1599" s="116">
        <v>25.5</v>
      </c>
      <c r="G1599">
        <v>3907858</v>
      </c>
      <c r="H1599" s="116"/>
      <c r="I1599" s="116"/>
      <c r="L1599" s="170">
        <v>44361</v>
      </c>
      <c r="M1599" s="116">
        <v>25.05</v>
      </c>
      <c r="N1599" s="116">
        <v>25.05</v>
      </c>
      <c r="O1599" s="116">
        <v>25.05</v>
      </c>
      <c r="P1599" s="116">
        <v>25.05</v>
      </c>
      <c r="Q1599" s="116">
        <v>25.05</v>
      </c>
      <c r="R1599">
        <v>1251937</v>
      </c>
    </row>
    <row r="1600" spans="1:18" x14ac:dyDescent="0.25">
      <c r="A1600" s="170">
        <v>44362</v>
      </c>
      <c r="B1600" s="116">
        <v>26.75</v>
      </c>
      <c r="C1600" s="116">
        <v>26.75</v>
      </c>
      <c r="D1600" s="116">
        <v>26.75</v>
      </c>
      <c r="E1600" s="116">
        <v>26.75</v>
      </c>
      <c r="F1600" s="116">
        <v>26.75</v>
      </c>
      <c r="G1600">
        <v>918668</v>
      </c>
      <c r="H1600" s="116"/>
      <c r="I1600" s="116"/>
      <c r="L1600" s="170">
        <v>44362</v>
      </c>
      <c r="M1600" s="116">
        <v>26.3</v>
      </c>
      <c r="N1600" s="116">
        <v>26.3</v>
      </c>
      <c r="O1600" s="116">
        <v>26.3</v>
      </c>
      <c r="P1600" s="116">
        <v>26.3</v>
      </c>
      <c r="Q1600" s="116">
        <v>26.3</v>
      </c>
      <c r="R1600">
        <v>426487</v>
      </c>
    </row>
    <row r="1601" spans="1:18" x14ac:dyDescent="0.25">
      <c r="A1601" s="170">
        <v>44363</v>
      </c>
      <c r="B1601" s="116">
        <v>28.05</v>
      </c>
      <c r="C1601" s="116">
        <v>28.05</v>
      </c>
      <c r="D1601" s="116">
        <v>27.65</v>
      </c>
      <c r="E1601" s="116">
        <v>28.05</v>
      </c>
      <c r="F1601" s="116">
        <v>28.05</v>
      </c>
      <c r="G1601">
        <v>4295813</v>
      </c>
      <c r="H1601" s="116"/>
      <c r="I1601" s="116"/>
      <c r="L1601" s="170">
        <v>44363</v>
      </c>
      <c r="M1601" s="116">
        <v>27.6</v>
      </c>
      <c r="N1601" s="116">
        <v>27.6</v>
      </c>
      <c r="O1601" s="116">
        <v>27.6</v>
      </c>
      <c r="P1601" s="116">
        <v>27.6</v>
      </c>
      <c r="Q1601" s="116">
        <v>27.6</v>
      </c>
      <c r="R1601">
        <v>546305</v>
      </c>
    </row>
    <row r="1602" spans="1:18" x14ac:dyDescent="0.25">
      <c r="A1602" s="170">
        <v>44364</v>
      </c>
      <c r="B1602" s="116">
        <v>29.45</v>
      </c>
      <c r="C1602" s="116">
        <v>29.45</v>
      </c>
      <c r="D1602" s="116">
        <v>28.2</v>
      </c>
      <c r="E1602" s="116">
        <v>29.45</v>
      </c>
      <c r="F1602" s="116">
        <v>29.45</v>
      </c>
      <c r="G1602">
        <v>2431517</v>
      </c>
      <c r="H1602" s="116"/>
      <c r="I1602" s="116"/>
      <c r="L1602" s="170">
        <v>44364</v>
      </c>
      <c r="M1602" s="116">
        <v>28.95</v>
      </c>
      <c r="N1602" s="116">
        <v>28.95</v>
      </c>
      <c r="O1602" s="116">
        <v>27.9</v>
      </c>
      <c r="P1602" s="116">
        <v>28.95</v>
      </c>
      <c r="Q1602" s="116">
        <v>28.95</v>
      </c>
      <c r="R1602">
        <v>1979617</v>
      </c>
    </row>
    <row r="1603" spans="1:18" x14ac:dyDescent="0.25">
      <c r="A1603" s="170">
        <v>44365</v>
      </c>
      <c r="B1603" s="116">
        <v>30.9</v>
      </c>
      <c r="C1603" s="116">
        <v>30.9</v>
      </c>
      <c r="D1603" s="116">
        <v>28</v>
      </c>
      <c r="E1603" s="116">
        <v>30.9</v>
      </c>
      <c r="F1603" s="116">
        <v>30.9</v>
      </c>
      <c r="G1603">
        <v>8792028</v>
      </c>
      <c r="H1603" s="116"/>
      <c r="I1603" s="116"/>
      <c r="L1603" s="170">
        <v>44365</v>
      </c>
      <c r="M1603" s="116">
        <v>30.35</v>
      </c>
      <c r="N1603" s="116">
        <v>30.35</v>
      </c>
      <c r="O1603" s="116">
        <v>27.55</v>
      </c>
      <c r="P1603" s="116">
        <v>30.35</v>
      </c>
      <c r="Q1603" s="116">
        <v>30.35</v>
      </c>
      <c r="R1603">
        <v>8575878</v>
      </c>
    </row>
    <row r="1604" spans="1:18" x14ac:dyDescent="0.25">
      <c r="A1604" s="170">
        <v>44368</v>
      </c>
      <c r="B1604" s="116">
        <v>32.4</v>
      </c>
      <c r="C1604" s="116">
        <v>32.4</v>
      </c>
      <c r="D1604" s="116">
        <v>29.4</v>
      </c>
      <c r="E1604" s="116">
        <v>31.7</v>
      </c>
      <c r="F1604" s="116">
        <v>32.4</v>
      </c>
      <c r="G1604">
        <v>3258839</v>
      </c>
      <c r="H1604" s="116"/>
      <c r="I1604" s="116"/>
      <c r="L1604" s="170">
        <v>44368</v>
      </c>
      <c r="M1604" s="116">
        <v>31.85</v>
      </c>
      <c r="N1604" s="116">
        <v>31.85</v>
      </c>
      <c r="O1604" s="116">
        <v>30</v>
      </c>
      <c r="P1604" s="116">
        <v>31</v>
      </c>
      <c r="Q1604" s="116">
        <v>31.85</v>
      </c>
      <c r="R1604">
        <v>2422726</v>
      </c>
    </row>
    <row r="1605" spans="1:18" x14ac:dyDescent="0.25">
      <c r="A1605" s="170">
        <v>44369</v>
      </c>
      <c r="B1605" s="116">
        <v>34</v>
      </c>
      <c r="C1605" s="116">
        <v>34</v>
      </c>
      <c r="D1605" s="116">
        <v>34</v>
      </c>
      <c r="E1605" s="116">
        <v>34</v>
      </c>
      <c r="F1605" s="116">
        <v>34</v>
      </c>
      <c r="G1605">
        <v>1290330</v>
      </c>
      <c r="H1605" s="116"/>
      <c r="I1605" s="116"/>
      <c r="L1605" s="170">
        <v>44369</v>
      </c>
      <c r="M1605" s="116">
        <v>33.4</v>
      </c>
      <c r="N1605" s="116">
        <v>33.4</v>
      </c>
      <c r="O1605" s="116">
        <v>33.4</v>
      </c>
      <c r="P1605" s="116">
        <v>33.4</v>
      </c>
      <c r="Q1605" s="116">
        <v>33.4</v>
      </c>
      <c r="R1605">
        <v>352579</v>
      </c>
    </row>
    <row r="1606" spans="1:18" x14ac:dyDescent="0.25">
      <c r="A1606" s="170">
        <v>44370</v>
      </c>
      <c r="B1606" s="116">
        <v>35.700000000000003</v>
      </c>
      <c r="C1606" s="116">
        <v>35.700000000000003</v>
      </c>
      <c r="D1606" s="116">
        <v>35</v>
      </c>
      <c r="E1606" s="116">
        <v>35.700000000000003</v>
      </c>
      <c r="F1606" s="116">
        <v>35.700000000000003</v>
      </c>
      <c r="G1606">
        <v>3670150</v>
      </c>
      <c r="H1606" s="116"/>
      <c r="I1606" s="116"/>
      <c r="L1606" s="170">
        <v>44370</v>
      </c>
      <c r="M1606" s="116">
        <v>35.049999999999997</v>
      </c>
      <c r="N1606" s="116">
        <v>35.049999999999997</v>
      </c>
      <c r="O1606" s="116">
        <v>35.049999999999997</v>
      </c>
      <c r="P1606" s="116">
        <v>35.049999999999997</v>
      </c>
      <c r="Q1606" s="116">
        <v>35.049999999999997</v>
      </c>
      <c r="R1606">
        <v>496118</v>
      </c>
    </row>
    <row r="1607" spans="1:18" x14ac:dyDescent="0.25">
      <c r="A1607" s="170">
        <v>44371</v>
      </c>
      <c r="B1607" s="116">
        <v>37.450000000000003</v>
      </c>
      <c r="C1607" s="116">
        <v>37.450000000000003</v>
      </c>
      <c r="D1607" s="116">
        <v>37.450000000000003</v>
      </c>
      <c r="E1607" s="116">
        <v>37.450000000000003</v>
      </c>
      <c r="F1607" s="116">
        <v>37.450000000000003</v>
      </c>
      <c r="G1607">
        <v>2788010</v>
      </c>
      <c r="H1607" s="116"/>
      <c r="I1607" s="116"/>
      <c r="L1607" s="170">
        <v>44371</v>
      </c>
      <c r="M1607" s="116">
        <v>36.799999999999997</v>
      </c>
      <c r="N1607" s="116">
        <v>36.799999999999997</v>
      </c>
      <c r="O1607" s="116">
        <v>36.799999999999997</v>
      </c>
      <c r="P1607" s="116">
        <v>36.799999999999997</v>
      </c>
      <c r="Q1607" s="116">
        <v>36.799999999999997</v>
      </c>
      <c r="R1607">
        <v>521293</v>
      </c>
    </row>
    <row r="1608" spans="1:18" x14ac:dyDescent="0.25">
      <c r="A1608" s="170">
        <v>44372</v>
      </c>
      <c r="B1608" s="116">
        <v>39.299999999999997</v>
      </c>
      <c r="C1608" s="116">
        <v>39.25</v>
      </c>
      <c r="D1608" s="116">
        <v>35.6</v>
      </c>
      <c r="E1608" s="116">
        <v>39.299999999999997</v>
      </c>
      <c r="F1608" s="116">
        <v>39.25</v>
      </c>
      <c r="G1608">
        <v>13158195</v>
      </c>
      <c r="H1608" s="116"/>
      <c r="I1608" s="116"/>
      <c r="L1608" s="170">
        <v>44372</v>
      </c>
      <c r="M1608" s="116">
        <v>38.6</v>
      </c>
      <c r="N1608" s="116">
        <v>38.6</v>
      </c>
      <c r="O1608" s="116">
        <v>35</v>
      </c>
      <c r="P1608" s="116">
        <v>38.6</v>
      </c>
      <c r="Q1608" s="116">
        <v>38.6</v>
      </c>
      <c r="R1608">
        <v>13263814</v>
      </c>
    </row>
    <row r="1609" spans="1:18" x14ac:dyDescent="0.25">
      <c r="A1609" s="170">
        <v>44375</v>
      </c>
      <c r="B1609" s="116">
        <v>41.2</v>
      </c>
      <c r="C1609" s="116">
        <v>41.2</v>
      </c>
      <c r="D1609" s="116">
        <v>40</v>
      </c>
      <c r="E1609" s="116">
        <v>41.2</v>
      </c>
      <c r="F1609" s="116">
        <v>41.2</v>
      </c>
      <c r="G1609">
        <v>4920456</v>
      </c>
      <c r="H1609" s="116"/>
      <c r="I1609" s="116"/>
      <c r="L1609" s="170">
        <v>44375</v>
      </c>
      <c r="M1609" s="116">
        <v>40.5</v>
      </c>
      <c r="N1609" s="116">
        <v>40.5</v>
      </c>
      <c r="O1609" s="116">
        <v>40.5</v>
      </c>
      <c r="P1609" s="116">
        <v>40.5</v>
      </c>
      <c r="Q1609" s="116">
        <v>40.5</v>
      </c>
      <c r="R1609">
        <v>910231</v>
      </c>
    </row>
    <row r="1610" spans="1:18" x14ac:dyDescent="0.25">
      <c r="A1610" s="170">
        <v>44376</v>
      </c>
      <c r="B1610" s="116">
        <v>43.25</v>
      </c>
      <c r="C1610" s="116">
        <v>43.25</v>
      </c>
      <c r="D1610" s="116">
        <v>43.25</v>
      </c>
      <c r="E1610" s="116">
        <v>43.25</v>
      </c>
      <c r="F1610" s="116">
        <v>43.25</v>
      </c>
      <c r="G1610">
        <v>1275124</v>
      </c>
      <c r="H1610" s="116"/>
      <c r="I1610" s="116"/>
      <c r="L1610" s="170">
        <v>44376</v>
      </c>
      <c r="M1610" s="116">
        <v>42.5</v>
      </c>
      <c r="N1610" s="116">
        <v>42.5</v>
      </c>
      <c r="O1610" s="116">
        <v>42.5</v>
      </c>
      <c r="P1610" s="116">
        <v>42.5</v>
      </c>
      <c r="Q1610" s="116">
        <v>42.5</v>
      </c>
      <c r="R1610">
        <v>364688</v>
      </c>
    </row>
    <row r="1611" spans="1:18" x14ac:dyDescent="0.25">
      <c r="A1611" s="170">
        <v>44377</v>
      </c>
      <c r="B1611" s="116">
        <v>45.4</v>
      </c>
      <c r="C1611" s="116">
        <v>45.4</v>
      </c>
      <c r="D1611" s="116">
        <v>45.4</v>
      </c>
      <c r="E1611" s="116">
        <v>45.4</v>
      </c>
      <c r="F1611" s="116">
        <v>45.4</v>
      </c>
      <c r="G1611">
        <v>1472326</v>
      </c>
      <c r="H1611" s="116"/>
      <c r="I1611" s="116"/>
      <c r="L1611" s="170">
        <v>44377</v>
      </c>
      <c r="M1611" s="116">
        <v>44.6</v>
      </c>
      <c r="N1611" s="116">
        <v>44.6</v>
      </c>
      <c r="O1611" s="116">
        <v>44.6</v>
      </c>
      <c r="P1611" s="116">
        <v>44.6</v>
      </c>
      <c r="Q1611" s="116">
        <v>44.6</v>
      </c>
      <c r="R1611">
        <v>482232</v>
      </c>
    </row>
    <row r="1612" spans="1:18" x14ac:dyDescent="0.25">
      <c r="A1612" s="170">
        <v>44378</v>
      </c>
      <c r="B1612" s="116">
        <v>47.65</v>
      </c>
      <c r="C1612" s="116">
        <v>47.65</v>
      </c>
      <c r="D1612" s="116">
        <v>45.5</v>
      </c>
      <c r="E1612" s="116">
        <v>47.65</v>
      </c>
      <c r="F1612" s="116">
        <v>47.65</v>
      </c>
      <c r="G1612">
        <v>4219567</v>
      </c>
      <c r="H1612" s="116"/>
      <c r="I1612" s="116"/>
      <c r="L1612" s="170">
        <v>44378</v>
      </c>
      <c r="M1612" s="116">
        <v>46.8</v>
      </c>
      <c r="N1612" s="116">
        <v>46.8</v>
      </c>
      <c r="O1612" s="116">
        <v>46.8</v>
      </c>
      <c r="P1612" s="116">
        <v>46.8</v>
      </c>
      <c r="Q1612" s="116">
        <v>46.8</v>
      </c>
      <c r="R1612">
        <v>3548458</v>
      </c>
    </row>
    <row r="1613" spans="1:18" x14ac:dyDescent="0.25">
      <c r="A1613" s="170">
        <v>44379</v>
      </c>
      <c r="B1613" s="116">
        <v>50</v>
      </c>
      <c r="C1613" s="116">
        <v>50</v>
      </c>
      <c r="D1613" s="116">
        <v>50</v>
      </c>
      <c r="E1613" s="116">
        <v>50</v>
      </c>
      <c r="F1613" s="116">
        <v>50</v>
      </c>
      <c r="G1613">
        <v>1971879</v>
      </c>
      <c r="H1613" s="116"/>
      <c r="I1613" s="116"/>
      <c r="L1613" s="170">
        <v>44379</v>
      </c>
      <c r="M1613" s="116">
        <v>49.1</v>
      </c>
      <c r="N1613" s="116">
        <v>49.1</v>
      </c>
      <c r="O1613" s="116">
        <v>49.1</v>
      </c>
      <c r="P1613" s="116">
        <v>49.1</v>
      </c>
      <c r="Q1613" s="116">
        <v>49.1</v>
      </c>
      <c r="R1613">
        <v>484364</v>
      </c>
    </row>
    <row r="1614" spans="1:18" x14ac:dyDescent="0.25">
      <c r="A1614" s="170">
        <v>44382</v>
      </c>
      <c r="B1614" s="116">
        <v>52.5</v>
      </c>
      <c r="C1614" s="116">
        <v>52.5</v>
      </c>
      <c r="D1614" s="116">
        <v>52.5</v>
      </c>
      <c r="E1614" s="116">
        <v>52.5</v>
      </c>
      <c r="F1614" s="116">
        <v>52.5</v>
      </c>
      <c r="G1614">
        <v>892093</v>
      </c>
      <c r="H1614" s="116"/>
      <c r="I1614" s="116"/>
      <c r="L1614" s="170">
        <v>44382</v>
      </c>
      <c r="M1614" s="116">
        <v>51.55</v>
      </c>
      <c r="N1614" s="116">
        <v>51.55</v>
      </c>
      <c r="O1614" s="116">
        <v>51.55</v>
      </c>
      <c r="P1614" s="116">
        <v>51.55</v>
      </c>
      <c r="Q1614" s="116">
        <v>51.55</v>
      </c>
      <c r="R1614">
        <v>353090</v>
      </c>
    </row>
    <row r="1615" spans="1:18" x14ac:dyDescent="0.25">
      <c r="A1615" s="170">
        <v>44383</v>
      </c>
      <c r="B1615" s="116">
        <v>55.1</v>
      </c>
      <c r="C1615" s="116">
        <v>54.65</v>
      </c>
      <c r="D1615" s="116">
        <v>50.1</v>
      </c>
      <c r="E1615" s="116">
        <v>55.1</v>
      </c>
      <c r="F1615" s="116">
        <v>54.65</v>
      </c>
      <c r="G1615">
        <v>6281672</v>
      </c>
      <c r="H1615" s="116"/>
      <c r="I1615" s="116"/>
      <c r="L1615" s="170">
        <v>44383</v>
      </c>
      <c r="M1615" s="116">
        <v>54.1</v>
      </c>
      <c r="N1615" s="116">
        <v>54.1</v>
      </c>
      <c r="O1615" s="116">
        <v>54.1</v>
      </c>
      <c r="P1615" s="116">
        <v>54.1</v>
      </c>
      <c r="Q1615" s="116">
        <v>54.1</v>
      </c>
      <c r="R1615">
        <v>3232901</v>
      </c>
    </row>
    <row r="1616" spans="1:18" x14ac:dyDescent="0.25">
      <c r="A1616" s="170">
        <v>44384</v>
      </c>
      <c r="B1616" s="116">
        <v>53</v>
      </c>
      <c r="C1616" s="116">
        <v>51.95</v>
      </c>
      <c r="D1616" s="116">
        <v>51.95</v>
      </c>
      <c r="E1616" s="116">
        <v>53</v>
      </c>
      <c r="F1616" s="116">
        <v>51.95</v>
      </c>
      <c r="G1616">
        <v>1101797</v>
      </c>
      <c r="H1616" s="116"/>
      <c r="I1616" s="116"/>
      <c r="L1616" s="170">
        <v>44384</v>
      </c>
      <c r="M1616" s="116">
        <v>51.4</v>
      </c>
      <c r="N1616" s="116">
        <v>53</v>
      </c>
      <c r="O1616" s="116">
        <v>51.4</v>
      </c>
      <c r="P1616" s="116">
        <v>53</v>
      </c>
      <c r="Q1616" s="116">
        <v>51.4</v>
      </c>
      <c r="R1616">
        <v>4108471</v>
      </c>
    </row>
    <row r="1617" spans="1:18" x14ac:dyDescent="0.25">
      <c r="A1617" s="170">
        <v>44385</v>
      </c>
      <c r="B1617" s="116">
        <v>49.4</v>
      </c>
      <c r="C1617" s="116">
        <v>49.4</v>
      </c>
      <c r="D1617" s="116">
        <v>49.4</v>
      </c>
      <c r="E1617" s="116">
        <v>49.4</v>
      </c>
      <c r="F1617" s="116">
        <v>49.4</v>
      </c>
      <c r="G1617">
        <v>163591</v>
      </c>
      <c r="H1617" s="116"/>
      <c r="I1617" s="116"/>
      <c r="L1617" s="170">
        <v>44385</v>
      </c>
      <c r="M1617" s="116">
        <v>48.85</v>
      </c>
      <c r="N1617" s="116">
        <v>48.85</v>
      </c>
      <c r="O1617" s="116">
        <v>48.85</v>
      </c>
      <c r="P1617" s="116">
        <v>48.85</v>
      </c>
      <c r="Q1617" s="116">
        <v>48.85</v>
      </c>
      <c r="R1617">
        <v>753706</v>
      </c>
    </row>
    <row r="1618" spans="1:18" x14ac:dyDescent="0.25">
      <c r="A1618" s="170">
        <v>44386</v>
      </c>
      <c r="B1618" s="116">
        <v>46.95</v>
      </c>
      <c r="C1618" s="116">
        <v>46.95</v>
      </c>
      <c r="D1618" s="116">
        <v>46.95</v>
      </c>
      <c r="E1618" s="116">
        <v>46.95</v>
      </c>
      <c r="F1618" s="116">
        <v>46.95</v>
      </c>
      <c r="G1618">
        <v>135969</v>
      </c>
      <c r="H1618" s="116"/>
      <c r="I1618" s="116"/>
      <c r="L1618" s="170">
        <v>44386</v>
      </c>
      <c r="M1618" s="116">
        <v>46.45</v>
      </c>
      <c r="N1618" s="116">
        <v>46.45</v>
      </c>
      <c r="O1618" s="116">
        <v>46.45</v>
      </c>
      <c r="P1618" s="116">
        <v>46.45</v>
      </c>
      <c r="Q1618" s="116">
        <v>46.45</v>
      </c>
      <c r="R1618">
        <v>545525</v>
      </c>
    </row>
    <row r="1619" spans="1:18" x14ac:dyDescent="0.25">
      <c r="A1619" s="170">
        <v>44389</v>
      </c>
      <c r="B1619" s="116">
        <v>44.65</v>
      </c>
      <c r="C1619" s="116">
        <v>44.65</v>
      </c>
      <c r="D1619" s="116">
        <v>44.65</v>
      </c>
      <c r="E1619" s="116">
        <v>44.65</v>
      </c>
      <c r="F1619" s="116">
        <v>44.65</v>
      </c>
      <c r="G1619">
        <v>252765</v>
      </c>
      <c r="H1619" s="116"/>
      <c r="I1619" s="116"/>
      <c r="L1619" s="170">
        <v>44389</v>
      </c>
      <c r="M1619" s="116">
        <v>44.15</v>
      </c>
      <c r="N1619" s="116">
        <v>44.15</v>
      </c>
      <c r="O1619" s="116">
        <v>44.15</v>
      </c>
      <c r="P1619" s="116">
        <v>44.15</v>
      </c>
      <c r="Q1619" s="116">
        <v>44.15</v>
      </c>
      <c r="R1619">
        <v>1279003</v>
      </c>
    </row>
    <row r="1620" spans="1:18" x14ac:dyDescent="0.25">
      <c r="A1620" s="170">
        <v>44390</v>
      </c>
      <c r="B1620" s="116">
        <v>46.85</v>
      </c>
      <c r="C1620" s="116">
        <v>46.85</v>
      </c>
      <c r="D1620" s="116">
        <v>43.3</v>
      </c>
      <c r="E1620" s="116">
        <v>45</v>
      </c>
      <c r="F1620" s="116">
        <v>46.85</v>
      </c>
      <c r="G1620">
        <v>7268128</v>
      </c>
      <c r="H1620" s="116"/>
      <c r="I1620" s="116"/>
      <c r="L1620" s="170">
        <v>44390</v>
      </c>
      <c r="M1620" s="116">
        <v>46.35</v>
      </c>
      <c r="N1620" s="116">
        <v>46.35</v>
      </c>
      <c r="O1620" s="116">
        <v>45</v>
      </c>
      <c r="P1620" s="116">
        <v>45</v>
      </c>
      <c r="Q1620" s="116">
        <v>46.35</v>
      </c>
      <c r="R1620">
        <v>7365784</v>
      </c>
    </row>
    <row r="1621" spans="1:18" x14ac:dyDescent="0.25">
      <c r="A1621" s="170">
        <v>44391</v>
      </c>
      <c r="B1621" s="116">
        <v>46.85</v>
      </c>
      <c r="C1621" s="116">
        <v>44.55</v>
      </c>
      <c r="D1621" s="116">
        <v>44.55</v>
      </c>
      <c r="E1621" s="116">
        <v>45.7</v>
      </c>
      <c r="F1621" s="116">
        <v>44.55</v>
      </c>
      <c r="G1621">
        <v>3986310</v>
      </c>
      <c r="H1621" s="116"/>
      <c r="I1621" s="116"/>
      <c r="L1621" s="170">
        <v>44391</v>
      </c>
      <c r="M1621" s="116">
        <v>44.05</v>
      </c>
      <c r="N1621" s="116">
        <v>46.9</v>
      </c>
      <c r="O1621" s="116">
        <v>44.05</v>
      </c>
      <c r="P1621" s="116">
        <v>45.35</v>
      </c>
      <c r="Q1621" s="116">
        <v>44.05</v>
      </c>
      <c r="R1621">
        <v>9107222</v>
      </c>
    </row>
    <row r="1622" spans="1:18" x14ac:dyDescent="0.25">
      <c r="A1622" s="170">
        <v>44392</v>
      </c>
      <c r="B1622" s="116">
        <v>42.35</v>
      </c>
      <c r="C1622" s="116">
        <v>42.35</v>
      </c>
      <c r="D1622" s="116">
        <v>42.35</v>
      </c>
      <c r="E1622" s="116">
        <v>42.35</v>
      </c>
      <c r="F1622" s="116">
        <v>42.35</v>
      </c>
      <c r="G1622">
        <v>265031</v>
      </c>
      <c r="H1622" s="116"/>
      <c r="I1622" s="116"/>
      <c r="L1622" s="170">
        <v>44392</v>
      </c>
      <c r="M1622" s="116">
        <v>41.85</v>
      </c>
      <c r="N1622" s="116">
        <v>41.85</v>
      </c>
      <c r="O1622" s="116">
        <v>41.85</v>
      </c>
      <c r="P1622" s="116">
        <v>41.85</v>
      </c>
      <c r="Q1622" s="116">
        <v>41.85</v>
      </c>
      <c r="R1622">
        <v>1242526</v>
      </c>
    </row>
    <row r="1623" spans="1:18" x14ac:dyDescent="0.25">
      <c r="A1623" s="170">
        <v>44393</v>
      </c>
      <c r="B1623" s="116">
        <v>44.45</v>
      </c>
      <c r="C1623" s="116">
        <v>44.3</v>
      </c>
      <c r="D1623" s="116">
        <v>40.25</v>
      </c>
      <c r="E1623" s="116">
        <v>40.25</v>
      </c>
      <c r="F1623" s="116">
        <v>44.3</v>
      </c>
      <c r="G1623">
        <v>4700806</v>
      </c>
      <c r="H1623" s="116"/>
      <c r="I1623" s="116"/>
      <c r="L1623" s="170">
        <v>44393</v>
      </c>
      <c r="M1623" s="116">
        <v>43.9</v>
      </c>
      <c r="N1623" s="116">
        <v>43.9</v>
      </c>
      <c r="O1623" s="116">
        <v>39.799999999999997</v>
      </c>
      <c r="P1623" s="116">
        <v>39.799999999999997</v>
      </c>
      <c r="Q1623" s="116">
        <v>43.9</v>
      </c>
      <c r="R1623">
        <v>9048982</v>
      </c>
    </row>
    <row r="1624" spans="1:18" x14ac:dyDescent="0.25">
      <c r="A1624" s="170">
        <v>44396</v>
      </c>
      <c r="B1624" s="116">
        <v>45.8</v>
      </c>
      <c r="C1624" s="116">
        <v>43.75</v>
      </c>
      <c r="D1624" s="116">
        <v>42.1</v>
      </c>
      <c r="E1624" s="116">
        <v>42.1</v>
      </c>
      <c r="F1624" s="116">
        <v>43.75</v>
      </c>
      <c r="G1624">
        <v>2007387</v>
      </c>
      <c r="H1624" s="116"/>
      <c r="I1624" s="116"/>
      <c r="L1624" s="170">
        <v>44396</v>
      </c>
      <c r="M1624" s="116">
        <v>43.85</v>
      </c>
      <c r="N1624" s="116">
        <v>45.8</v>
      </c>
      <c r="O1624" s="116">
        <v>41.75</v>
      </c>
      <c r="P1624" s="116">
        <v>43.4</v>
      </c>
      <c r="Q1624" s="116">
        <v>43.85</v>
      </c>
      <c r="R1624">
        <v>4135570</v>
      </c>
    </row>
    <row r="1625" spans="1:18" x14ac:dyDescent="0.25">
      <c r="A1625" s="170">
        <v>44397</v>
      </c>
      <c r="B1625" s="116">
        <v>43.4</v>
      </c>
      <c r="C1625" s="116">
        <v>41.65</v>
      </c>
      <c r="D1625" s="116">
        <v>41.6</v>
      </c>
      <c r="E1625" s="116">
        <v>43.35</v>
      </c>
      <c r="F1625" s="116">
        <v>41.65</v>
      </c>
      <c r="G1625">
        <v>1084939</v>
      </c>
      <c r="H1625" s="116"/>
      <c r="I1625" s="116"/>
      <c r="L1625" s="170">
        <v>44397</v>
      </c>
      <c r="M1625" s="116">
        <v>41.75</v>
      </c>
      <c r="N1625" s="116">
        <v>43.8</v>
      </c>
      <c r="O1625" s="116">
        <v>41.7</v>
      </c>
      <c r="P1625" s="116">
        <v>43.4</v>
      </c>
      <c r="Q1625" s="116">
        <v>41.75</v>
      </c>
      <c r="R1625">
        <v>2994723</v>
      </c>
    </row>
    <row r="1626" spans="1:18" x14ac:dyDescent="0.25">
      <c r="A1626" s="170">
        <v>44399</v>
      </c>
      <c r="B1626" s="116">
        <v>42.8</v>
      </c>
      <c r="C1626" s="116">
        <v>39.6</v>
      </c>
      <c r="D1626" s="116">
        <v>39.6</v>
      </c>
      <c r="E1626" s="116">
        <v>41.7</v>
      </c>
      <c r="F1626" s="116">
        <v>39.6</v>
      </c>
      <c r="G1626">
        <v>1367092</v>
      </c>
      <c r="H1626" s="116"/>
      <c r="I1626" s="116"/>
      <c r="L1626" s="170">
        <v>44399</v>
      </c>
      <c r="M1626" s="116">
        <v>39.700000000000003</v>
      </c>
      <c r="N1626" s="116">
        <v>42.9</v>
      </c>
      <c r="O1626" s="116">
        <v>39.700000000000003</v>
      </c>
      <c r="P1626" s="116">
        <v>41.75</v>
      </c>
      <c r="Q1626" s="116">
        <v>39.700000000000003</v>
      </c>
      <c r="R1626">
        <v>5145582</v>
      </c>
    </row>
    <row r="1627" spans="1:18" x14ac:dyDescent="0.25">
      <c r="A1627" s="170">
        <v>44400</v>
      </c>
      <c r="B1627" s="116">
        <v>39.200000000000003</v>
      </c>
      <c r="C1627" s="116">
        <v>37.65</v>
      </c>
      <c r="D1627" s="116">
        <v>37.65</v>
      </c>
      <c r="E1627" s="116">
        <v>37.85</v>
      </c>
      <c r="F1627" s="116">
        <v>37.65</v>
      </c>
      <c r="G1627">
        <v>889774</v>
      </c>
      <c r="H1627" s="116"/>
      <c r="I1627" s="116"/>
      <c r="L1627" s="170">
        <v>44400</v>
      </c>
      <c r="M1627" s="116">
        <v>37.75</v>
      </c>
      <c r="N1627" s="116">
        <v>38.9</v>
      </c>
      <c r="O1627" s="116">
        <v>37.75</v>
      </c>
      <c r="P1627" s="116">
        <v>37.75</v>
      </c>
      <c r="Q1627" s="116">
        <v>37.75</v>
      </c>
      <c r="R1627">
        <v>1574073</v>
      </c>
    </row>
    <row r="1628" spans="1:18" x14ac:dyDescent="0.25">
      <c r="A1628" s="170">
        <v>44403</v>
      </c>
      <c r="B1628" s="116">
        <v>39.5</v>
      </c>
      <c r="C1628" s="116">
        <v>38.25</v>
      </c>
      <c r="D1628" s="116">
        <v>35.799999999999997</v>
      </c>
      <c r="E1628" s="116">
        <v>35.799999999999997</v>
      </c>
      <c r="F1628" s="116">
        <v>38.25</v>
      </c>
      <c r="G1628">
        <v>2287519</v>
      </c>
      <c r="H1628" s="116"/>
      <c r="I1628" s="116"/>
      <c r="L1628" s="170">
        <v>44403</v>
      </c>
      <c r="M1628" s="116">
        <v>38.15</v>
      </c>
      <c r="N1628" s="116">
        <v>39.5</v>
      </c>
      <c r="O1628" s="116">
        <v>35.9</v>
      </c>
      <c r="P1628" s="116">
        <v>35.9</v>
      </c>
      <c r="Q1628" s="116">
        <v>38.15</v>
      </c>
      <c r="R1628">
        <v>6544123</v>
      </c>
    </row>
    <row r="1629" spans="1:18" x14ac:dyDescent="0.25">
      <c r="A1629" s="170">
        <v>44404</v>
      </c>
      <c r="B1629" s="116">
        <v>38.85</v>
      </c>
      <c r="C1629" s="116">
        <v>36.35</v>
      </c>
      <c r="D1629" s="116">
        <v>36.35</v>
      </c>
      <c r="E1629" s="116">
        <v>38.700000000000003</v>
      </c>
      <c r="F1629" s="116">
        <v>36.35</v>
      </c>
      <c r="G1629">
        <v>1130156</v>
      </c>
      <c r="H1629" s="116"/>
      <c r="I1629" s="116"/>
      <c r="L1629" s="170">
        <v>44404</v>
      </c>
      <c r="M1629" s="116">
        <v>36.25</v>
      </c>
      <c r="N1629" s="116">
        <v>38.85</v>
      </c>
      <c r="O1629" s="116">
        <v>36.25</v>
      </c>
      <c r="P1629" s="116">
        <v>38.4</v>
      </c>
      <c r="Q1629" s="116">
        <v>36.25</v>
      </c>
      <c r="R1629">
        <v>3254924</v>
      </c>
    </row>
    <row r="1630" spans="1:18" x14ac:dyDescent="0.25">
      <c r="A1630" s="170">
        <v>44405</v>
      </c>
      <c r="B1630" s="116">
        <v>35.5</v>
      </c>
      <c r="C1630" s="116">
        <v>34.549999999999997</v>
      </c>
      <c r="D1630" s="116">
        <v>34.549999999999997</v>
      </c>
      <c r="E1630" s="116">
        <v>34.549999999999997</v>
      </c>
      <c r="F1630" s="116">
        <v>34.549999999999997</v>
      </c>
      <c r="G1630">
        <v>424816</v>
      </c>
      <c r="H1630" s="116"/>
      <c r="I1630" s="116"/>
      <c r="L1630" s="170">
        <v>44405</v>
      </c>
      <c r="M1630" s="116">
        <v>34.450000000000003</v>
      </c>
      <c r="N1630" s="116">
        <v>35.700000000000003</v>
      </c>
      <c r="O1630" s="116">
        <v>34.450000000000003</v>
      </c>
      <c r="P1630" s="116">
        <v>34.5</v>
      </c>
      <c r="Q1630" s="116">
        <v>34.450000000000003</v>
      </c>
      <c r="R1630">
        <v>1545060</v>
      </c>
    </row>
    <row r="1631" spans="1:18" x14ac:dyDescent="0.25">
      <c r="A1631" s="170">
        <v>44406</v>
      </c>
      <c r="B1631" s="116">
        <v>36.25</v>
      </c>
      <c r="C1631" s="116">
        <v>36.25</v>
      </c>
      <c r="D1631" s="116">
        <v>32.85</v>
      </c>
      <c r="E1631" s="116">
        <v>32.85</v>
      </c>
      <c r="F1631" s="116">
        <v>36.25</v>
      </c>
      <c r="G1631">
        <v>2675887</v>
      </c>
      <c r="H1631" s="116"/>
      <c r="I1631" s="116"/>
      <c r="L1631" s="170">
        <v>44406</v>
      </c>
      <c r="M1631" s="116">
        <v>36.15</v>
      </c>
      <c r="N1631" s="116">
        <v>36.15</v>
      </c>
      <c r="O1631" s="116">
        <v>32.75</v>
      </c>
      <c r="P1631" s="116">
        <v>32.75</v>
      </c>
      <c r="Q1631" s="116">
        <v>36.15</v>
      </c>
      <c r="R1631">
        <v>4268096</v>
      </c>
    </row>
    <row r="1632" spans="1:18" x14ac:dyDescent="0.25">
      <c r="A1632" s="170">
        <v>44407</v>
      </c>
      <c r="B1632" s="116">
        <v>38.049999999999997</v>
      </c>
      <c r="C1632" s="116">
        <v>38.049999999999997</v>
      </c>
      <c r="D1632" s="116">
        <v>38.049999999999997</v>
      </c>
      <c r="E1632" s="116">
        <v>38.049999999999997</v>
      </c>
      <c r="F1632" s="116">
        <v>38.049999999999997</v>
      </c>
      <c r="G1632">
        <v>432229</v>
      </c>
      <c r="H1632" s="116"/>
      <c r="I1632" s="116"/>
      <c r="L1632" s="170">
        <v>44407</v>
      </c>
      <c r="M1632" s="116">
        <v>37.950000000000003</v>
      </c>
      <c r="N1632" s="116">
        <v>37.950000000000003</v>
      </c>
      <c r="O1632" s="116">
        <v>37.950000000000003</v>
      </c>
      <c r="P1632" s="116">
        <v>37.950000000000003</v>
      </c>
      <c r="Q1632" s="116">
        <v>37.950000000000003</v>
      </c>
      <c r="R1632">
        <v>358017</v>
      </c>
    </row>
    <row r="1633" spans="1:18" x14ac:dyDescent="0.25">
      <c r="A1633" s="170">
        <v>44410</v>
      </c>
      <c r="B1633" s="116">
        <v>39.950000000000003</v>
      </c>
      <c r="C1633" s="116">
        <v>39.950000000000003</v>
      </c>
      <c r="D1633" s="116">
        <v>39.950000000000003</v>
      </c>
      <c r="E1633" s="116">
        <v>39.950000000000003</v>
      </c>
      <c r="F1633" s="116">
        <v>39.950000000000003</v>
      </c>
      <c r="G1633">
        <v>488288</v>
      </c>
      <c r="H1633" s="116"/>
      <c r="I1633" s="116"/>
      <c r="L1633" s="170">
        <v>44410</v>
      </c>
      <c r="M1633" s="116">
        <v>39.799999999999997</v>
      </c>
      <c r="N1633" s="116">
        <v>39.799999999999997</v>
      </c>
      <c r="O1633" s="116">
        <v>39.799999999999997</v>
      </c>
      <c r="P1633" s="116">
        <v>39.799999999999997</v>
      </c>
      <c r="Q1633" s="116">
        <v>39.799999999999997</v>
      </c>
      <c r="R1633">
        <v>380837</v>
      </c>
    </row>
    <row r="1634" spans="1:18" x14ac:dyDescent="0.25">
      <c r="A1634" s="170">
        <v>44411</v>
      </c>
      <c r="B1634" s="116">
        <v>41.9</v>
      </c>
      <c r="C1634" s="116">
        <v>41.9</v>
      </c>
      <c r="D1634" s="116">
        <v>40.6</v>
      </c>
      <c r="E1634" s="116">
        <v>41.9</v>
      </c>
      <c r="F1634" s="116">
        <v>41.9</v>
      </c>
      <c r="G1634">
        <v>4682392</v>
      </c>
      <c r="H1634" s="116"/>
      <c r="I1634" s="116"/>
      <c r="L1634" s="170">
        <v>44411</v>
      </c>
      <c r="M1634" s="116">
        <v>41.75</v>
      </c>
      <c r="N1634" s="116">
        <v>41.75</v>
      </c>
      <c r="O1634" s="116">
        <v>40.549999999999997</v>
      </c>
      <c r="P1634" s="116">
        <v>41.75</v>
      </c>
      <c r="Q1634" s="116">
        <v>41.75</v>
      </c>
      <c r="R1634">
        <v>4531769</v>
      </c>
    </row>
    <row r="1635" spans="1:18" x14ac:dyDescent="0.25">
      <c r="A1635" s="170">
        <v>44412</v>
      </c>
      <c r="B1635" s="116">
        <v>43.95</v>
      </c>
      <c r="C1635" s="116">
        <v>43.9</v>
      </c>
      <c r="D1635" s="116">
        <v>41.95</v>
      </c>
      <c r="E1635" s="116">
        <v>43.95</v>
      </c>
      <c r="F1635" s="116">
        <v>43.9</v>
      </c>
      <c r="G1635">
        <v>2836156</v>
      </c>
      <c r="H1635" s="116"/>
      <c r="I1635" s="116"/>
      <c r="L1635" s="170">
        <v>44412</v>
      </c>
      <c r="M1635" s="116">
        <v>43.8</v>
      </c>
      <c r="N1635" s="116">
        <v>43.8</v>
      </c>
      <c r="O1635" s="116">
        <v>43.8</v>
      </c>
      <c r="P1635" s="116">
        <v>43.8</v>
      </c>
      <c r="Q1635" s="116">
        <v>43.8</v>
      </c>
      <c r="R1635">
        <v>2930647</v>
      </c>
    </row>
    <row r="1636" spans="1:18" x14ac:dyDescent="0.25">
      <c r="A1636" s="170">
        <v>44413</v>
      </c>
      <c r="B1636" s="116">
        <v>46</v>
      </c>
      <c r="C1636" s="116">
        <v>42.25</v>
      </c>
      <c r="D1636" s="116">
        <v>41.75</v>
      </c>
      <c r="E1636" s="116">
        <v>46</v>
      </c>
      <c r="F1636" s="116">
        <v>42.25</v>
      </c>
      <c r="G1636">
        <v>2182775</v>
      </c>
      <c r="H1636" s="116"/>
      <c r="I1636" s="116"/>
      <c r="L1636" s="170">
        <v>44413</v>
      </c>
      <c r="M1636" s="116">
        <v>42.3</v>
      </c>
      <c r="N1636" s="116">
        <v>45.95</v>
      </c>
      <c r="O1636" s="116">
        <v>41.65</v>
      </c>
      <c r="P1636" s="116">
        <v>45.95</v>
      </c>
      <c r="Q1636" s="116">
        <v>42.3</v>
      </c>
      <c r="R1636">
        <v>5298840</v>
      </c>
    </row>
    <row r="1637" spans="1:18" x14ac:dyDescent="0.25">
      <c r="A1637" s="170">
        <v>44414</v>
      </c>
      <c r="B1637" s="116">
        <v>43.5</v>
      </c>
      <c r="C1637" s="116">
        <v>40.9</v>
      </c>
      <c r="D1637" s="116">
        <v>40.6</v>
      </c>
      <c r="E1637" s="116">
        <v>41.25</v>
      </c>
      <c r="F1637" s="116">
        <v>40.9</v>
      </c>
      <c r="G1637">
        <v>534636</v>
      </c>
      <c r="H1637" s="116"/>
      <c r="I1637" s="116"/>
      <c r="L1637" s="170">
        <v>44414</v>
      </c>
      <c r="M1637" s="116">
        <v>40.85</v>
      </c>
      <c r="N1637" s="116">
        <v>43.1</v>
      </c>
      <c r="O1637" s="116">
        <v>40.25</v>
      </c>
      <c r="P1637" s="116">
        <v>42.8</v>
      </c>
      <c r="Q1637" s="116">
        <v>40.85</v>
      </c>
      <c r="R1637">
        <v>2123507</v>
      </c>
    </row>
    <row r="1638" spans="1:18" x14ac:dyDescent="0.25">
      <c r="A1638" s="170">
        <v>44417</v>
      </c>
      <c r="B1638" s="116">
        <v>42.9</v>
      </c>
      <c r="C1638" s="116">
        <v>42.9</v>
      </c>
      <c r="D1638" s="116">
        <v>40.200000000000003</v>
      </c>
      <c r="E1638" s="116">
        <v>41.4</v>
      </c>
      <c r="F1638" s="116">
        <v>42.9</v>
      </c>
      <c r="G1638">
        <v>1732813</v>
      </c>
      <c r="H1638" s="116"/>
      <c r="I1638" s="116"/>
      <c r="L1638" s="170">
        <v>44417</v>
      </c>
      <c r="M1638" s="116">
        <v>42.85</v>
      </c>
      <c r="N1638" s="116">
        <v>42.85</v>
      </c>
      <c r="O1638" s="116">
        <v>41</v>
      </c>
      <c r="P1638" s="116">
        <v>41</v>
      </c>
      <c r="Q1638" s="116">
        <v>42.85</v>
      </c>
      <c r="R1638">
        <v>2439194</v>
      </c>
    </row>
    <row r="1639" spans="1:18" x14ac:dyDescent="0.25">
      <c r="A1639" s="170">
        <v>44418</v>
      </c>
      <c r="B1639" s="116">
        <v>44.95</v>
      </c>
      <c r="C1639" s="116">
        <v>40.799999999999997</v>
      </c>
      <c r="D1639" s="116">
        <v>40.799999999999997</v>
      </c>
      <c r="E1639" s="116">
        <v>44.95</v>
      </c>
      <c r="F1639" s="116">
        <v>40.799999999999997</v>
      </c>
      <c r="G1639">
        <v>1199965</v>
      </c>
      <c r="H1639" s="116"/>
      <c r="I1639" s="116"/>
      <c r="L1639" s="170">
        <v>44418</v>
      </c>
      <c r="M1639" s="116">
        <v>40.75</v>
      </c>
      <c r="N1639" s="116">
        <v>44.85</v>
      </c>
      <c r="O1639" s="116">
        <v>40.75</v>
      </c>
      <c r="P1639" s="116">
        <v>44.85</v>
      </c>
      <c r="Q1639" s="116">
        <v>40.75</v>
      </c>
      <c r="R1639">
        <v>3116827</v>
      </c>
    </row>
    <row r="1640" spans="1:18" x14ac:dyDescent="0.25">
      <c r="A1640" s="170">
        <v>44419</v>
      </c>
      <c r="B1640" s="116">
        <v>42</v>
      </c>
      <c r="C1640" s="116">
        <v>41.05</v>
      </c>
      <c r="D1640" s="116">
        <v>38.799999999999997</v>
      </c>
      <c r="E1640" s="116">
        <v>38.799999999999997</v>
      </c>
      <c r="F1640" s="116">
        <v>41.05</v>
      </c>
      <c r="G1640">
        <v>1159309</v>
      </c>
      <c r="H1640" s="116"/>
      <c r="I1640" s="116"/>
      <c r="L1640" s="170">
        <v>44419</v>
      </c>
      <c r="M1640" s="116">
        <v>41.05</v>
      </c>
      <c r="N1640" s="116">
        <v>42</v>
      </c>
      <c r="O1640" s="116">
        <v>38.75</v>
      </c>
      <c r="P1640" s="116">
        <v>38.75</v>
      </c>
      <c r="Q1640" s="116">
        <v>41.05</v>
      </c>
      <c r="R1640">
        <v>2380908</v>
      </c>
    </row>
    <row r="1641" spans="1:18" x14ac:dyDescent="0.25">
      <c r="A1641" s="170">
        <v>44420</v>
      </c>
      <c r="B1641" s="116">
        <v>42.35</v>
      </c>
      <c r="C1641" s="116">
        <v>39.799999999999997</v>
      </c>
      <c r="D1641" s="116">
        <v>39.25</v>
      </c>
      <c r="E1641" s="116">
        <v>42</v>
      </c>
      <c r="F1641" s="116">
        <v>39.799999999999997</v>
      </c>
      <c r="G1641">
        <v>725483</v>
      </c>
      <c r="H1641" s="116"/>
      <c r="I1641" s="116"/>
      <c r="L1641" s="170">
        <v>44420</v>
      </c>
      <c r="M1641" s="116">
        <v>39.85</v>
      </c>
      <c r="N1641" s="116">
        <v>41.9</v>
      </c>
      <c r="O1641" s="116">
        <v>39.200000000000003</v>
      </c>
      <c r="P1641" s="116">
        <v>41.9</v>
      </c>
      <c r="Q1641" s="116">
        <v>39.85</v>
      </c>
      <c r="R1641">
        <v>1709467</v>
      </c>
    </row>
    <row r="1642" spans="1:18" x14ac:dyDescent="0.25">
      <c r="A1642" s="170">
        <v>44421</v>
      </c>
      <c r="B1642" s="116">
        <v>40.799999999999997</v>
      </c>
      <c r="C1642" s="116">
        <v>39.4</v>
      </c>
      <c r="D1642" s="116">
        <v>38</v>
      </c>
      <c r="E1642" s="116">
        <v>38.25</v>
      </c>
      <c r="F1642" s="116">
        <v>39.4</v>
      </c>
      <c r="G1642">
        <v>520278</v>
      </c>
      <c r="H1642" s="116"/>
      <c r="I1642" s="116"/>
      <c r="L1642" s="170">
        <v>44421</v>
      </c>
      <c r="M1642" s="116">
        <v>39.4</v>
      </c>
      <c r="N1642" s="116">
        <v>40.9</v>
      </c>
      <c r="O1642" s="116">
        <v>37.9</v>
      </c>
      <c r="P1642" s="116">
        <v>39.75</v>
      </c>
      <c r="Q1642" s="116">
        <v>39.4</v>
      </c>
      <c r="R1642">
        <v>1896963</v>
      </c>
    </row>
    <row r="1643" spans="1:18" x14ac:dyDescent="0.25">
      <c r="A1643" s="170">
        <v>44424</v>
      </c>
      <c r="B1643" s="116">
        <v>39.9</v>
      </c>
      <c r="C1643" s="116">
        <v>38.049999999999997</v>
      </c>
      <c r="D1643" s="116">
        <v>37.75</v>
      </c>
      <c r="E1643" s="116">
        <v>39.9</v>
      </c>
      <c r="F1643" s="116">
        <v>38.049999999999997</v>
      </c>
      <c r="G1643">
        <v>569162</v>
      </c>
      <c r="H1643" s="116"/>
      <c r="I1643" s="116"/>
      <c r="L1643" s="170">
        <v>44424</v>
      </c>
      <c r="M1643" s="116">
        <v>38</v>
      </c>
      <c r="N1643" s="116">
        <v>39.950000000000003</v>
      </c>
      <c r="O1643" s="116">
        <v>37.799999999999997</v>
      </c>
      <c r="P1643" s="116">
        <v>39.450000000000003</v>
      </c>
      <c r="Q1643" s="116">
        <v>38</v>
      </c>
      <c r="R1643">
        <v>1675113</v>
      </c>
    </row>
    <row r="1644" spans="1:18" x14ac:dyDescent="0.25">
      <c r="A1644" s="170">
        <v>44425</v>
      </c>
      <c r="B1644" s="116">
        <v>38.9</v>
      </c>
      <c r="C1644" s="116">
        <v>36.35</v>
      </c>
      <c r="D1644" s="116">
        <v>36.15</v>
      </c>
      <c r="E1644" s="116">
        <v>38.15</v>
      </c>
      <c r="F1644" s="116">
        <v>36.35</v>
      </c>
      <c r="G1644">
        <v>879753</v>
      </c>
      <c r="H1644" s="116"/>
      <c r="I1644" s="116"/>
      <c r="L1644" s="170">
        <v>44425</v>
      </c>
      <c r="M1644" s="116">
        <v>36.35</v>
      </c>
      <c r="N1644" s="116">
        <v>38.6</v>
      </c>
      <c r="O1644" s="116">
        <v>36.1</v>
      </c>
      <c r="P1644" s="116">
        <v>38.6</v>
      </c>
      <c r="Q1644" s="116">
        <v>36.35</v>
      </c>
      <c r="R1644">
        <v>1461027</v>
      </c>
    </row>
    <row r="1645" spans="1:18" x14ac:dyDescent="0.25">
      <c r="A1645" s="170">
        <v>44426</v>
      </c>
      <c r="B1645" s="116">
        <v>35.9</v>
      </c>
      <c r="C1645" s="116">
        <v>34.75</v>
      </c>
      <c r="D1645" s="116">
        <v>34.549999999999997</v>
      </c>
      <c r="E1645" s="116">
        <v>35.299999999999997</v>
      </c>
      <c r="F1645" s="116">
        <v>34.75</v>
      </c>
      <c r="G1645">
        <v>767745</v>
      </c>
      <c r="H1645" s="116"/>
      <c r="I1645" s="116"/>
      <c r="L1645" s="170">
        <v>44426</v>
      </c>
      <c r="M1645" s="116">
        <v>34.85</v>
      </c>
      <c r="N1645" s="116">
        <v>35.9</v>
      </c>
      <c r="O1645" s="116">
        <v>34.549999999999997</v>
      </c>
      <c r="P1645" s="116">
        <v>35.9</v>
      </c>
      <c r="Q1645" s="116">
        <v>34.85</v>
      </c>
      <c r="R1645">
        <v>1761258</v>
      </c>
    </row>
    <row r="1646" spans="1:18" x14ac:dyDescent="0.25">
      <c r="A1646" s="170">
        <v>44428</v>
      </c>
      <c r="B1646" s="116">
        <v>36.450000000000003</v>
      </c>
      <c r="C1646" s="116">
        <v>36.450000000000003</v>
      </c>
      <c r="D1646" s="116">
        <v>34</v>
      </c>
      <c r="E1646" s="116">
        <v>34.5</v>
      </c>
      <c r="F1646" s="116">
        <v>36.450000000000003</v>
      </c>
      <c r="G1646">
        <v>299432</v>
      </c>
      <c r="H1646" s="116"/>
      <c r="I1646" s="116"/>
      <c r="L1646" s="170">
        <v>44428</v>
      </c>
      <c r="M1646" s="116">
        <v>36.549999999999997</v>
      </c>
      <c r="N1646" s="116">
        <v>36.549999999999997</v>
      </c>
      <c r="O1646" s="116">
        <v>34</v>
      </c>
      <c r="P1646" s="116">
        <v>34.049999999999997</v>
      </c>
      <c r="Q1646" s="116">
        <v>36.549999999999997</v>
      </c>
      <c r="R1646">
        <v>1779833</v>
      </c>
    </row>
    <row r="1647" spans="1:18" x14ac:dyDescent="0.25">
      <c r="A1647" s="170">
        <v>44431</v>
      </c>
      <c r="B1647" s="116">
        <v>38.25</v>
      </c>
      <c r="C1647" s="116">
        <v>34.65</v>
      </c>
      <c r="D1647" s="116">
        <v>34.65</v>
      </c>
      <c r="E1647" s="116">
        <v>38.25</v>
      </c>
      <c r="F1647" s="116">
        <v>34.65</v>
      </c>
      <c r="G1647">
        <v>703117</v>
      </c>
      <c r="H1647" s="116"/>
      <c r="I1647" s="116"/>
      <c r="L1647" s="170">
        <v>44431</v>
      </c>
      <c r="M1647" s="116">
        <v>34.75</v>
      </c>
      <c r="N1647" s="116">
        <v>38.299999999999997</v>
      </c>
      <c r="O1647" s="116">
        <v>34.75</v>
      </c>
      <c r="P1647" s="116">
        <v>38.299999999999997</v>
      </c>
      <c r="Q1647" s="116">
        <v>34.75</v>
      </c>
      <c r="R1647">
        <v>1999759</v>
      </c>
    </row>
    <row r="1648" spans="1:18" x14ac:dyDescent="0.25">
      <c r="A1648" s="170">
        <v>44432</v>
      </c>
      <c r="B1648" s="116">
        <v>36.35</v>
      </c>
      <c r="C1648" s="116">
        <v>36.299999999999997</v>
      </c>
      <c r="D1648" s="116">
        <v>33.1</v>
      </c>
      <c r="E1648" s="116">
        <v>33.950000000000003</v>
      </c>
      <c r="F1648" s="116">
        <v>36.299999999999997</v>
      </c>
      <c r="G1648">
        <v>629997</v>
      </c>
      <c r="H1648" s="116"/>
      <c r="I1648" s="116"/>
      <c r="L1648" s="170">
        <v>44432</v>
      </c>
      <c r="M1648" s="116">
        <v>36.450000000000003</v>
      </c>
      <c r="N1648" s="116">
        <v>36.450000000000003</v>
      </c>
      <c r="O1648" s="116">
        <v>33.049999999999997</v>
      </c>
      <c r="P1648" s="116">
        <v>33.35</v>
      </c>
      <c r="Q1648" s="116">
        <v>36.450000000000003</v>
      </c>
      <c r="R1648">
        <v>2748551</v>
      </c>
    </row>
    <row r="1649" spans="1:18" x14ac:dyDescent="0.25">
      <c r="A1649" s="170">
        <v>44433</v>
      </c>
      <c r="B1649" s="116">
        <v>36.450000000000003</v>
      </c>
      <c r="C1649" s="116">
        <v>35.450000000000003</v>
      </c>
      <c r="D1649" s="116">
        <v>34.65</v>
      </c>
      <c r="E1649" s="116">
        <v>35.799999999999997</v>
      </c>
      <c r="F1649" s="116">
        <v>35.450000000000003</v>
      </c>
      <c r="G1649">
        <v>445286</v>
      </c>
      <c r="H1649" s="116"/>
      <c r="I1649" s="116"/>
      <c r="L1649" s="170">
        <v>44433</v>
      </c>
      <c r="M1649" s="116">
        <v>35.6</v>
      </c>
      <c r="N1649" s="116">
        <v>36.6</v>
      </c>
      <c r="O1649" s="116">
        <v>34.799999999999997</v>
      </c>
      <c r="P1649" s="116">
        <v>36.6</v>
      </c>
      <c r="Q1649" s="116">
        <v>35.6</v>
      </c>
      <c r="R1649">
        <v>1876864</v>
      </c>
    </row>
    <row r="1650" spans="1:18" x14ac:dyDescent="0.25">
      <c r="A1650" s="170">
        <v>44434</v>
      </c>
      <c r="B1650" s="116">
        <v>36.450000000000003</v>
      </c>
      <c r="C1650" s="116">
        <v>35.549999999999997</v>
      </c>
      <c r="D1650" s="116">
        <v>34.049999999999997</v>
      </c>
      <c r="E1650" s="116">
        <v>34.75</v>
      </c>
      <c r="F1650" s="116">
        <v>35.549999999999997</v>
      </c>
      <c r="G1650">
        <v>441553</v>
      </c>
      <c r="H1650" s="116"/>
      <c r="I1650" s="116"/>
      <c r="L1650" s="170">
        <v>44434</v>
      </c>
      <c r="M1650" s="116">
        <v>35.549999999999997</v>
      </c>
      <c r="N1650" s="116">
        <v>36.25</v>
      </c>
      <c r="O1650" s="116">
        <v>34.049999999999997</v>
      </c>
      <c r="P1650" s="116">
        <v>34.6</v>
      </c>
      <c r="Q1650" s="116">
        <v>35.549999999999997</v>
      </c>
      <c r="R1650">
        <v>1528778</v>
      </c>
    </row>
    <row r="1651" spans="1:18" x14ac:dyDescent="0.25">
      <c r="A1651" s="170">
        <v>44435</v>
      </c>
      <c r="B1651" s="116">
        <v>37.299999999999997</v>
      </c>
      <c r="C1651" s="116">
        <v>37.299999999999997</v>
      </c>
      <c r="D1651" s="116">
        <v>35.049999999999997</v>
      </c>
      <c r="E1651" s="116">
        <v>36.549999999999997</v>
      </c>
      <c r="F1651" s="116">
        <v>37.299999999999997</v>
      </c>
      <c r="G1651">
        <v>924890</v>
      </c>
      <c r="H1651" s="116"/>
      <c r="I1651" s="116"/>
      <c r="L1651" s="170">
        <v>44435</v>
      </c>
      <c r="M1651" s="116">
        <v>37.299999999999997</v>
      </c>
      <c r="N1651" s="116">
        <v>37.299999999999997</v>
      </c>
      <c r="O1651" s="116">
        <v>35.5</v>
      </c>
      <c r="P1651" s="116">
        <v>37</v>
      </c>
      <c r="Q1651" s="116">
        <v>37.299999999999997</v>
      </c>
      <c r="R1651">
        <v>2004534</v>
      </c>
    </row>
    <row r="1652" spans="1:18" x14ac:dyDescent="0.25">
      <c r="A1652" s="170">
        <v>44438</v>
      </c>
      <c r="B1652" s="116">
        <v>38.4</v>
      </c>
      <c r="C1652" s="116">
        <v>37.799999999999997</v>
      </c>
      <c r="D1652" s="116">
        <v>36.700000000000003</v>
      </c>
      <c r="E1652" s="116">
        <v>38.4</v>
      </c>
      <c r="F1652" s="116">
        <v>37.799999999999997</v>
      </c>
      <c r="G1652">
        <v>779816</v>
      </c>
      <c r="H1652" s="116"/>
      <c r="I1652" s="116"/>
      <c r="L1652" s="170">
        <v>44438</v>
      </c>
      <c r="M1652" s="116">
        <v>37.799999999999997</v>
      </c>
      <c r="N1652" s="116">
        <v>38.25</v>
      </c>
      <c r="O1652" s="116">
        <v>36.700000000000003</v>
      </c>
      <c r="P1652" s="116">
        <v>37.9</v>
      </c>
      <c r="Q1652" s="116">
        <v>37.799999999999997</v>
      </c>
      <c r="R1652">
        <v>1732158</v>
      </c>
    </row>
    <row r="1653" spans="1:18" x14ac:dyDescent="0.25">
      <c r="A1653" s="170">
        <v>44439</v>
      </c>
      <c r="B1653" s="116">
        <v>37.950000000000003</v>
      </c>
      <c r="C1653" s="116">
        <v>36.6</v>
      </c>
      <c r="D1653" s="116">
        <v>36.299999999999997</v>
      </c>
      <c r="E1653" s="116">
        <v>37.799999999999997</v>
      </c>
      <c r="F1653" s="116">
        <v>36.6</v>
      </c>
      <c r="G1653">
        <v>444396</v>
      </c>
      <c r="H1653" s="116"/>
      <c r="I1653" s="116"/>
      <c r="L1653" s="170">
        <v>44439</v>
      </c>
      <c r="M1653" s="116">
        <v>36.75</v>
      </c>
      <c r="N1653" s="116">
        <v>37.799999999999997</v>
      </c>
      <c r="O1653" s="116">
        <v>36.4</v>
      </c>
      <c r="P1653" s="116">
        <v>37.799999999999997</v>
      </c>
      <c r="Q1653" s="116">
        <v>36.75</v>
      </c>
      <c r="R1653">
        <v>1012782</v>
      </c>
    </row>
    <row r="1654" spans="1:18" x14ac:dyDescent="0.25">
      <c r="A1654" s="170">
        <v>44440</v>
      </c>
      <c r="B1654" s="116">
        <v>37.6</v>
      </c>
      <c r="C1654" s="116">
        <v>36.65</v>
      </c>
      <c r="D1654" s="116">
        <v>35</v>
      </c>
      <c r="E1654" s="116">
        <v>36.6</v>
      </c>
      <c r="F1654" s="116">
        <v>36.65</v>
      </c>
      <c r="G1654">
        <v>306662</v>
      </c>
      <c r="H1654" s="116"/>
      <c r="I1654" s="116"/>
      <c r="L1654" s="170">
        <v>44440</v>
      </c>
      <c r="M1654" s="116">
        <v>36.700000000000003</v>
      </c>
      <c r="N1654" s="116">
        <v>37.85</v>
      </c>
      <c r="O1654" s="116">
        <v>35.5</v>
      </c>
      <c r="P1654" s="116">
        <v>36.75</v>
      </c>
      <c r="Q1654" s="116">
        <v>36.700000000000003</v>
      </c>
      <c r="R1654">
        <v>1422727</v>
      </c>
    </row>
    <row r="1655" spans="1:18" x14ac:dyDescent="0.25">
      <c r="A1655" s="170">
        <v>44441</v>
      </c>
      <c r="B1655" s="116">
        <v>37.799999999999997</v>
      </c>
      <c r="C1655" s="116">
        <v>36.950000000000003</v>
      </c>
      <c r="D1655" s="116">
        <v>35</v>
      </c>
      <c r="E1655" s="116">
        <v>36</v>
      </c>
      <c r="F1655" s="116">
        <v>36.950000000000003</v>
      </c>
      <c r="G1655">
        <v>426615</v>
      </c>
      <c r="H1655" s="116"/>
      <c r="I1655" s="116"/>
      <c r="L1655" s="170">
        <v>44441</v>
      </c>
      <c r="M1655" s="116">
        <v>36.9</v>
      </c>
      <c r="N1655" s="116">
        <v>37.9</v>
      </c>
      <c r="O1655" s="116">
        <v>34.9</v>
      </c>
      <c r="P1655" s="116">
        <v>36.5</v>
      </c>
      <c r="Q1655" s="116">
        <v>36.9</v>
      </c>
      <c r="R1655">
        <v>1529993</v>
      </c>
    </row>
    <row r="1656" spans="1:18" x14ac:dyDescent="0.25">
      <c r="A1656" s="170">
        <v>44442</v>
      </c>
      <c r="B1656" s="116">
        <v>36.75</v>
      </c>
      <c r="C1656" s="116">
        <v>35.799999999999997</v>
      </c>
      <c r="D1656" s="116">
        <v>35.15</v>
      </c>
      <c r="E1656" s="116">
        <v>35.25</v>
      </c>
      <c r="F1656" s="116">
        <v>35.799999999999997</v>
      </c>
      <c r="G1656">
        <v>819766</v>
      </c>
      <c r="H1656" s="116"/>
      <c r="I1656" s="116"/>
      <c r="L1656" s="170">
        <v>44442</v>
      </c>
      <c r="M1656" s="116">
        <v>35.799999999999997</v>
      </c>
      <c r="N1656" s="116">
        <v>36.25</v>
      </c>
      <c r="O1656" s="116">
        <v>35.1</v>
      </c>
      <c r="P1656" s="116">
        <v>35.1</v>
      </c>
      <c r="Q1656" s="116">
        <v>35.799999999999997</v>
      </c>
      <c r="R1656">
        <v>2178941</v>
      </c>
    </row>
    <row r="1657" spans="1:18" x14ac:dyDescent="0.25">
      <c r="A1657" s="170">
        <v>44445</v>
      </c>
      <c r="B1657" s="116">
        <v>35.75</v>
      </c>
      <c r="C1657" s="116">
        <v>34.9</v>
      </c>
      <c r="D1657" s="116">
        <v>34.5</v>
      </c>
      <c r="E1657" s="116">
        <v>35.200000000000003</v>
      </c>
      <c r="F1657" s="116">
        <v>34.9</v>
      </c>
      <c r="G1657">
        <v>632383</v>
      </c>
      <c r="H1657" s="116"/>
      <c r="I1657" s="116"/>
      <c r="L1657" s="170">
        <v>44445</v>
      </c>
      <c r="M1657" s="116">
        <v>34.85</v>
      </c>
      <c r="N1657" s="116">
        <v>35.75</v>
      </c>
      <c r="O1657" s="116">
        <v>34.4</v>
      </c>
      <c r="P1657" s="116">
        <v>35.200000000000003</v>
      </c>
      <c r="Q1657" s="116">
        <v>34.85</v>
      </c>
      <c r="R1657">
        <v>1664275</v>
      </c>
    </row>
    <row r="1658" spans="1:18" x14ac:dyDescent="0.25">
      <c r="A1658" s="170">
        <v>44446</v>
      </c>
      <c r="B1658" s="116">
        <v>34.9</v>
      </c>
      <c r="C1658" s="116">
        <v>33.9</v>
      </c>
      <c r="D1658" s="116">
        <v>33.299999999999997</v>
      </c>
      <c r="E1658" s="116">
        <v>34.049999999999997</v>
      </c>
      <c r="F1658" s="116">
        <v>33.9</v>
      </c>
      <c r="G1658">
        <v>706449</v>
      </c>
      <c r="H1658" s="116"/>
      <c r="I1658" s="116"/>
      <c r="L1658" s="170">
        <v>44446</v>
      </c>
      <c r="M1658" s="116">
        <v>33.9</v>
      </c>
      <c r="N1658" s="116">
        <v>35</v>
      </c>
      <c r="O1658" s="116">
        <v>33.299999999999997</v>
      </c>
      <c r="P1658" s="116">
        <v>34.5</v>
      </c>
      <c r="Q1658" s="116">
        <v>33.9</v>
      </c>
      <c r="R1658">
        <v>1628110</v>
      </c>
    </row>
    <row r="1659" spans="1:18" x14ac:dyDescent="0.25">
      <c r="A1659" s="170">
        <v>44447</v>
      </c>
      <c r="B1659" s="116">
        <v>35.549999999999997</v>
      </c>
      <c r="C1659" s="116">
        <v>35.549999999999997</v>
      </c>
      <c r="D1659" s="116">
        <v>33.450000000000003</v>
      </c>
      <c r="E1659" s="116">
        <v>33.450000000000003</v>
      </c>
      <c r="F1659" s="116">
        <v>35.549999999999997</v>
      </c>
      <c r="G1659">
        <v>669306</v>
      </c>
      <c r="H1659" s="116"/>
      <c r="I1659" s="116"/>
      <c r="L1659" s="170">
        <v>44447</v>
      </c>
      <c r="M1659" s="116">
        <v>35.549999999999997</v>
      </c>
      <c r="N1659" s="116">
        <v>35.549999999999997</v>
      </c>
      <c r="O1659" s="116">
        <v>33.700000000000003</v>
      </c>
      <c r="P1659" s="116">
        <v>34.15</v>
      </c>
      <c r="Q1659" s="116">
        <v>35.549999999999997</v>
      </c>
      <c r="R1659">
        <v>1772465</v>
      </c>
    </row>
    <row r="1660" spans="1:18" x14ac:dyDescent="0.25">
      <c r="A1660" s="170">
        <v>44448</v>
      </c>
      <c r="B1660" s="116">
        <v>36.9</v>
      </c>
      <c r="C1660" s="116">
        <v>36.450000000000003</v>
      </c>
      <c r="D1660" s="116">
        <v>35.700000000000003</v>
      </c>
      <c r="E1660" s="116">
        <v>36.700000000000003</v>
      </c>
      <c r="F1660" s="116">
        <v>36.450000000000003</v>
      </c>
      <c r="G1660">
        <v>829893</v>
      </c>
      <c r="H1660" s="116"/>
      <c r="I1660" s="116"/>
      <c r="L1660" s="170">
        <v>44448</v>
      </c>
      <c r="M1660" s="116">
        <v>36.1</v>
      </c>
      <c r="N1660" s="116">
        <v>37.200000000000003</v>
      </c>
      <c r="O1660" s="116">
        <v>35.5</v>
      </c>
      <c r="P1660" s="116">
        <v>36.6</v>
      </c>
      <c r="Q1660" s="116">
        <v>36.1</v>
      </c>
      <c r="R1660">
        <v>2029163</v>
      </c>
    </row>
    <row r="1661" spans="1:18" x14ac:dyDescent="0.25">
      <c r="A1661" s="170">
        <v>44452</v>
      </c>
      <c r="B1661" s="116">
        <v>35.950000000000003</v>
      </c>
      <c r="C1661" s="116">
        <v>35.1</v>
      </c>
      <c r="D1661" s="116">
        <v>34.799999999999997</v>
      </c>
      <c r="E1661" s="116">
        <v>35.9</v>
      </c>
      <c r="F1661" s="116">
        <v>35.1</v>
      </c>
      <c r="G1661">
        <v>506864</v>
      </c>
      <c r="H1661" s="116"/>
      <c r="I1661" s="116"/>
      <c r="L1661" s="170">
        <v>44452</v>
      </c>
      <c r="M1661" s="116">
        <v>35.1</v>
      </c>
      <c r="N1661" s="116">
        <v>35.9</v>
      </c>
      <c r="O1661" s="116">
        <v>34.799999999999997</v>
      </c>
      <c r="P1661" s="116">
        <v>35.9</v>
      </c>
      <c r="Q1661" s="116">
        <v>35.1</v>
      </c>
      <c r="R1661">
        <v>1303580</v>
      </c>
    </row>
    <row r="1662" spans="1:18" x14ac:dyDescent="0.25">
      <c r="A1662" s="170">
        <v>44453</v>
      </c>
      <c r="B1662" s="116">
        <v>35.9</v>
      </c>
      <c r="C1662" s="116">
        <v>35.450000000000003</v>
      </c>
      <c r="D1662" s="116">
        <v>34.799999999999997</v>
      </c>
      <c r="E1662" s="116">
        <v>35</v>
      </c>
      <c r="F1662" s="116">
        <v>35.450000000000003</v>
      </c>
      <c r="G1662">
        <v>478490</v>
      </c>
      <c r="H1662" s="116"/>
      <c r="I1662" s="116"/>
      <c r="L1662" s="170">
        <v>44453</v>
      </c>
      <c r="M1662" s="116">
        <v>35.549999999999997</v>
      </c>
      <c r="N1662" s="116">
        <v>36</v>
      </c>
      <c r="O1662" s="116">
        <v>34.799999999999997</v>
      </c>
      <c r="P1662" s="116">
        <v>35</v>
      </c>
      <c r="Q1662" s="116">
        <v>35.549999999999997</v>
      </c>
      <c r="R1662">
        <v>1024665</v>
      </c>
    </row>
    <row r="1663" spans="1:18" x14ac:dyDescent="0.25">
      <c r="A1663" s="170">
        <v>44454</v>
      </c>
      <c r="B1663" s="116">
        <v>37.200000000000003</v>
      </c>
      <c r="C1663" s="116">
        <v>37.200000000000003</v>
      </c>
      <c r="D1663" s="116">
        <v>35.049999999999997</v>
      </c>
      <c r="E1663" s="116">
        <v>35.9</v>
      </c>
      <c r="F1663" s="116">
        <v>37.200000000000003</v>
      </c>
      <c r="G1663">
        <v>922615</v>
      </c>
      <c r="H1663" s="116"/>
      <c r="I1663" s="116"/>
      <c r="L1663" s="170">
        <v>44454</v>
      </c>
      <c r="M1663" s="116">
        <v>37.25</v>
      </c>
      <c r="N1663" s="116">
        <v>37.299999999999997</v>
      </c>
      <c r="O1663" s="116">
        <v>35.049999999999997</v>
      </c>
      <c r="P1663" s="116">
        <v>36</v>
      </c>
      <c r="Q1663" s="116">
        <v>37.25</v>
      </c>
      <c r="R1663">
        <v>3863696</v>
      </c>
    </row>
    <row r="1664" spans="1:18" x14ac:dyDescent="0.25">
      <c r="A1664" s="170">
        <v>44455</v>
      </c>
      <c r="B1664" s="116">
        <v>37.9</v>
      </c>
      <c r="C1664" s="116">
        <v>36.15</v>
      </c>
      <c r="D1664" s="116">
        <v>35.549999999999997</v>
      </c>
      <c r="E1664" s="116">
        <v>37.700000000000003</v>
      </c>
      <c r="F1664" s="116">
        <v>36.15</v>
      </c>
      <c r="G1664">
        <v>695775</v>
      </c>
      <c r="H1664" s="116"/>
      <c r="I1664" s="116"/>
      <c r="L1664" s="170">
        <v>44455</v>
      </c>
      <c r="M1664" s="116">
        <v>36.1</v>
      </c>
      <c r="N1664" s="116">
        <v>38.200000000000003</v>
      </c>
      <c r="O1664" s="116">
        <v>35.950000000000003</v>
      </c>
      <c r="P1664" s="116">
        <v>37.799999999999997</v>
      </c>
      <c r="Q1664" s="116">
        <v>36.1</v>
      </c>
      <c r="R1664">
        <v>2650684</v>
      </c>
    </row>
    <row r="1665" spans="1:18" x14ac:dyDescent="0.25">
      <c r="A1665" s="170">
        <v>44456</v>
      </c>
      <c r="B1665" s="116">
        <v>37.700000000000003</v>
      </c>
      <c r="C1665" s="116">
        <v>36.9</v>
      </c>
      <c r="D1665" s="116">
        <v>34.450000000000003</v>
      </c>
      <c r="E1665" s="116">
        <v>36.1</v>
      </c>
      <c r="F1665" s="116">
        <v>36.9</v>
      </c>
      <c r="G1665">
        <v>854421</v>
      </c>
      <c r="H1665" s="116"/>
      <c r="I1665" s="116"/>
      <c r="L1665" s="170">
        <v>44456</v>
      </c>
      <c r="M1665" s="116">
        <v>37.15</v>
      </c>
      <c r="N1665" s="116">
        <v>37.799999999999997</v>
      </c>
      <c r="O1665" s="116">
        <v>34.9</v>
      </c>
      <c r="P1665" s="116">
        <v>36.65</v>
      </c>
      <c r="Q1665" s="116">
        <v>37.15</v>
      </c>
      <c r="R1665">
        <v>2687970</v>
      </c>
    </row>
    <row r="1666" spans="1:18" x14ac:dyDescent="0.25">
      <c r="A1666" s="170">
        <v>44459</v>
      </c>
      <c r="B1666" s="116">
        <v>36.85</v>
      </c>
      <c r="C1666" s="116">
        <v>35.5</v>
      </c>
      <c r="D1666" s="116">
        <v>35.4</v>
      </c>
      <c r="E1666" s="116">
        <v>36.6</v>
      </c>
      <c r="F1666" s="116">
        <v>35.5</v>
      </c>
      <c r="G1666">
        <v>266167</v>
      </c>
      <c r="H1666" s="116"/>
      <c r="I1666" s="116"/>
      <c r="L1666" s="170">
        <v>44459</v>
      </c>
      <c r="M1666" s="116">
        <v>35.5</v>
      </c>
      <c r="N1666" s="116">
        <v>36.799999999999997</v>
      </c>
      <c r="O1666" s="116">
        <v>35.4</v>
      </c>
      <c r="P1666" s="116">
        <v>36.75</v>
      </c>
      <c r="Q1666" s="116">
        <v>35.5</v>
      </c>
      <c r="R1666">
        <v>1200444</v>
      </c>
    </row>
    <row r="1667" spans="1:18" x14ac:dyDescent="0.25">
      <c r="A1667" s="170">
        <v>44460</v>
      </c>
      <c r="B1667" s="116">
        <v>36</v>
      </c>
      <c r="C1667" s="116">
        <v>35.549999999999997</v>
      </c>
      <c r="D1667" s="116">
        <v>33.950000000000003</v>
      </c>
      <c r="E1667" s="116">
        <v>33.950000000000003</v>
      </c>
      <c r="F1667" s="116">
        <v>35.549999999999997</v>
      </c>
      <c r="G1667">
        <v>549670</v>
      </c>
      <c r="H1667" s="116"/>
      <c r="I1667" s="116"/>
      <c r="L1667" s="170">
        <v>44460</v>
      </c>
      <c r="M1667" s="116">
        <v>35.200000000000003</v>
      </c>
      <c r="N1667" s="116">
        <v>35.799999999999997</v>
      </c>
      <c r="O1667" s="116">
        <v>34.1</v>
      </c>
      <c r="P1667" s="116">
        <v>34.1</v>
      </c>
      <c r="Q1667" s="116">
        <v>35.200000000000003</v>
      </c>
      <c r="R1667">
        <v>914445</v>
      </c>
    </row>
    <row r="1668" spans="1:18" x14ac:dyDescent="0.25">
      <c r="A1668" s="170">
        <v>44461</v>
      </c>
      <c r="B1668" s="116">
        <v>36.200000000000003</v>
      </c>
      <c r="C1668" s="116">
        <v>35.299999999999997</v>
      </c>
      <c r="D1668" s="116">
        <v>35</v>
      </c>
      <c r="E1668" s="116">
        <v>35.299999999999997</v>
      </c>
      <c r="F1668" s="116">
        <v>35.299999999999997</v>
      </c>
      <c r="G1668">
        <v>474059</v>
      </c>
      <c r="H1668" s="116"/>
      <c r="I1668" s="116"/>
      <c r="L1668" s="170">
        <v>44461</v>
      </c>
      <c r="M1668" s="116">
        <v>35.15</v>
      </c>
      <c r="N1668" s="116">
        <v>36.35</v>
      </c>
      <c r="O1668" s="116">
        <v>34.799999999999997</v>
      </c>
      <c r="P1668" s="116">
        <v>35.35</v>
      </c>
      <c r="Q1668" s="116">
        <v>35.15</v>
      </c>
      <c r="R1668">
        <v>1183227</v>
      </c>
    </row>
    <row r="1669" spans="1:18" x14ac:dyDescent="0.25">
      <c r="A1669" s="170">
        <v>44462</v>
      </c>
      <c r="B1669" s="116">
        <v>35.9</v>
      </c>
      <c r="C1669" s="116">
        <v>35.200000000000003</v>
      </c>
      <c r="D1669" s="116">
        <v>35</v>
      </c>
      <c r="E1669" s="116">
        <v>35.4</v>
      </c>
      <c r="F1669" s="116">
        <v>35.200000000000003</v>
      </c>
      <c r="G1669">
        <v>388408</v>
      </c>
      <c r="H1669" s="116"/>
      <c r="I1669" s="116"/>
      <c r="L1669" s="170">
        <v>44462</v>
      </c>
      <c r="M1669" s="116">
        <v>35.25</v>
      </c>
      <c r="N1669" s="116">
        <v>35.9</v>
      </c>
      <c r="O1669" s="116">
        <v>35</v>
      </c>
      <c r="P1669" s="116">
        <v>35.549999999999997</v>
      </c>
      <c r="Q1669" s="116">
        <v>35.25</v>
      </c>
      <c r="R1669">
        <v>979917</v>
      </c>
    </row>
    <row r="1670" spans="1:18" x14ac:dyDescent="0.25">
      <c r="A1670" s="170">
        <v>44463</v>
      </c>
      <c r="B1670" s="116">
        <v>35.75</v>
      </c>
      <c r="C1670" s="116">
        <v>35</v>
      </c>
      <c r="D1670" s="116">
        <v>33.799999999999997</v>
      </c>
      <c r="E1670" s="116">
        <v>35.5</v>
      </c>
      <c r="F1670" s="116">
        <v>35</v>
      </c>
      <c r="G1670">
        <v>437282</v>
      </c>
      <c r="H1670" s="116"/>
      <c r="I1670" s="116"/>
      <c r="L1670" s="170">
        <v>44463</v>
      </c>
      <c r="M1670" s="116">
        <v>35.1</v>
      </c>
      <c r="N1670" s="116">
        <v>35.799999999999997</v>
      </c>
      <c r="O1670" s="116">
        <v>34.299999999999997</v>
      </c>
      <c r="P1670" s="116">
        <v>35.25</v>
      </c>
      <c r="Q1670" s="116">
        <v>35.1</v>
      </c>
      <c r="R1670">
        <v>1639107</v>
      </c>
    </row>
    <row r="1671" spans="1:18" x14ac:dyDescent="0.25">
      <c r="A1671" s="170">
        <v>44466</v>
      </c>
      <c r="B1671" s="116">
        <v>35.9</v>
      </c>
      <c r="C1671" s="116">
        <v>34.85</v>
      </c>
      <c r="D1671" s="116">
        <v>34.049999999999997</v>
      </c>
      <c r="E1671" s="116">
        <v>35.9</v>
      </c>
      <c r="F1671" s="116">
        <v>34.85</v>
      </c>
      <c r="G1671">
        <v>259572</v>
      </c>
      <c r="H1671" s="116"/>
      <c r="I1671" s="116"/>
      <c r="L1671" s="170">
        <v>44466</v>
      </c>
      <c r="M1671" s="116">
        <v>34.799999999999997</v>
      </c>
      <c r="N1671" s="116">
        <v>35.950000000000003</v>
      </c>
      <c r="O1671" s="116">
        <v>34.700000000000003</v>
      </c>
      <c r="P1671" s="116">
        <v>35.25</v>
      </c>
      <c r="Q1671" s="116">
        <v>34.799999999999997</v>
      </c>
      <c r="R1671">
        <v>1105683</v>
      </c>
    </row>
    <row r="1672" spans="1:18" x14ac:dyDescent="0.25">
      <c r="A1672" s="170">
        <v>44467</v>
      </c>
      <c r="B1672" s="116">
        <v>35.200000000000003</v>
      </c>
      <c r="C1672" s="116">
        <v>34.65</v>
      </c>
      <c r="D1672" s="116">
        <v>34</v>
      </c>
      <c r="E1672" s="116">
        <v>34.9</v>
      </c>
      <c r="F1672" s="116">
        <v>34.65</v>
      </c>
      <c r="G1672">
        <v>466483</v>
      </c>
      <c r="H1672" s="116"/>
      <c r="I1672" s="116"/>
      <c r="L1672" s="170">
        <v>44467</v>
      </c>
      <c r="M1672" s="116">
        <v>34.65</v>
      </c>
      <c r="N1672" s="116">
        <v>35.15</v>
      </c>
      <c r="O1672" s="116">
        <v>34.25</v>
      </c>
      <c r="P1672" s="116">
        <v>35.15</v>
      </c>
      <c r="Q1672" s="116">
        <v>34.65</v>
      </c>
      <c r="R1672">
        <v>955984</v>
      </c>
    </row>
    <row r="1673" spans="1:18" x14ac:dyDescent="0.25">
      <c r="A1673" s="170">
        <v>44468</v>
      </c>
      <c r="B1673" s="116">
        <v>35.85</v>
      </c>
      <c r="C1673" s="116">
        <v>35.4</v>
      </c>
      <c r="D1673" s="116">
        <v>33.799999999999997</v>
      </c>
      <c r="E1673" s="116">
        <v>34.950000000000003</v>
      </c>
      <c r="F1673" s="116">
        <v>35.4</v>
      </c>
      <c r="G1673">
        <v>683009</v>
      </c>
      <c r="H1673" s="116"/>
      <c r="I1673" s="116"/>
      <c r="L1673" s="170">
        <v>44468</v>
      </c>
      <c r="M1673" s="116">
        <v>35.700000000000003</v>
      </c>
      <c r="N1673" s="116">
        <v>36.200000000000003</v>
      </c>
      <c r="O1673" s="116">
        <v>34.65</v>
      </c>
      <c r="P1673" s="116">
        <v>34.9</v>
      </c>
      <c r="Q1673" s="116">
        <v>35.700000000000003</v>
      </c>
      <c r="R1673">
        <v>1593485</v>
      </c>
    </row>
    <row r="1674" spans="1:18" x14ac:dyDescent="0.25">
      <c r="A1674" s="170">
        <v>44469</v>
      </c>
      <c r="B1674" s="116">
        <v>36</v>
      </c>
      <c r="C1674" s="116">
        <v>35.4</v>
      </c>
      <c r="D1674" s="116">
        <v>35.049999999999997</v>
      </c>
      <c r="E1674" s="116">
        <v>36</v>
      </c>
      <c r="F1674" s="116">
        <v>35.4</v>
      </c>
      <c r="G1674">
        <v>263275</v>
      </c>
      <c r="H1674" s="116"/>
      <c r="I1674" s="116"/>
      <c r="L1674" s="170">
        <v>44469</v>
      </c>
      <c r="M1674" s="116">
        <v>35.35</v>
      </c>
      <c r="N1674" s="116">
        <v>36</v>
      </c>
      <c r="O1674" s="116">
        <v>35</v>
      </c>
      <c r="P1674" s="116">
        <v>36</v>
      </c>
      <c r="Q1674" s="116">
        <v>35.35</v>
      </c>
      <c r="R1674">
        <v>885317</v>
      </c>
    </row>
    <row r="1675" spans="1:18" x14ac:dyDescent="0.25">
      <c r="A1675" s="170">
        <v>44470</v>
      </c>
      <c r="B1675" s="116">
        <v>37.15</v>
      </c>
      <c r="C1675" s="116">
        <v>37.15</v>
      </c>
      <c r="D1675" s="116">
        <v>35</v>
      </c>
      <c r="E1675" s="116">
        <v>35.5</v>
      </c>
      <c r="F1675" s="116">
        <v>37.15</v>
      </c>
      <c r="G1675">
        <v>1278096</v>
      </c>
      <c r="H1675" s="116"/>
      <c r="I1675" s="116"/>
      <c r="L1675" s="170">
        <v>44470</v>
      </c>
      <c r="M1675" s="116">
        <v>37.1</v>
      </c>
      <c r="N1675" s="116">
        <v>37.1</v>
      </c>
      <c r="O1675" s="116">
        <v>35.299999999999997</v>
      </c>
      <c r="P1675" s="116">
        <v>35.85</v>
      </c>
      <c r="Q1675" s="116">
        <v>37.1</v>
      </c>
      <c r="R1675">
        <v>1548383</v>
      </c>
    </row>
    <row r="1676" spans="1:18" x14ac:dyDescent="0.25">
      <c r="A1676" s="170">
        <v>44473</v>
      </c>
      <c r="B1676" s="116">
        <v>39</v>
      </c>
      <c r="C1676" s="116">
        <v>39</v>
      </c>
      <c r="D1676" s="116">
        <v>39</v>
      </c>
      <c r="E1676" s="116">
        <v>39</v>
      </c>
      <c r="F1676" s="116">
        <v>39</v>
      </c>
      <c r="G1676">
        <v>828079</v>
      </c>
      <c r="H1676" s="116"/>
      <c r="I1676" s="116"/>
      <c r="L1676" s="170">
        <v>44473</v>
      </c>
      <c r="M1676" s="116">
        <v>38.950000000000003</v>
      </c>
      <c r="N1676" s="116">
        <v>38.950000000000003</v>
      </c>
      <c r="O1676" s="116">
        <v>38.950000000000003</v>
      </c>
      <c r="P1676" s="116">
        <v>38.950000000000003</v>
      </c>
      <c r="Q1676" s="116">
        <v>38.950000000000003</v>
      </c>
      <c r="R1676">
        <v>621960</v>
      </c>
    </row>
    <row r="1677" spans="1:18" x14ac:dyDescent="0.25">
      <c r="A1677" s="170">
        <v>44474</v>
      </c>
      <c r="B1677" s="116">
        <v>40.950000000000003</v>
      </c>
      <c r="C1677" s="116">
        <v>40.950000000000003</v>
      </c>
      <c r="D1677" s="116">
        <v>40.950000000000003</v>
      </c>
      <c r="E1677" s="116">
        <v>40.950000000000003</v>
      </c>
      <c r="F1677" s="116">
        <v>40.950000000000003</v>
      </c>
      <c r="G1677">
        <v>576311</v>
      </c>
      <c r="H1677" s="116"/>
      <c r="I1677" s="116"/>
      <c r="L1677" s="170">
        <v>44474</v>
      </c>
      <c r="M1677" s="116">
        <v>40.85</v>
      </c>
      <c r="N1677" s="116">
        <v>40.85</v>
      </c>
      <c r="O1677" s="116">
        <v>40.85</v>
      </c>
      <c r="P1677" s="116">
        <v>40.85</v>
      </c>
      <c r="Q1677" s="116">
        <v>40.85</v>
      </c>
      <c r="R1677">
        <v>561777</v>
      </c>
    </row>
    <row r="1678" spans="1:18" x14ac:dyDescent="0.25">
      <c r="A1678" s="170">
        <v>44475</v>
      </c>
      <c r="B1678" s="116">
        <v>41.75</v>
      </c>
      <c r="C1678" s="116">
        <v>39.6</v>
      </c>
      <c r="D1678" s="116">
        <v>39.15</v>
      </c>
      <c r="E1678" s="116">
        <v>41.2</v>
      </c>
      <c r="F1678" s="116">
        <v>39.6</v>
      </c>
      <c r="G1678">
        <v>2787071</v>
      </c>
      <c r="H1678" s="116"/>
      <c r="I1678" s="116"/>
      <c r="L1678" s="170">
        <v>44475</v>
      </c>
      <c r="M1678" s="116">
        <v>39.700000000000003</v>
      </c>
      <c r="N1678" s="116">
        <v>41.7</v>
      </c>
      <c r="O1678" s="116">
        <v>39.1</v>
      </c>
      <c r="P1678" s="116">
        <v>41.4</v>
      </c>
      <c r="Q1678" s="116">
        <v>39.700000000000003</v>
      </c>
      <c r="R1678">
        <v>5929137</v>
      </c>
    </row>
    <row r="1679" spans="1:18" x14ac:dyDescent="0.25">
      <c r="A1679" s="170">
        <v>44476</v>
      </c>
      <c r="B1679" s="116">
        <v>41.55</v>
      </c>
      <c r="C1679" s="116">
        <v>41.55</v>
      </c>
      <c r="D1679" s="116">
        <v>39.1</v>
      </c>
      <c r="E1679" s="116">
        <v>40.6</v>
      </c>
      <c r="F1679" s="116">
        <v>41.55</v>
      </c>
      <c r="G1679">
        <v>560375</v>
      </c>
      <c r="H1679" s="116"/>
      <c r="I1679" s="116"/>
      <c r="L1679" s="170">
        <v>44476</v>
      </c>
      <c r="M1679" s="116">
        <v>41.65</v>
      </c>
      <c r="N1679" s="116">
        <v>41.65</v>
      </c>
      <c r="O1679" s="116">
        <v>39</v>
      </c>
      <c r="P1679" s="116">
        <v>40.5</v>
      </c>
      <c r="Q1679" s="116">
        <v>41.65</v>
      </c>
      <c r="R1679">
        <v>2992622</v>
      </c>
    </row>
    <row r="1680" spans="1:18" x14ac:dyDescent="0.25">
      <c r="A1680" s="170">
        <v>44477</v>
      </c>
      <c r="B1680" s="116">
        <v>43.6</v>
      </c>
      <c r="C1680" s="116">
        <v>43.6</v>
      </c>
      <c r="D1680" s="116">
        <v>43.6</v>
      </c>
      <c r="E1680" s="116">
        <v>43.6</v>
      </c>
      <c r="F1680" s="116">
        <v>43.6</v>
      </c>
      <c r="G1680">
        <v>205914</v>
      </c>
      <c r="H1680" s="116"/>
      <c r="I1680" s="116"/>
      <c r="L1680" s="170">
        <v>44477</v>
      </c>
      <c r="M1680" s="116">
        <v>43.7</v>
      </c>
      <c r="N1680" s="116">
        <v>43.7</v>
      </c>
      <c r="O1680" s="116">
        <v>43.7</v>
      </c>
      <c r="P1680" s="116">
        <v>43.7</v>
      </c>
      <c r="Q1680" s="116">
        <v>43.7</v>
      </c>
      <c r="R1680">
        <v>1157989</v>
      </c>
    </row>
    <row r="1681" spans="1:18" x14ac:dyDescent="0.25">
      <c r="A1681" s="170">
        <v>44480</v>
      </c>
      <c r="B1681" s="116">
        <v>45.75</v>
      </c>
      <c r="C1681" s="116">
        <v>45.75</v>
      </c>
      <c r="D1681" s="116">
        <v>45.75</v>
      </c>
      <c r="E1681" s="116">
        <v>45.75</v>
      </c>
      <c r="F1681" s="116">
        <v>45.75</v>
      </c>
      <c r="G1681">
        <v>481565</v>
      </c>
      <c r="H1681" s="116"/>
      <c r="I1681" s="116"/>
      <c r="L1681" s="170">
        <v>44480</v>
      </c>
      <c r="M1681" s="116">
        <v>45.85</v>
      </c>
      <c r="N1681" s="116">
        <v>45.85</v>
      </c>
      <c r="O1681" s="116">
        <v>45.8</v>
      </c>
      <c r="P1681" s="116">
        <v>45.85</v>
      </c>
      <c r="Q1681" s="116">
        <v>45.85</v>
      </c>
      <c r="R1681">
        <v>3211350</v>
      </c>
    </row>
    <row r="1682" spans="1:18" x14ac:dyDescent="0.25">
      <c r="A1682" s="170">
        <v>44481</v>
      </c>
      <c r="B1682" s="116">
        <v>48</v>
      </c>
      <c r="C1682" s="116">
        <v>48</v>
      </c>
      <c r="D1682" s="116">
        <v>46.5</v>
      </c>
      <c r="E1682" s="116">
        <v>48</v>
      </c>
      <c r="F1682" s="116">
        <v>48</v>
      </c>
      <c r="G1682">
        <v>2028988</v>
      </c>
      <c r="H1682" s="116"/>
      <c r="I1682" s="116"/>
      <c r="L1682" s="170">
        <v>44481</v>
      </c>
      <c r="M1682" s="116">
        <v>48.1</v>
      </c>
      <c r="N1682" s="116">
        <v>48.1</v>
      </c>
      <c r="O1682" s="116">
        <v>46.35</v>
      </c>
      <c r="P1682" s="116">
        <v>48</v>
      </c>
      <c r="Q1682" s="116">
        <v>48.1</v>
      </c>
      <c r="R1682">
        <v>8524517</v>
      </c>
    </row>
    <row r="1683" spans="1:18" x14ac:dyDescent="0.25">
      <c r="A1683" s="170">
        <v>44482</v>
      </c>
      <c r="B1683" s="116">
        <v>50.4</v>
      </c>
      <c r="C1683" s="116">
        <v>50.4</v>
      </c>
      <c r="D1683" s="116">
        <v>48.6</v>
      </c>
      <c r="E1683" s="116">
        <v>50.4</v>
      </c>
      <c r="F1683" s="116">
        <v>50.4</v>
      </c>
      <c r="G1683">
        <v>702871</v>
      </c>
      <c r="H1683" s="116"/>
      <c r="I1683" s="116"/>
      <c r="L1683" s="170">
        <v>44482</v>
      </c>
      <c r="M1683" s="116">
        <v>50.5</v>
      </c>
      <c r="N1683" s="116">
        <v>50.5</v>
      </c>
      <c r="O1683" s="116">
        <v>48.5</v>
      </c>
      <c r="P1683" s="116">
        <v>50.5</v>
      </c>
      <c r="Q1683" s="116">
        <v>50.5</v>
      </c>
      <c r="R1683">
        <v>3834002</v>
      </c>
    </row>
    <row r="1684" spans="1:18" x14ac:dyDescent="0.25">
      <c r="A1684" s="170">
        <v>44483</v>
      </c>
      <c r="B1684" s="116">
        <v>52.9</v>
      </c>
      <c r="C1684" s="116">
        <v>52.9</v>
      </c>
      <c r="D1684" s="116">
        <v>52.9</v>
      </c>
      <c r="E1684" s="116">
        <v>52.9</v>
      </c>
      <c r="F1684" s="116">
        <v>52.9</v>
      </c>
      <c r="G1684">
        <v>220569</v>
      </c>
      <c r="H1684" s="116"/>
      <c r="I1684" s="116"/>
      <c r="L1684" s="170">
        <v>44483</v>
      </c>
      <c r="M1684" s="116">
        <v>53</v>
      </c>
      <c r="N1684" s="116">
        <v>53</v>
      </c>
      <c r="O1684" s="116">
        <v>53</v>
      </c>
      <c r="P1684" s="116">
        <v>53</v>
      </c>
      <c r="Q1684" s="116">
        <v>53</v>
      </c>
      <c r="R1684">
        <v>1643343</v>
      </c>
    </row>
    <row r="1685" spans="1:18" x14ac:dyDescent="0.25">
      <c r="A1685" s="170">
        <v>44487</v>
      </c>
      <c r="B1685" s="116">
        <v>55.5</v>
      </c>
      <c r="C1685" s="116">
        <v>55.5</v>
      </c>
      <c r="D1685" s="116">
        <v>53.05</v>
      </c>
      <c r="E1685" s="116">
        <v>55.3</v>
      </c>
      <c r="F1685" s="116">
        <v>55.5</v>
      </c>
      <c r="G1685">
        <v>760139</v>
      </c>
      <c r="H1685" s="116"/>
      <c r="I1685" s="116"/>
      <c r="L1685" s="170">
        <v>44487</v>
      </c>
      <c r="M1685" s="116">
        <v>55.65</v>
      </c>
      <c r="N1685" s="116">
        <v>55.65</v>
      </c>
      <c r="O1685" s="116">
        <v>54.1</v>
      </c>
      <c r="P1685" s="116">
        <v>55.5</v>
      </c>
      <c r="Q1685" s="116">
        <v>55.65</v>
      </c>
      <c r="R1685">
        <v>5769536</v>
      </c>
    </row>
    <row r="1686" spans="1:18" x14ac:dyDescent="0.25">
      <c r="A1686" s="170">
        <v>44488</v>
      </c>
      <c r="B1686" s="116">
        <v>58.25</v>
      </c>
      <c r="C1686" s="116">
        <v>55.6</v>
      </c>
      <c r="D1686" s="116">
        <v>52.75</v>
      </c>
      <c r="E1686" s="116">
        <v>58.25</v>
      </c>
      <c r="F1686" s="116">
        <v>55.6</v>
      </c>
      <c r="G1686">
        <v>2632608</v>
      </c>
      <c r="H1686" s="116"/>
      <c r="I1686" s="116"/>
      <c r="L1686" s="170">
        <v>44488</v>
      </c>
      <c r="M1686" s="116">
        <v>56</v>
      </c>
      <c r="N1686" s="116">
        <v>58.4</v>
      </c>
      <c r="O1686" s="116">
        <v>52.9</v>
      </c>
      <c r="P1686" s="116">
        <v>58.4</v>
      </c>
      <c r="Q1686" s="116">
        <v>56</v>
      </c>
      <c r="R1686">
        <v>16677058</v>
      </c>
    </row>
    <row r="1687" spans="1:18" x14ac:dyDescent="0.25">
      <c r="A1687" s="170">
        <v>44489</v>
      </c>
      <c r="B1687" s="116">
        <v>54.5</v>
      </c>
      <c r="C1687" s="116">
        <v>52.85</v>
      </c>
      <c r="D1687" s="116">
        <v>52.85</v>
      </c>
      <c r="E1687" s="116">
        <v>52.85</v>
      </c>
      <c r="F1687" s="116">
        <v>52.85</v>
      </c>
      <c r="G1687">
        <v>2183037</v>
      </c>
      <c r="H1687" s="116"/>
      <c r="I1687" s="116"/>
      <c r="L1687" s="170">
        <v>44489</v>
      </c>
      <c r="M1687" s="116">
        <v>53.2</v>
      </c>
      <c r="N1687" s="116">
        <v>54.4</v>
      </c>
      <c r="O1687" s="116">
        <v>53.2</v>
      </c>
      <c r="P1687" s="116">
        <v>53.2</v>
      </c>
      <c r="Q1687" s="116">
        <v>53.2</v>
      </c>
      <c r="R1687">
        <v>8227368</v>
      </c>
    </row>
    <row r="1688" spans="1:18" x14ac:dyDescent="0.25">
      <c r="A1688" s="170">
        <v>44490</v>
      </c>
      <c r="B1688" s="116">
        <v>53.9</v>
      </c>
      <c r="C1688" s="116">
        <v>50.25</v>
      </c>
      <c r="D1688" s="116">
        <v>50.25</v>
      </c>
      <c r="E1688" s="116">
        <v>50.25</v>
      </c>
      <c r="F1688" s="116">
        <v>50.25</v>
      </c>
      <c r="G1688">
        <v>3268458</v>
      </c>
      <c r="H1688" s="116"/>
      <c r="I1688" s="116"/>
      <c r="L1688" s="170">
        <v>44490</v>
      </c>
      <c r="M1688" s="116">
        <v>50.55</v>
      </c>
      <c r="N1688" s="116">
        <v>53.7</v>
      </c>
      <c r="O1688" s="116">
        <v>50.55</v>
      </c>
      <c r="P1688" s="116">
        <v>50.55</v>
      </c>
      <c r="Q1688" s="116">
        <v>50.55</v>
      </c>
      <c r="R1688">
        <v>13894269</v>
      </c>
    </row>
    <row r="1689" spans="1:18" x14ac:dyDescent="0.25">
      <c r="A1689" s="170">
        <v>44491</v>
      </c>
      <c r="B1689" s="116">
        <v>50.15</v>
      </c>
      <c r="C1689" s="116">
        <v>47.75</v>
      </c>
      <c r="D1689" s="116">
        <v>47.75</v>
      </c>
      <c r="E1689" s="116">
        <v>49</v>
      </c>
      <c r="F1689" s="116">
        <v>47.75</v>
      </c>
      <c r="G1689">
        <v>2287365</v>
      </c>
      <c r="H1689" s="116"/>
      <c r="I1689" s="116"/>
      <c r="L1689" s="170">
        <v>44491</v>
      </c>
      <c r="M1689" s="116">
        <v>48.05</v>
      </c>
      <c r="N1689" s="116">
        <v>50.2</v>
      </c>
      <c r="O1689" s="116">
        <v>48.05</v>
      </c>
      <c r="P1689" s="116">
        <v>49.1</v>
      </c>
      <c r="Q1689" s="116">
        <v>48.05</v>
      </c>
      <c r="R1689">
        <v>10763363</v>
      </c>
    </row>
    <row r="1690" spans="1:18" x14ac:dyDescent="0.25">
      <c r="A1690" s="170">
        <v>44494</v>
      </c>
      <c r="B1690" s="116">
        <v>50.1</v>
      </c>
      <c r="C1690" s="116">
        <v>50.1</v>
      </c>
      <c r="D1690" s="116">
        <v>46.05</v>
      </c>
      <c r="E1690" s="116">
        <v>47</v>
      </c>
      <c r="F1690" s="116">
        <v>50.1</v>
      </c>
      <c r="G1690">
        <v>1269027</v>
      </c>
      <c r="H1690" s="116"/>
      <c r="I1690" s="116"/>
      <c r="L1690" s="170">
        <v>44494</v>
      </c>
      <c r="M1690" s="116">
        <v>50.45</v>
      </c>
      <c r="N1690" s="116">
        <v>50.45</v>
      </c>
      <c r="O1690" s="116">
        <v>46.25</v>
      </c>
      <c r="P1690" s="116">
        <v>47.2</v>
      </c>
      <c r="Q1690" s="116">
        <v>50.45</v>
      </c>
      <c r="R1690">
        <v>7504309</v>
      </c>
    </row>
    <row r="1691" spans="1:18" x14ac:dyDescent="0.25">
      <c r="A1691" s="170">
        <v>44495</v>
      </c>
      <c r="B1691" s="116">
        <v>52.6</v>
      </c>
      <c r="C1691" s="116">
        <v>52.6</v>
      </c>
      <c r="D1691" s="116">
        <v>51.55</v>
      </c>
      <c r="E1691" s="116">
        <v>52.6</v>
      </c>
      <c r="F1691" s="116">
        <v>52.6</v>
      </c>
      <c r="G1691">
        <v>402104</v>
      </c>
      <c r="H1691" s="116"/>
      <c r="I1691" s="116"/>
      <c r="L1691" s="170">
        <v>44495</v>
      </c>
      <c r="M1691" s="116">
        <v>52.95</v>
      </c>
      <c r="N1691" s="116">
        <v>52.95</v>
      </c>
      <c r="O1691" s="116">
        <v>51.55</v>
      </c>
      <c r="P1691" s="116">
        <v>52</v>
      </c>
      <c r="Q1691" s="116">
        <v>52.95</v>
      </c>
      <c r="R1691">
        <v>2244743</v>
      </c>
    </row>
    <row r="1692" spans="1:18" x14ac:dyDescent="0.25">
      <c r="A1692" s="170">
        <v>44496</v>
      </c>
      <c r="B1692" s="116">
        <v>55.2</v>
      </c>
      <c r="C1692" s="116">
        <v>55.2</v>
      </c>
      <c r="D1692" s="116">
        <v>55.2</v>
      </c>
      <c r="E1692" s="116">
        <v>55.2</v>
      </c>
      <c r="F1692" s="116">
        <v>55.2</v>
      </c>
      <c r="G1692">
        <v>98739</v>
      </c>
      <c r="H1692" s="116"/>
      <c r="I1692" s="116"/>
      <c r="L1692" s="170">
        <v>44496</v>
      </c>
      <c r="M1692" s="116">
        <v>55.55</v>
      </c>
      <c r="N1692" s="116">
        <v>55.55</v>
      </c>
      <c r="O1692" s="116">
        <v>55.55</v>
      </c>
      <c r="P1692" s="116">
        <v>55.55</v>
      </c>
      <c r="Q1692" s="116">
        <v>55.55</v>
      </c>
      <c r="R1692">
        <v>1222803</v>
      </c>
    </row>
    <row r="1693" spans="1:18" x14ac:dyDescent="0.25">
      <c r="A1693" s="170">
        <v>44497</v>
      </c>
      <c r="B1693" s="116">
        <v>57.95</v>
      </c>
      <c r="C1693" s="116">
        <v>53.35</v>
      </c>
      <c r="D1693" s="116">
        <v>52.45</v>
      </c>
      <c r="E1693" s="116">
        <v>56.8</v>
      </c>
      <c r="F1693" s="116">
        <v>53.35</v>
      </c>
      <c r="G1693">
        <v>3875210</v>
      </c>
      <c r="H1693" s="116"/>
      <c r="I1693" s="116"/>
      <c r="L1693" s="170">
        <v>44497</v>
      </c>
      <c r="M1693" s="116">
        <v>53.45</v>
      </c>
      <c r="N1693" s="116">
        <v>58.3</v>
      </c>
      <c r="O1693" s="116">
        <v>52.8</v>
      </c>
      <c r="P1693" s="116">
        <v>56.9</v>
      </c>
      <c r="Q1693" s="116">
        <v>53.45</v>
      </c>
      <c r="R1693">
        <v>20874476</v>
      </c>
    </row>
    <row r="1694" spans="1:18" x14ac:dyDescent="0.25">
      <c r="A1694" s="170">
        <v>44498</v>
      </c>
      <c r="B1694" s="116">
        <v>55</v>
      </c>
      <c r="C1694" s="116">
        <v>52.55</v>
      </c>
      <c r="D1694" s="116">
        <v>50.85</v>
      </c>
      <c r="E1694" s="116">
        <v>55</v>
      </c>
      <c r="F1694" s="116">
        <v>52.55</v>
      </c>
      <c r="G1694">
        <v>980028</v>
      </c>
      <c r="H1694" s="116"/>
      <c r="I1694" s="116"/>
      <c r="L1694" s="170">
        <v>44498</v>
      </c>
      <c r="M1694" s="116">
        <v>52.6</v>
      </c>
      <c r="N1694" s="116">
        <v>55.25</v>
      </c>
      <c r="O1694" s="116">
        <v>50.8</v>
      </c>
      <c r="P1694" s="116">
        <v>55.25</v>
      </c>
      <c r="Q1694" s="116">
        <v>52.6</v>
      </c>
      <c r="R1694">
        <v>6268758</v>
      </c>
    </row>
    <row r="1695" spans="1:18" x14ac:dyDescent="0.25">
      <c r="A1695" s="170">
        <v>44501</v>
      </c>
      <c r="B1695" s="116">
        <v>55.15</v>
      </c>
      <c r="C1695" s="116">
        <v>55.15</v>
      </c>
      <c r="D1695" s="116">
        <v>54</v>
      </c>
      <c r="E1695" s="116">
        <v>54.05</v>
      </c>
      <c r="F1695" s="116">
        <v>55.15</v>
      </c>
      <c r="G1695">
        <v>1552729</v>
      </c>
      <c r="H1695" s="116"/>
      <c r="I1695" s="116"/>
      <c r="L1695" s="170">
        <v>44501</v>
      </c>
      <c r="M1695" s="116">
        <v>55.2</v>
      </c>
      <c r="N1695" s="116">
        <v>55.2</v>
      </c>
      <c r="O1695" s="116">
        <v>53.7</v>
      </c>
      <c r="P1695" s="116">
        <v>55.15</v>
      </c>
      <c r="Q1695" s="116">
        <v>55.2</v>
      </c>
      <c r="R1695">
        <v>9405027</v>
      </c>
    </row>
    <row r="1696" spans="1:18" x14ac:dyDescent="0.25">
      <c r="A1696" s="170">
        <v>44502</v>
      </c>
      <c r="B1696" s="116">
        <v>57.9</v>
      </c>
      <c r="C1696" s="116">
        <v>57.9</v>
      </c>
      <c r="D1696" s="116">
        <v>55.4</v>
      </c>
      <c r="E1696" s="116">
        <v>57.4</v>
      </c>
      <c r="F1696" s="116">
        <v>57.9</v>
      </c>
      <c r="G1696">
        <v>1221698</v>
      </c>
      <c r="H1696" s="116"/>
      <c r="I1696" s="116"/>
      <c r="L1696" s="170">
        <v>44502</v>
      </c>
      <c r="M1696" s="116">
        <v>57.95</v>
      </c>
      <c r="N1696" s="116">
        <v>57.95</v>
      </c>
      <c r="O1696" s="116">
        <v>55.4</v>
      </c>
      <c r="P1696" s="116">
        <v>57.15</v>
      </c>
      <c r="Q1696" s="116">
        <v>57.95</v>
      </c>
      <c r="R1696">
        <v>7906925</v>
      </c>
    </row>
    <row r="1697" spans="1:18" x14ac:dyDescent="0.25">
      <c r="A1697" s="170">
        <v>44503</v>
      </c>
      <c r="B1697" s="116">
        <v>60.75</v>
      </c>
      <c r="C1697" s="116">
        <v>60.75</v>
      </c>
      <c r="D1697" s="116">
        <v>59.2</v>
      </c>
      <c r="E1697" s="116">
        <v>60.75</v>
      </c>
      <c r="F1697" s="116">
        <v>60.75</v>
      </c>
      <c r="G1697">
        <v>4835321</v>
      </c>
      <c r="H1697" s="116"/>
      <c r="I1697" s="116"/>
      <c r="L1697" s="170">
        <v>44503</v>
      </c>
      <c r="M1697" s="116">
        <v>60.8</v>
      </c>
      <c r="N1697" s="116">
        <v>60.8</v>
      </c>
      <c r="O1697" s="116">
        <v>59.15</v>
      </c>
      <c r="P1697" s="116">
        <v>60.8</v>
      </c>
      <c r="Q1697" s="116">
        <v>60.8</v>
      </c>
      <c r="R1697">
        <v>27925793</v>
      </c>
    </row>
    <row r="1698" spans="1:18" x14ac:dyDescent="0.25">
      <c r="A1698" s="170">
        <v>44504</v>
      </c>
      <c r="B1698" s="116">
        <v>63.75</v>
      </c>
      <c r="C1698" s="116">
        <v>63.75</v>
      </c>
      <c r="D1698" s="116">
        <v>62.05</v>
      </c>
      <c r="E1698" s="116">
        <v>62.7</v>
      </c>
      <c r="F1698" s="116">
        <v>63.75</v>
      </c>
      <c r="G1698">
        <v>666072</v>
      </c>
      <c r="H1698" s="116"/>
      <c r="I1698" s="116"/>
      <c r="L1698" s="170">
        <v>44504</v>
      </c>
      <c r="M1698" s="116">
        <v>63.8</v>
      </c>
      <c r="N1698" s="116">
        <v>63.8</v>
      </c>
      <c r="O1698" s="116">
        <v>62</v>
      </c>
      <c r="P1698" s="116">
        <v>62.7</v>
      </c>
      <c r="Q1698" s="116">
        <v>63.8</v>
      </c>
      <c r="R1698">
        <v>4351021</v>
      </c>
    </row>
    <row r="1699" spans="1:18" x14ac:dyDescent="0.25">
      <c r="A1699" s="170">
        <v>44508</v>
      </c>
      <c r="B1699" s="116">
        <v>66.900000000000006</v>
      </c>
      <c r="C1699" s="116">
        <v>66.900000000000006</v>
      </c>
      <c r="D1699" s="116">
        <v>65.5</v>
      </c>
      <c r="E1699" s="116">
        <v>66.900000000000006</v>
      </c>
      <c r="F1699" s="116">
        <v>66.900000000000006</v>
      </c>
      <c r="G1699">
        <v>1355237</v>
      </c>
      <c r="H1699" s="116"/>
      <c r="I1699" s="116"/>
      <c r="L1699" s="170">
        <v>44508</v>
      </c>
      <c r="M1699" s="116">
        <v>66.95</v>
      </c>
      <c r="N1699" s="116">
        <v>66.95</v>
      </c>
      <c r="O1699" s="116">
        <v>65.2</v>
      </c>
      <c r="P1699" s="116">
        <v>66.95</v>
      </c>
      <c r="Q1699" s="116">
        <v>66.95</v>
      </c>
      <c r="R1699">
        <v>7108390</v>
      </c>
    </row>
    <row r="1700" spans="1:18" x14ac:dyDescent="0.25">
      <c r="A1700" s="170">
        <v>44509</v>
      </c>
      <c r="B1700" s="116">
        <v>70.2</v>
      </c>
      <c r="C1700" s="116">
        <v>70.2</v>
      </c>
      <c r="D1700" s="116">
        <v>67.45</v>
      </c>
      <c r="E1700" s="116">
        <v>70.2</v>
      </c>
      <c r="F1700" s="116">
        <v>70.2</v>
      </c>
      <c r="G1700">
        <v>5089532</v>
      </c>
      <c r="H1700" s="116"/>
      <c r="I1700" s="116"/>
      <c r="L1700" s="170">
        <v>44509</v>
      </c>
      <c r="M1700" s="116">
        <v>70.25</v>
      </c>
      <c r="N1700" s="116">
        <v>70.25</v>
      </c>
      <c r="O1700" s="116">
        <v>67.25</v>
      </c>
      <c r="P1700" s="116">
        <v>70.25</v>
      </c>
      <c r="Q1700" s="116">
        <v>70.25</v>
      </c>
      <c r="R1700">
        <v>27702811</v>
      </c>
    </row>
    <row r="1701" spans="1:18" x14ac:dyDescent="0.25">
      <c r="A1701" s="170">
        <v>44510</v>
      </c>
      <c r="B1701" s="116">
        <v>73.7</v>
      </c>
      <c r="C1701" s="116">
        <v>72.75</v>
      </c>
      <c r="D1701" s="116">
        <v>68</v>
      </c>
      <c r="E1701" s="116">
        <v>72.599999999999994</v>
      </c>
      <c r="F1701" s="116">
        <v>72.75</v>
      </c>
      <c r="G1701">
        <v>3079692</v>
      </c>
      <c r="H1701" s="116"/>
      <c r="I1701" s="116"/>
      <c r="L1701" s="170">
        <v>44510</v>
      </c>
      <c r="M1701" s="116">
        <v>73.05</v>
      </c>
      <c r="N1701" s="116">
        <v>73.75</v>
      </c>
      <c r="O1701" s="116">
        <v>68</v>
      </c>
      <c r="P1701" s="116">
        <v>72</v>
      </c>
      <c r="Q1701" s="116">
        <v>73.05</v>
      </c>
      <c r="R1701">
        <v>20937342</v>
      </c>
    </row>
    <row r="1702" spans="1:18" x14ac:dyDescent="0.25">
      <c r="A1702" s="170">
        <v>44511</v>
      </c>
      <c r="B1702" s="116">
        <v>72.2</v>
      </c>
      <c r="C1702" s="116">
        <v>69.150000000000006</v>
      </c>
      <c r="D1702" s="116">
        <v>69.150000000000006</v>
      </c>
      <c r="E1702" s="116">
        <v>72.2</v>
      </c>
      <c r="F1702" s="116">
        <v>69.150000000000006</v>
      </c>
      <c r="G1702">
        <v>1025275</v>
      </c>
      <c r="H1702" s="116"/>
      <c r="I1702" s="116"/>
      <c r="L1702" s="170">
        <v>44511</v>
      </c>
      <c r="M1702" s="116">
        <v>69.400000000000006</v>
      </c>
      <c r="N1702" s="116">
        <v>72.25</v>
      </c>
      <c r="O1702" s="116">
        <v>69.400000000000006</v>
      </c>
      <c r="P1702" s="116">
        <v>72.25</v>
      </c>
      <c r="Q1702" s="116">
        <v>69.400000000000006</v>
      </c>
      <c r="R1702">
        <v>6237585</v>
      </c>
    </row>
    <row r="1703" spans="1:18" x14ac:dyDescent="0.25">
      <c r="A1703" s="170">
        <v>44512</v>
      </c>
      <c r="B1703" s="116">
        <v>65.7</v>
      </c>
      <c r="C1703" s="116">
        <v>65.7</v>
      </c>
      <c r="D1703" s="116">
        <v>65.7</v>
      </c>
      <c r="E1703" s="116">
        <v>65.7</v>
      </c>
      <c r="F1703" s="116">
        <v>65.7</v>
      </c>
      <c r="G1703">
        <v>376651</v>
      </c>
      <c r="H1703" s="116"/>
      <c r="I1703" s="116"/>
      <c r="L1703" s="170">
        <v>44512</v>
      </c>
      <c r="M1703" s="116">
        <v>65.95</v>
      </c>
      <c r="N1703" s="116">
        <v>65.95</v>
      </c>
      <c r="O1703" s="116">
        <v>65.95</v>
      </c>
      <c r="P1703" s="116">
        <v>65.95</v>
      </c>
      <c r="Q1703" s="116">
        <v>65.95</v>
      </c>
      <c r="R1703">
        <v>1469150</v>
      </c>
    </row>
    <row r="1704" spans="1:18" x14ac:dyDescent="0.25">
      <c r="A1704" s="170">
        <v>44515</v>
      </c>
      <c r="B1704" s="116">
        <v>68.95</v>
      </c>
      <c r="C1704" s="116">
        <v>68.95</v>
      </c>
      <c r="D1704" s="116">
        <v>64.099999999999994</v>
      </c>
      <c r="E1704" s="116">
        <v>64.099999999999994</v>
      </c>
      <c r="F1704" s="116">
        <v>68.95</v>
      </c>
      <c r="G1704">
        <v>2177253</v>
      </c>
      <c r="H1704" s="116"/>
      <c r="I1704" s="116"/>
      <c r="L1704" s="170">
        <v>44515</v>
      </c>
      <c r="M1704" s="116">
        <v>69.2</v>
      </c>
      <c r="N1704" s="116">
        <v>69.2</v>
      </c>
      <c r="O1704" s="116">
        <v>64.150000000000006</v>
      </c>
      <c r="P1704" s="116">
        <v>64.150000000000006</v>
      </c>
      <c r="Q1704" s="116">
        <v>69.2</v>
      </c>
      <c r="R1704">
        <v>18195072</v>
      </c>
    </row>
    <row r="1705" spans="1:18" x14ac:dyDescent="0.25">
      <c r="A1705" s="170">
        <v>44516</v>
      </c>
      <c r="B1705" s="116">
        <v>72.349999999999994</v>
      </c>
      <c r="C1705" s="116">
        <v>72.349999999999994</v>
      </c>
      <c r="D1705" s="116">
        <v>71.05</v>
      </c>
      <c r="E1705" s="116">
        <v>71.05</v>
      </c>
      <c r="F1705" s="116">
        <v>72.349999999999994</v>
      </c>
      <c r="G1705">
        <v>171311</v>
      </c>
      <c r="H1705" s="116"/>
      <c r="I1705" s="116"/>
      <c r="L1705" s="170">
        <v>44516</v>
      </c>
      <c r="M1705" s="116">
        <v>72.650000000000006</v>
      </c>
      <c r="N1705" s="116">
        <v>72.650000000000006</v>
      </c>
      <c r="O1705" s="116">
        <v>71.7</v>
      </c>
      <c r="P1705" s="116">
        <v>72</v>
      </c>
      <c r="Q1705" s="116">
        <v>72.650000000000006</v>
      </c>
      <c r="R1705">
        <v>2923586</v>
      </c>
    </row>
    <row r="1706" spans="1:18" x14ac:dyDescent="0.25">
      <c r="A1706" s="170">
        <v>44517</v>
      </c>
      <c r="B1706" s="116">
        <v>75.95</v>
      </c>
      <c r="C1706" s="116">
        <v>75.95</v>
      </c>
      <c r="D1706" s="116">
        <v>75.75</v>
      </c>
      <c r="E1706" s="116">
        <v>75.75</v>
      </c>
      <c r="F1706" s="116">
        <v>75.95</v>
      </c>
      <c r="G1706">
        <v>790803</v>
      </c>
      <c r="H1706" s="116"/>
      <c r="I1706" s="116"/>
      <c r="L1706" s="170">
        <v>44517</v>
      </c>
      <c r="M1706" s="116">
        <v>76.25</v>
      </c>
      <c r="N1706" s="116">
        <v>76.25</v>
      </c>
      <c r="O1706" s="116">
        <v>75.2</v>
      </c>
      <c r="P1706" s="116">
        <v>76.2</v>
      </c>
      <c r="Q1706" s="116">
        <v>76.25</v>
      </c>
      <c r="R1706">
        <v>3946772</v>
      </c>
    </row>
    <row r="1707" spans="1:18" x14ac:dyDescent="0.25">
      <c r="A1707" s="170">
        <v>44518</v>
      </c>
      <c r="B1707" s="116">
        <v>79.7</v>
      </c>
      <c r="C1707" s="116">
        <v>79.7</v>
      </c>
      <c r="D1707" s="116">
        <v>74</v>
      </c>
      <c r="E1707" s="116">
        <v>79.7</v>
      </c>
      <c r="F1707" s="116">
        <v>79.7</v>
      </c>
      <c r="G1707">
        <v>3202318</v>
      </c>
      <c r="H1707" s="116"/>
      <c r="I1707" s="116"/>
      <c r="L1707" s="170">
        <v>44518</v>
      </c>
      <c r="M1707" s="116">
        <v>80.05</v>
      </c>
      <c r="N1707" s="116">
        <v>80.05</v>
      </c>
      <c r="O1707" s="116">
        <v>74</v>
      </c>
      <c r="P1707" s="116">
        <v>80.05</v>
      </c>
      <c r="Q1707" s="116">
        <v>80.05</v>
      </c>
      <c r="R1707">
        <v>24340979</v>
      </c>
    </row>
    <row r="1708" spans="1:18" x14ac:dyDescent="0.25">
      <c r="A1708" s="170">
        <v>44522</v>
      </c>
      <c r="B1708" s="116">
        <v>83.65</v>
      </c>
      <c r="C1708" s="116">
        <v>83.65</v>
      </c>
      <c r="D1708" s="116">
        <v>82</v>
      </c>
      <c r="E1708" s="116">
        <v>83.65</v>
      </c>
      <c r="F1708" s="116">
        <v>83.65</v>
      </c>
      <c r="G1708">
        <v>1817918</v>
      </c>
      <c r="H1708" s="116"/>
      <c r="I1708" s="116"/>
      <c r="L1708" s="170">
        <v>44522</v>
      </c>
      <c r="M1708" s="116">
        <v>84.05</v>
      </c>
      <c r="N1708" s="116">
        <v>84.05</v>
      </c>
      <c r="O1708" s="116">
        <v>82</v>
      </c>
      <c r="P1708" s="116">
        <v>84.05</v>
      </c>
      <c r="Q1708" s="116">
        <v>84.05</v>
      </c>
      <c r="R1708">
        <v>10099501</v>
      </c>
    </row>
    <row r="1709" spans="1:18" x14ac:dyDescent="0.25">
      <c r="A1709" s="170">
        <v>44523</v>
      </c>
      <c r="B1709" s="116">
        <v>87.8</v>
      </c>
      <c r="C1709" s="116">
        <v>87.8</v>
      </c>
      <c r="D1709" s="116">
        <v>86.3</v>
      </c>
      <c r="E1709" s="116">
        <v>87.8</v>
      </c>
      <c r="F1709" s="116">
        <v>87.8</v>
      </c>
      <c r="G1709">
        <v>769159</v>
      </c>
      <c r="H1709" s="116"/>
      <c r="I1709" s="116"/>
      <c r="L1709" s="170">
        <v>44523</v>
      </c>
      <c r="M1709" s="116">
        <v>88.25</v>
      </c>
      <c r="N1709" s="116">
        <v>88.25</v>
      </c>
      <c r="O1709" s="116">
        <v>86.3</v>
      </c>
      <c r="P1709" s="116">
        <v>88.25</v>
      </c>
      <c r="Q1709" s="116">
        <v>88.25</v>
      </c>
      <c r="R1709">
        <v>7585166</v>
      </c>
    </row>
    <row r="1710" spans="1:18" x14ac:dyDescent="0.25">
      <c r="A1710" s="170">
        <v>44524</v>
      </c>
      <c r="B1710" s="116">
        <v>92.15</v>
      </c>
      <c r="C1710" s="116">
        <v>92.15</v>
      </c>
      <c r="D1710" s="116">
        <v>92.15</v>
      </c>
      <c r="E1710" s="116">
        <v>92.15</v>
      </c>
      <c r="F1710" s="116">
        <v>92.15</v>
      </c>
      <c r="G1710">
        <v>50425</v>
      </c>
      <c r="H1710" s="116"/>
      <c r="I1710" s="116"/>
      <c r="L1710" s="170">
        <v>44524</v>
      </c>
      <c r="M1710" s="116">
        <v>92.65</v>
      </c>
      <c r="N1710" s="116">
        <v>92.65</v>
      </c>
      <c r="O1710" s="116">
        <v>92.65</v>
      </c>
      <c r="P1710" s="116">
        <v>92.65</v>
      </c>
      <c r="Q1710" s="116">
        <v>92.65</v>
      </c>
      <c r="R1710">
        <v>1305223</v>
      </c>
    </row>
    <row r="1711" spans="1:18" x14ac:dyDescent="0.25">
      <c r="A1711" s="170">
        <v>44525</v>
      </c>
      <c r="B1711" s="116">
        <v>96.75</v>
      </c>
      <c r="C1711" s="116">
        <v>96.75</v>
      </c>
      <c r="D1711" s="116">
        <v>96.75</v>
      </c>
      <c r="E1711" s="116">
        <v>96.75</v>
      </c>
      <c r="F1711" s="116">
        <v>96.75</v>
      </c>
      <c r="G1711">
        <v>71815</v>
      </c>
      <c r="H1711" s="116"/>
      <c r="I1711" s="116"/>
      <c r="L1711" s="170">
        <v>44525</v>
      </c>
      <c r="M1711" s="116">
        <v>97.25</v>
      </c>
      <c r="N1711" s="116">
        <v>97.25</v>
      </c>
      <c r="O1711" s="116">
        <v>97.25</v>
      </c>
      <c r="P1711" s="116">
        <v>97.25</v>
      </c>
      <c r="Q1711" s="116">
        <v>97.25</v>
      </c>
      <c r="R1711">
        <v>1525488</v>
      </c>
    </row>
    <row r="1712" spans="1:18" x14ac:dyDescent="0.25">
      <c r="A1712" s="170">
        <v>44526</v>
      </c>
      <c r="B1712" s="116">
        <v>101.55</v>
      </c>
      <c r="C1712" s="116">
        <v>101.55</v>
      </c>
      <c r="D1712" s="116">
        <v>93.25</v>
      </c>
      <c r="E1712" s="116">
        <v>98.2</v>
      </c>
      <c r="F1712" s="116">
        <v>101.55</v>
      </c>
      <c r="G1712">
        <v>4091800</v>
      </c>
      <c r="H1712" s="116"/>
      <c r="I1712" s="116"/>
      <c r="L1712" s="170">
        <v>44526</v>
      </c>
      <c r="M1712" s="116">
        <v>102.1</v>
      </c>
      <c r="N1712" s="116">
        <v>102.1</v>
      </c>
      <c r="O1712" s="116">
        <v>93.55</v>
      </c>
      <c r="P1712" s="116">
        <v>97.25</v>
      </c>
      <c r="Q1712" s="116">
        <v>102.1</v>
      </c>
      <c r="R1712">
        <v>33246223</v>
      </c>
    </row>
    <row r="1713" spans="1:18" x14ac:dyDescent="0.25">
      <c r="A1713" s="170">
        <v>44529</v>
      </c>
      <c r="B1713" s="116">
        <v>106.6</v>
      </c>
      <c r="C1713" s="116">
        <v>106.6</v>
      </c>
      <c r="D1713" s="116">
        <v>96.5</v>
      </c>
      <c r="E1713" s="116">
        <v>106.6</v>
      </c>
      <c r="F1713" s="116">
        <v>106.6</v>
      </c>
      <c r="G1713">
        <v>5258605</v>
      </c>
      <c r="H1713" s="116"/>
      <c r="I1713" s="116"/>
      <c r="L1713" s="170">
        <v>44529</v>
      </c>
      <c r="M1713" s="116">
        <v>107.2</v>
      </c>
      <c r="N1713" s="116">
        <v>107.2</v>
      </c>
      <c r="O1713" s="116">
        <v>97</v>
      </c>
      <c r="P1713" s="116">
        <v>105.5</v>
      </c>
      <c r="Q1713" s="116">
        <v>107.2</v>
      </c>
      <c r="R1713">
        <v>36724207</v>
      </c>
    </row>
    <row r="1714" spans="1:18" x14ac:dyDescent="0.25">
      <c r="A1714" s="170">
        <v>44530</v>
      </c>
      <c r="B1714" s="116">
        <v>111.9</v>
      </c>
      <c r="C1714" s="116">
        <v>111.9</v>
      </c>
      <c r="D1714" s="116">
        <v>109.35</v>
      </c>
      <c r="E1714" s="116">
        <v>109.95</v>
      </c>
      <c r="F1714" s="116">
        <v>111.9</v>
      </c>
      <c r="G1714">
        <v>2202959</v>
      </c>
      <c r="H1714" s="116"/>
      <c r="I1714" s="116"/>
      <c r="L1714" s="170">
        <v>44530</v>
      </c>
      <c r="M1714" s="116">
        <v>112.55</v>
      </c>
      <c r="N1714" s="116">
        <v>112.55</v>
      </c>
      <c r="O1714" s="116">
        <v>109.5</v>
      </c>
      <c r="P1714" s="116">
        <v>110</v>
      </c>
      <c r="Q1714" s="116">
        <v>112.55</v>
      </c>
      <c r="R1714">
        <v>20752623</v>
      </c>
    </row>
    <row r="1715" spans="1:18" x14ac:dyDescent="0.25">
      <c r="A1715" s="170">
        <v>44531</v>
      </c>
      <c r="B1715" s="116">
        <v>117.45</v>
      </c>
      <c r="C1715" s="116">
        <v>117.45</v>
      </c>
      <c r="D1715" s="116">
        <v>117.45</v>
      </c>
      <c r="E1715" s="116">
        <v>117.45</v>
      </c>
      <c r="F1715" s="116">
        <v>117.45</v>
      </c>
      <c r="G1715">
        <v>70094</v>
      </c>
      <c r="H1715" s="116"/>
      <c r="I1715" s="116"/>
      <c r="L1715" s="170">
        <v>44531</v>
      </c>
      <c r="M1715" s="116">
        <v>118.15</v>
      </c>
      <c r="N1715" s="116">
        <v>118.15</v>
      </c>
      <c r="O1715" s="116">
        <v>118.15</v>
      </c>
      <c r="P1715" s="116">
        <v>118.15</v>
      </c>
      <c r="Q1715" s="116">
        <v>118.15</v>
      </c>
      <c r="R1715">
        <v>1498841</v>
      </c>
    </row>
    <row r="1716" spans="1:18" x14ac:dyDescent="0.25">
      <c r="A1716" s="170">
        <v>44532</v>
      </c>
      <c r="B1716" s="116">
        <v>123.3</v>
      </c>
      <c r="C1716" s="116">
        <v>123.3</v>
      </c>
      <c r="D1716" s="116">
        <v>123.3</v>
      </c>
      <c r="E1716" s="116">
        <v>123.3</v>
      </c>
      <c r="F1716" s="116">
        <v>123.3</v>
      </c>
      <c r="G1716">
        <v>75969</v>
      </c>
      <c r="H1716" s="116"/>
      <c r="I1716" s="116"/>
      <c r="L1716" s="170">
        <v>44532</v>
      </c>
      <c r="M1716" s="116">
        <v>124.05</v>
      </c>
      <c r="N1716" s="116">
        <v>124.05</v>
      </c>
      <c r="O1716" s="116">
        <v>124.05</v>
      </c>
      <c r="P1716" s="116">
        <v>124.05</v>
      </c>
      <c r="Q1716" s="116">
        <v>124.05</v>
      </c>
      <c r="R1716">
        <v>1186867</v>
      </c>
    </row>
    <row r="1717" spans="1:18" x14ac:dyDescent="0.25">
      <c r="A1717" s="170">
        <v>44533</v>
      </c>
      <c r="B1717" s="116">
        <v>129.44999999999999</v>
      </c>
      <c r="C1717" s="116">
        <v>129.44999999999999</v>
      </c>
      <c r="D1717" s="116">
        <v>129.44999999999999</v>
      </c>
      <c r="E1717" s="116">
        <v>129.44999999999999</v>
      </c>
      <c r="F1717" s="116">
        <v>129.44999999999999</v>
      </c>
      <c r="G1717">
        <v>90256</v>
      </c>
      <c r="H1717" s="116"/>
      <c r="I1717" s="116"/>
      <c r="L1717" s="170">
        <v>44533</v>
      </c>
      <c r="M1717" s="116">
        <v>130.25</v>
      </c>
      <c r="N1717" s="116">
        <v>130.25</v>
      </c>
      <c r="O1717" s="116">
        <v>130.25</v>
      </c>
      <c r="P1717" s="116">
        <v>130.25</v>
      </c>
      <c r="Q1717" s="116">
        <v>130.25</v>
      </c>
      <c r="R1717">
        <v>1544445</v>
      </c>
    </row>
    <row r="1718" spans="1:18" x14ac:dyDescent="0.25">
      <c r="A1718" s="170">
        <v>44536</v>
      </c>
      <c r="B1718" s="116">
        <v>135.9</v>
      </c>
      <c r="C1718" s="116">
        <v>135.9</v>
      </c>
      <c r="D1718" s="116">
        <v>135.9</v>
      </c>
      <c r="E1718" s="116">
        <v>135.9</v>
      </c>
      <c r="F1718" s="116">
        <v>135.9</v>
      </c>
      <c r="G1718">
        <v>98587</v>
      </c>
      <c r="H1718" s="116"/>
      <c r="I1718" s="116"/>
      <c r="L1718" s="170">
        <v>44536</v>
      </c>
      <c r="M1718" s="116">
        <v>136.75</v>
      </c>
      <c r="N1718" s="116">
        <v>136.75</v>
      </c>
      <c r="O1718" s="116">
        <v>136.75</v>
      </c>
      <c r="P1718" s="116">
        <v>136.75</v>
      </c>
      <c r="Q1718" s="116">
        <v>136.75</v>
      </c>
      <c r="R1718">
        <v>1344225</v>
      </c>
    </row>
    <row r="1719" spans="1:18" x14ac:dyDescent="0.25">
      <c r="A1719" s="170">
        <v>44537</v>
      </c>
      <c r="B1719" s="116">
        <v>142.65</v>
      </c>
      <c r="C1719" s="116">
        <v>142.25</v>
      </c>
      <c r="D1719" s="116">
        <v>133.19999999999999</v>
      </c>
      <c r="E1719" s="116">
        <v>142.65</v>
      </c>
      <c r="F1719" s="116">
        <v>142.25</v>
      </c>
      <c r="G1719">
        <v>869719</v>
      </c>
      <c r="H1719" s="116"/>
      <c r="I1719" s="116"/>
      <c r="L1719" s="170">
        <v>44537</v>
      </c>
      <c r="M1719" s="116">
        <v>141.55000000000001</v>
      </c>
      <c r="N1719" s="116">
        <v>143.55000000000001</v>
      </c>
      <c r="O1719" s="116">
        <v>133</v>
      </c>
      <c r="P1719" s="116">
        <v>143.55000000000001</v>
      </c>
      <c r="Q1719" s="116">
        <v>141.55000000000001</v>
      </c>
      <c r="R1719">
        <v>10722613</v>
      </c>
    </row>
    <row r="1720" spans="1:18" x14ac:dyDescent="0.25">
      <c r="A1720" s="170">
        <v>44538</v>
      </c>
      <c r="B1720" s="116">
        <v>135.15</v>
      </c>
      <c r="C1720" s="116">
        <v>135.15</v>
      </c>
      <c r="D1720" s="116">
        <v>135.15</v>
      </c>
      <c r="E1720" s="116">
        <v>135.15</v>
      </c>
      <c r="F1720" s="116">
        <v>135.15</v>
      </c>
      <c r="G1720">
        <v>459427</v>
      </c>
      <c r="H1720" s="116"/>
      <c r="I1720" s="116"/>
      <c r="L1720" s="170">
        <v>44538</v>
      </c>
      <c r="M1720" s="116">
        <v>134.5</v>
      </c>
      <c r="N1720" s="116">
        <v>134.5</v>
      </c>
      <c r="O1720" s="116">
        <v>134.5</v>
      </c>
      <c r="P1720" s="116">
        <v>134.5</v>
      </c>
      <c r="Q1720" s="116">
        <v>134.5</v>
      </c>
      <c r="R1720">
        <v>5452150</v>
      </c>
    </row>
    <row r="1721" spans="1:18" x14ac:dyDescent="0.25">
      <c r="A1721" s="170">
        <v>44539</v>
      </c>
      <c r="B1721" s="116">
        <v>141.9</v>
      </c>
      <c r="C1721" s="116">
        <v>141.9</v>
      </c>
      <c r="D1721" s="116">
        <v>128.4</v>
      </c>
      <c r="E1721" s="116">
        <v>129.19999999999999</v>
      </c>
      <c r="F1721" s="116">
        <v>141.9</v>
      </c>
      <c r="G1721">
        <v>9218159</v>
      </c>
      <c r="H1721" s="116"/>
      <c r="I1721" s="116"/>
      <c r="L1721" s="170">
        <v>44539</v>
      </c>
      <c r="M1721" s="116">
        <v>141.19999999999999</v>
      </c>
      <c r="N1721" s="116">
        <v>141.19999999999999</v>
      </c>
      <c r="O1721" s="116">
        <v>128</v>
      </c>
      <c r="P1721" s="116">
        <v>128</v>
      </c>
      <c r="Q1721" s="116">
        <v>141.19999999999999</v>
      </c>
      <c r="R1721">
        <v>26305158</v>
      </c>
    </row>
    <row r="1722" spans="1:18" x14ac:dyDescent="0.25">
      <c r="A1722" s="170">
        <v>44540</v>
      </c>
      <c r="B1722" s="116">
        <v>148.94999999999999</v>
      </c>
      <c r="C1722" s="116">
        <v>148.94999999999999</v>
      </c>
      <c r="D1722" s="116">
        <v>137.5</v>
      </c>
      <c r="E1722" s="116">
        <v>146.9</v>
      </c>
      <c r="F1722" s="116">
        <v>148.94999999999999</v>
      </c>
      <c r="G1722">
        <v>1122263</v>
      </c>
      <c r="H1722" s="116"/>
      <c r="I1722" s="116"/>
      <c r="L1722" s="170">
        <v>44540</v>
      </c>
      <c r="M1722" s="116">
        <v>148.25</v>
      </c>
      <c r="N1722" s="116">
        <v>148.25</v>
      </c>
      <c r="O1722" s="116">
        <v>141</v>
      </c>
      <c r="P1722" s="116">
        <v>144.9</v>
      </c>
      <c r="Q1722" s="116">
        <v>148.25</v>
      </c>
      <c r="R1722">
        <v>1446964</v>
      </c>
    </row>
    <row r="1723" spans="1:18" x14ac:dyDescent="0.25">
      <c r="A1723" s="170">
        <v>44543</v>
      </c>
      <c r="B1723" s="116">
        <v>156.35</v>
      </c>
      <c r="C1723" s="116">
        <v>156.35</v>
      </c>
      <c r="D1723" s="116">
        <v>156.35</v>
      </c>
      <c r="E1723" s="116">
        <v>156.35</v>
      </c>
      <c r="F1723" s="116">
        <v>156.35</v>
      </c>
      <c r="G1723">
        <v>540287</v>
      </c>
      <c r="H1723" s="116"/>
      <c r="I1723" s="116"/>
      <c r="L1723" s="170">
        <v>44543</v>
      </c>
      <c r="M1723" s="116">
        <v>155.65</v>
      </c>
      <c r="N1723" s="116">
        <v>155.65</v>
      </c>
      <c r="O1723" s="116">
        <v>155.65</v>
      </c>
      <c r="P1723" s="116">
        <v>155.65</v>
      </c>
      <c r="Q1723" s="116">
        <v>155.65</v>
      </c>
      <c r="R1723">
        <v>766730</v>
      </c>
    </row>
    <row r="1724" spans="1:18" x14ac:dyDescent="0.25">
      <c r="A1724" s="170">
        <v>44544</v>
      </c>
      <c r="B1724" s="116">
        <v>164.15</v>
      </c>
      <c r="C1724" s="116">
        <v>164.15</v>
      </c>
      <c r="D1724" s="116">
        <v>156.35</v>
      </c>
      <c r="E1724" s="116">
        <v>162.4</v>
      </c>
      <c r="F1724" s="116">
        <v>164.15</v>
      </c>
      <c r="G1724">
        <v>2673292</v>
      </c>
      <c r="H1724" s="116"/>
      <c r="I1724" s="116"/>
      <c r="L1724" s="170">
        <v>44544</v>
      </c>
      <c r="M1724" s="116">
        <v>163.4</v>
      </c>
      <c r="N1724" s="116">
        <v>163.4</v>
      </c>
      <c r="O1724" s="116">
        <v>157</v>
      </c>
      <c r="P1724" s="116">
        <v>163.4</v>
      </c>
      <c r="Q1724" s="116">
        <v>163.4</v>
      </c>
      <c r="R1724">
        <v>5129766</v>
      </c>
    </row>
    <row r="1725" spans="1:18" x14ac:dyDescent="0.25">
      <c r="A1725" s="170">
        <v>44545</v>
      </c>
      <c r="B1725" s="116">
        <v>172.35</v>
      </c>
      <c r="C1725" s="116">
        <v>172.35</v>
      </c>
      <c r="D1725" s="116">
        <v>160</v>
      </c>
      <c r="E1725" s="116">
        <v>166.2</v>
      </c>
      <c r="F1725" s="116">
        <v>172.35</v>
      </c>
      <c r="G1725">
        <v>1402684</v>
      </c>
      <c r="H1725" s="116"/>
      <c r="I1725" s="116"/>
      <c r="L1725" s="170">
        <v>44545</v>
      </c>
      <c r="M1725" s="116">
        <v>171.55</v>
      </c>
      <c r="N1725" s="116">
        <v>171.55</v>
      </c>
      <c r="O1725" s="116">
        <v>164</v>
      </c>
      <c r="P1725" s="116">
        <v>168</v>
      </c>
      <c r="Q1725" s="116">
        <v>171.55</v>
      </c>
      <c r="R1725">
        <v>2152934</v>
      </c>
    </row>
    <row r="1726" spans="1:18" x14ac:dyDescent="0.25">
      <c r="A1726" s="170">
        <v>44546</v>
      </c>
      <c r="B1726" s="116">
        <v>180.95</v>
      </c>
      <c r="C1726" s="116">
        <v>180.95</v>
      </c>
      <c r="D1726" s="116">
        <v>180.95</v>
      </c>
      <c r="E1726" s="116">
        <v>180.95</v>
      </c>
      <c r="F1726" s="116">
        <v>180.95</v>
      </c>
      <c r="G1726">
        <v>699964</v>
      </c>
      <c r="H1726" s="116"/>
      <c r="I1726" s="116"/>
      <c r="L1726" s="170">
        <v>44546</v>
      </c>
      <c r="M1726" s="116">
        <v>180.1</v>
      </c>
      <c r="N1726" s="116">
        <v>180.1</v>
      </c>
      <c r="O1726" s="116">
        <v>180.1</v>
      </c>
      <c r="P1726" s="116">
        <v>180.1</v>
      </c>
      <c r="Q1726" s="116">
        <v>180.1</v>
      </c>
      <c r="R1726">
        <v>666425</v>
      </c>
    </row>
    <row r="1727" spans="1:18" x14ac:dyDescent="0.25">
      <c r="A1727" s="170">
        <v>44547</v>
      </c>
      <c r="B1727" s="116">
        <v>189.95</v>
      </c>
      <c r="C1727" s="116">
        <v>189.7</v>
      </c>
      <c r="D1727" s="116">
        <v>171.95</v>
      </c>
      <c r="E1727" s="116">
        <v>189.95</v>
      </c>
      <c r="F1727" s="116">
        <v>189.7</v>
      </c>
      <c r="G1727">
        <v>4447015</v>
      </c>
      <c r="H1727" s="116"/>
      <c r="I1727" s="116"/>
      <c r="L1727" s="170">
        <v>44547</v>
      </c>
      <c r="M1727" s="116">
        <v>189.1</v>
      </c>
      <c r="N1727" s="116">
        <v>189.1</v>
      </c>
      <c r="O1727" s="116">
        <v>171.1</v>
      </c>
      <c r="P1727" s="116">
        <v>189.1</v>
      </c>
      <c r="Q1727" s="116">
        <v>189.1</v>
      </c>
      <c r="R1727">
        <v>10917835</v>
      </c>
    </row>
    <row r="1728" spans="1:18" x14ac:dyDescent="0.25">
      <c r="A1728" s="170">
        <v>44550</v>
      </c>
      <c r="B1728" s="116">
        <v>189</v>
      </c>
      <c r="C1728" s="116">
        <v>180.25</v>
      </c>
      <c r="D1728" s="116">
        <v>180.25</v>
      </c>
      <c r="E1728" s="116">
        <v>187</v>
      </c>
      <c r="F1728" s="116">
        <v>180.25</v>
      </c>
      <c r="G1728">
        <v>1207063</v>
      </c>
      <c r="H1728" s="116"/>
      <c r="I1728" s="116"/>
      <c r="L1728" s="170">
        <v>44550</v>
      </c>
      <c r="M1728" s="116">
        <v>179.65</v>
      </c>
      <c r="N1728" s="116">
        <v>189.1</v>
      </c>
      <c r="O1728" s="116">
        <v>179.65</v>
      </c>
      <c r="P1728" s="116">
        <v>181.1</v>
      </c>
      <c r="Q1728" s="116">
        <v>179.65</v>
      </c>
      <c r="R1728">
        <v>3603106</v>
      </c>
    </row>
    <row r="1729" spans="1:18" x14ac:dyDescent="0.25">
      <c r="A1729" s="170">
        <v>44551</v>
      </c>
      <c r="B1729" s="116">
        <v>178</v>
      </c>
      <c r="C1729" s="116">
        <v>171.25</v>
      </c>
      <c r="D1729" s="116">
        <v>171.25</v>
      </c>
      <c r="E1729" s="116">
        <v>172</v>
      </c>
      <c r="F1729" s="116">
        <v>171.25</v>
      </c>
      <c r="G1729">
        <v>824629</v>
      </c>
      <c r="H1729" s="116"/>
      <c r="I1729" s="116"/>
      <c r="L1729" s="170">
        <v>44551</v>
      </c>
      <c r="M1729" s="116">
        <v>170.7</v>
      </c>
      <c r="N1729" s="116">
        <v>178.5</v>
      </c>
      <c r="O1729" s="116">
        <v>170.7</v>
      </c>
      <c r="P1729" s="116">
        <v>173</v>
      </c>
      <c r="Q1729" s="116">
        <v>170.7</v>
      </c>
      <c r="R1729">
        <v>2828636</v>
      </c>
    </row>
    <row r="1730" spans="1:18" x14ac:dyDescent="0.25">
      <c r="A1730" s="170">
        <v>44552</v>
      </c>
      <c r="B1730" s="116">
        <v>162.69999999999999</v>
      </c>
      <c r="C1730" s="116">
        <v>162.69999999999999</v>
      </c>
      <c r="D1730" s="116">
        <v>162.69999999999999</v>
      </c>
      <c r="E1730" s="116">
        <v>162.69999999999999</v>
      </c>
      <c r="F1730" s="116">
        <v>162.69999999999999</v>
      </c>
      <c r="G1730">
        <v>227544</v>
      </c>
      <c r="H1730" s="116"/>
      <c r="I1730" s="116"/>
      <c r="L1730" s="170">
        <v>44552</v>
      </c>
      <c r="M1730" s="116">
        <v>162.19999999999999</v>
      </c>
      <c r="N1730" s="116">
        <v>162.19999999999999</v>
      </c>
      <c r="O1730" s="116">
        <v>162.19999999999999</v>
      </c>
      <c r="P1730" s="116">
        <v>162.19999999999999</v>
      </c>
      <c r="Q1730" s="116">
        <v>162.19999999999999</v>
      </c>
      <c r="R1730">
        <v>1380488</v>
      </c>
    </row>
    <row r="1731" spans="1:18" x14ac:dyDescent="0.25">
      <c r="A1731" s="170">
        <v>44553</v>
      </c>
      <c r="B1731" s="116">
        <v>154.6</v>
      </c>
      <c r="C1731" s="116">
        <v>154.6</v>
      </c>
      <c r="D1731" s="116">
        <v>154.6</v>
      </c>
      <c r="E1731" s="116">
        <v>154.6</v>
      </c>
      <c r="F1731" s="116">
        <v>154.6</v>
      </c>
      <c r="G1731">
        <v>240104</v>
      </c>
      <c r="H1731" s="116"/>
      <c r="I1731" s="116"/>
      <c r="L1731" s="170">
        <v>44553</v>
      </c>
      <c r="M1731" s="116">
        <v>154.1</v>
      </c>
      <c r="N1731" s="116">
        <v>154.1</v>
      </c>
      <c r="O1731" s="116">
        <v>154.1</v>
      </c>
      <c r="P1731" s="116">
        <v>154.1</v>
      </c>
      <c r="Q1731" s="116">
        <v>154.1</v>
      </c>
      <c r="R1731">
        <v>1354831</v>
      </c>
    </row>
    <row r="1732" spans="1:18" x14ac:dyDescent="0.25">
      <c r="A1732" s="170">
        <v>44554</v>
      </c>
      <c r="B1732" s="116">
        <v>162.30000000000001</v>
      </c>
      <c r="C1732" s="116">
        <v>162.30000000000001</v>
      </c>
      <c r="D1732" s="116">
        <v>146.9</v>
      </c>
      <c r="E1732" s="116">
        <v>146.9</v>
      </c>
      <c r="F1732" s="116">
        <v>162.30000000000001</v>
      </c>
      <c r="G1732">
        <v>2137794</v>
      </c>
      <c r="H1732" s="116"/>
      <c r="I1732" s="116"/>
      <c r="L1732" s="170">
        <v>44554</v>
      </c>
      <c r="M1732" s="116">
        <v>161.80000000000001</v>
      </c>
      <c r="N1732" s="116">
        <v>161.80000000000001</v>
      </c>
      <c r="O1732" s="116">
        <v>146.4</v>
      </c>
      <c r="P1732" s="116">
        <v>146.4</v>
      </c>
      <c r="Q1732" s="116">
        <v>161.80000000000001</v>
      </c>
      <c r="R1732">
        <v>4218709</v>
      </c>
    </row>
    <row r="1733" spans="1:18" x14ac:dyDescent="0.25">
      <c r="A1733" s="170">
        <v>44557</v>
      </c>
      <c r="B1733" s="116">
        <v>170.4</v>
      </c>
      <c r="C1733" s="116">
        <v>170.4</v>
      </c>
      <c r="D1733" s="116">
        <v>163.4</v>
      </c>
      <c r="E1733" s="116">
        <v>170.4</v>
      </c>
      <c r="F1733" s="116">
        <v>170.4</v>
      </c>
      <c r="G1733">
        <v>1139030</v>
      </c>
      <c r="H1733" s="116"/>
      <c r="I1733" s="116"/>
      <c r="L1733" s="170">
        <v>44557</v>
      </c>
      <c r="M1733" s="116">
        <v>169.85</v>
      </c>
      <c r="N1733" s="116">
        <v>169.85</v>
      </c>
      <c r="O1733" s="116">
        <v>164</v>
      </c>
      <c r="P1733" s="116">
        <v>169.85</v>
      </c>
      <c r="Q1733" s="116">
        <v>169.85</v>
      </c>
      <c r="R1733">
        <v>2791222</v>
      </c>
    </row>
    <row r="1734" spans="1:18" x14ac:dyDescent="0.25">
      <c r="A1734" s="170">
        <v>44558</v>
      </c>
      <c r="B1734" s="116">
        <v>178.9</v>
      </c>
      <c r="C1734" s="116">
        <v>178.9</v>
      </c>
      <c r="D1734" s="116">
        <v>178.9</v>
      </c>
      <c r="E1734" s="116">
        <v>178.9</v>
      </c>
      <c r="F1734" s="116">
        <v>178.9</v>
      </c>
      <c r="G1734">
        <v>240664</v>
      </c>
      <c r="H1734" s="116"/>
      <c r="I1734" s="116"/>
      <c r="L1734" s="170">
        <v>44558</v>
      </c>
      <c r="M1734" s="116">
        <v>178.3</v>
      </c>
      <c r="N1734" s="116">
        <v>178.3</v>
      </c>
      <c r="O1734" s="116">
        <v>178.3</v>
      </c>
      <c r="P1734" s="116">
        <v>178.3</v>
      </c>
      <c r="Q1734" s="116">
        <v>178.3</v>
      </c>
      <c r="R1734">
        <v>368073</v>
      </c>
    </row>
    <row r="1735" spans="1:18" x14ac:dyDescent="0.25">
      <c r="A1735" s="170">
        <v>44559</v>
      </c>
      <c r="B1735" s="116">
        <v>187.8</v>
      </c>
      <c r="C1735" s="116">
        <v>187.75</v>
      </c>
      <c r="D1735" s="116">
        <v>173.75</v>
      </c>
      <c r="E1735" s="116">
        <v>187.8</v>
      </c>
      <c r="F1735" s="116">
        <v>187.75</v>
      </c>
      <c r="G1735">
        <v>2918531</v>
      </c>
      <c r="H1735" s="116"/>
      <c r="I1735" s="116"/>
      <c r="L1735" s="170">
        <v>44559</v>
      </c>
      <c r="M1735" s="116">
        <v>187.2</v>
      </c>
      <c r="N1735" s="116">
        <v>187.2</v>
      </c>
      <c r="O1735" s="116">
        <v>178.3</v>
      </c>
      <c r="P1735" s="116">
        <v>187.2</v>
      </c>
      <c r="Q1735" s="116">
        <v>187.2</v>
      </c>
      <c r="R1735">
        <v>5597087</v>
      </c>
    </row>
    <row r="1736" spans="1:18" x14ac:dyDescent="0.25">
      <c r="A1736" s="170">
        <v>44560</v>
      </c>
      <c r="B1736" s="116">
        <v>197.1</v>
      </c>
      <c r="C1736" s="116">
        <v>197.1</v>
      </c>
      <c r="D1736" s="116">
        <v>179.55</v>
      </c>
      <c r="E1736" s="116">
        <v>186</v>
      </c>
      <c r="F1736" s="116">
        <v>197.1</v>
      </c>
      <c r="G1736">
        <v>1994350</v>
      </c>
      <c r="H1736" s="116"/>
      <c r="I1736" s="116"/>
      <c r="L1736" s="170">
        <v>44560</v>
      </c>
      <c r="M1736" s="116">
        <v>196.55</v>
      </c>
      <c r="N1736" s="116">
        <v>196.55</v>
      </c>
      <c r="O1736" s="116">
        <v>178.3</v>
      </c>
      <c r="P1736" s="116">
        <v>186.95</v>
      </c>
      <c r="Q1736" s="116">
        <v>196.55</v>
      </c>
      <c r="R1736">
        <v>4413418</v>
      </c>
    </row>
    <row r="1737" spans="1:18" x14ac:dyDescent="0.25">
      <c r="A1737" s="170">
        <v>44561</v>
      </c>
      <c r="B1737" s="116">
        <v>206.95</v>
      </c>
      <c r="C1737" s="116">
        <v>206.95</v>
      </c>
      <c r="D1737" s="116">
        <v>200.1</v>
      </c>
      <c r="E1737" s="116">
        <v>206.95</v>
      </c>
      <c r="F1737" s="116">
        <v>206.95</v>
      </c>
      <c r="G1737">
        <v>976991</v>
      </c>
      <c r="H1737" s="116"/>
      <c r="I1737" s="116"/>
      <c r="L1737" s="170">
        <v>44561</v>
      </c>
      <c r="M1737" s="116">
        <v>206.35</v>
      </c>
      <c r="N1737" s="116">
        <v>206.35</v>
      </c>
      <c r="O1737" s="116">
        <v>201.55</v>
      </c>
      <c r="P1737" s="116">
        <v>206.35</v>
      </c>
      <c r="Q1737" s="116">
        <v>206.35</v>
      </c>
      <c r="R1737">
        <v>1345191</v>
      </c>
    </row>
    <row r="1738" spans="1:18" x14ac:dyDescent="0.25">
      <c r="A1738" s="170">
        <v>44564</v>
      </c>
      <c r="B1738" s="116">
        <v>217.25</v>
      </c>
      <c r="C1738" s="116">
        <v>217.25</v>
      </c>
      <c r="D1738" s="116">
        <v>217.25</v>
      </c>
      <c r="E1738" s="116">
        <v>217.25</v>
      </c>
      <c r="F1738" s="116">
        <v>217.25</v>
      </c>
      <c r="G1738">
        <v>505151</v>
      </c>
      <c r="H1738" s="116"/>
      <c r="I1738" s="116"/>
      <c r="L1738" s="170">
        <v>44564</v>
      </c>
      <c r="M1738" s="116">
        <v>216.65</v>
      </c>
      <c r="N1738" s="116">
        <v>216.65</v>
      </c>
      <c r="O1738" s="116">
        <v>216.65</v>
      </c>
      <c r="P1738" s="116">
        <v>216.65</v>
      </c>
      <c r="Q1738" s="116">
        <v>216.65</v>
      </c>
      <c r="R1738">
        <v>526545</v>
      </c>
    </row>
    <row r="1739" spans="1:18" x14ac:dyDescent="0.25">
      <c r="A1739" s="170">
        <v>44565</v>
      </c>
      <c r="B1739" s="116">
        <v>228.1</v>
      </c>
      <c r="C1739" s="116">
        <v>228.1</v>
      </c>
      <c r="D1739" s="116">
        <v>206.4</v>
      </c>
      <c r="E1739" s="116">
        <v>228.1</v>
      </c>
      <c r="F1739" s="116">
        <v>228.1</v>
      </c>
      <c r="G1739">
        <v>4604291</v>
      </c>
      <c r="H1739" s="116"/>
      <c r="I1739" s="116"/>
      <c r="L1739" s="170">
        <v>44565</v>
      </c>
      <c r="M1739" s="116">
        <v>227.45</v>
      </c>
      <c r="N1739" s="116">
        <v>227.45</v>
      </c>
      <c r="O1739" s="116">
        <v>205.85</v>
      </c>
      <c r="P1739" s="116">
        <v>227.45</v>
      </c>
      <c r="Q1739" s="116">
        <v>227.45</v>
      </c>
      <c r="R1739">
        <v>8720550</v>
      </c>
    </row>
    <row r="1740" spans="1:18" x14ac:dyDescent="0.25">
      <c r="A1740" s="170">
        <v>44566</v>
      </c>
      <c r="B1740" s="116">
        <v>239.5</v>
      </c>
      <c r="C1740" s="116">
        <v>239.5</v>
      </c>
      <c r="D1740" s="116">
        <v>217.1</v>
      </c>
      <c r="E1740" s="116">
        <v>226</v>
      </c>
      <c r="F1740" s="116">
        <v>239.5</v>
      </c>
      <c r="G1740">
        <v>1793454</v>
      </c>
      <c r="H1740" s="116"/>
      <c r="I1740" s="116"/>
      <c r="L1740" s="170">
        <v>44566</v>
      </c>
      <c r="M1740" s="116">
        <v>238.8</v>
      </c>
      <c r="N1740" s="116">
        <v>238.8</v>
      </c>
      <c r="O1740" s="116">
        <v>217</v>
      </c>
      <c r="P1740" s="116">
        <v>225.1</v>
      </c>
      <c r="Q1740" s="116">
        <v>238.8</v>
      </c>
      <c r="R1740">
        <v>4932925</v>
      </c>
    </row>
    <row r="1741" spans="1:18" x14ac:dyDescent="0.25">
      <c r="A1741" s="170">
        <v>44567</v>
      </c>
      <c r="B1741" s="116">
        <v>251.45</v>
      </c>
      <c r="C1741" s="116">
        <v>251.45</v>
      </c>
      <c r="D1741" s="116">
        <v>240</v>
      </c>
      <c r="E1741" s="116">
        <v>251</v>
      </c>
      <c r="F1741" s="116">
        <v>251.45</v>
      </c>
      <c r="G1741">
        <v>1150400</v>
      </c>
      <c r="H1741" s="116"/>
      <c r="I1741" s="116"/>
      <c r="L1741" s="170">
        <v>44567</v>
      </c>
      <c r="M1741" s="116">
        <v>250.7</v>
      </c>
      <c r="N1741" s="116">
        <v>250.7</v>
      </c>
      <c r="O1741" s="116">
        <v>240</v>
      </c>
      <c r="P1741" s="116">
        <v>250.7</v>
      </c>
      <c r="Q1741" s="116">
        <v>250.7</v>
      </c>
      <c r="R1741">
        <v>2331539</v>
      </c>
    </row>
    <row r="1742" spans="1:18" x14ac:dyDescent="0.25">
      <c r="A1742" s="170">
        <v>44568</v>
      </c>
      <c r="B1742" s="116">
        <v>264</v>
      </c>
      <c r="C1742" s="116">
        <v>264</v>
      </c>
      <c r="D1742" s="116">
        <v>264</v>
      </c>
      <c r="E1742" s="116">
        <v>264</v>
      </c>
      <c r="F1742" s="116">
        <v>264</v>
      </c>
      <c r="G1742">
        <v>772748</v>
      </c>
      <c r="H1742" s="116"/>
      <c r="I1742" s="116"/>
      <c r="L1742" s="170">
        <v>44568</v>
      </c>
      <c r="M1742" s="116">
        <v>263.2</v>
      </c>
      <c r="N1742" s="116">
        <v>263.2</v>
      </c>
      <c r="O1742" s="116">
        <v>263.2</v>
      </c>
      <c r="P1742" s="116">
        <v>263.2</v>
      </c>
      <c r="Q1742" s="116">
        <v>263.2</v>
      </c>
      <c r="R1742">
        <v>645914</v>
      </c>
    </row>
    <row r="1743" spans="1:18" x14ac:dyDescent="0.25">
      <c r="A1743" s="170">
        <v>44571</v>
      </c>
      <c r="B1743" s="116">
        <v>277.2</v>
      </c>
      <c r="C1743" s="116">
        <v>277.2</v>
      </c>
      <c r="D1743" s="116">
        <v>270</v>
      </c>
      <c r="E1743" s="116">
        <v>277.2</v>
      </c>
      <c r="F1743" s="116">
        <v>277.2</v>
      </c>
      <c r="G1743">
        <v>1417827</v>
      </c>
      <c r="H1743" s="116"/>
      <c r="I1743" s="116"/>
      <c r="L1743" s="170">
        <v>44571</v>
      </c>
      <c r="M1743" s="116">
        <v>276.35000000000002</v>
      </c>
      <c r="N1743" s="116">
        <v>276.35000000000002</v>
      </c>
      <c r="O1743" s="116">
        <v>271.10000000000002</v>
      </c>
      <c r="P1743" s="116">
        <v>276.35000000000002</v>
      </c>
      <c r="Q1743" s="116">
        <v>276.35000000000002</v>
      </c>
      <c r="R1743">
        <v>2207687</v>
      </c>
    </row>
    <row r="1744" spans="1:18" x14ac:dyDescent="0.25">
      <c r="A1744" s="170">
        <v>44572</v>
      </c>
      <c r="B1744" s="116">
        <v>291.05</v>
      </c>
      <c r="C1744" s="116">
        <v>291.05</v>
      </c>
      <c r="D1744" s="116">
        <v>285</v>
      </c>
      <c r="E1744" s="116">
        <v>291.05</v>
      </c>
      <c r="F1744" s="116">
        <v>291.05</v>
      </c>
      <c r="G1744">
        <v>1251523</v>
      </c>
      <c r="H1744" s="116"/>
      <c r="I1744" s="116"/>
      <c r="L1744" s="170">
        <v>44572</v>
      </c>
      <c r="M1744" s="116">
        <v>290.14999999999998</v>
      </c>
      <c r="N1744" s="116">
        <v>290.14999999999998</v>
      </c>
      <c r="O1744" s="116">
        <v>285.5</v>
      </c>
      <c r="P1744" s="116">
        <v>290.14999999999998</v>
      </c>
      <c r="Q1744" s="116">
        <v>290.14999999999998</v>
      </c>
      <c r="R1744">
        <v>1752032</v>
      </c>
    </row>
    <row r="1745" spans="1:18" x14ac:dyDescent="0.25">
      <c r="A1745" s="170">
        <v>44573</v>
      </c>
      <c r="B1745" s="116">
        <v>276.5</v>
      </c>
      <c r="C1745" s="116">
        <v>276.5</v>
      </c>
      <c r="D1745" s="116">
        <v>276.5</v>
      </c>
      <c r="E1745" s="116">
        <v>276.5</v>
      </c>
      <c r="F1745" s="116">
        <v>276.5</v>
      </c>
      <c r="G1745">
        <v>472371</v>
      </c>
      <c r="H1745" s="116"/>
      <c r="I1745" s="116"/>
      <c r="L1745" s="170">
        <v>44573</v>
      </c>
      <c r="M1745" s="116">
        <v>275.64999999999998</v>
      </c>
      <c r="N1745" s="116">
        <v>275.64999999999998</v>
      </c>
      <c r="O1745" s="116">
        <v>275.64999999999998</v>
      </c>
      <c r="P1745" s="116">
        <v>275.64999999999998</v>
      </c>
      <c r="Q1745" s="116">
        <v>275.64999999999998</v>
      </c>
      <c r="R1745">
        <v>2256706</v>
      </c>
    </row>
    <row r="1746" spans="1:18" x14ac:dyDescent="0.25">
      <c r="A1746" s="170">
        <v>44574</v>
      </c>
      <c r="B1746" s="116">
        <v>262.7</v>
      </c>
      <c r="C1746" s="116">
        <v>262.7</v>
      </c>
      <c r="D1746" s="116">
        <v>262.7</v>
      </c>
      <c r="E1746" s="116">
        <v>262.7</v>
      </c>
      <c r="F1746" s="116">
        <v>262.7</v>
      </c>
      <c r="G1746">
        <v>118033</v>
      </c>
      <c r="H1746" s="116"/>
      <c r="I1746" s="116"/>
      <c r="L1746" s="170">
        <v>44574</v>
      </c>
      <c r="M1746" s="116">
        <v>261.89999999999998</v>
      </c>
      <c r="N1746" s="116">
        <v>261.89999999999998</v>
      </c>
      <c r="O1746" s="116">
        <v>261.89999999999998</v>
      </c>
      <c r="P1746" s="116">
        <v>261.89999999999998</v>
      </c>
      <c r="Q1746" s="116">
        <v>261.89999999999998</v>
      </c>
      <c r="R1746">
        <v>550599</v>
      </c>
    </row>
    <row r="1747" spans="1:18" x14ac:dyDescent="0.25">
      <c r="A1747" s="170">
        <v>44575</v>
      </c>
      <c r="B1747" s="116">
        <v>249.6</v>
      </c>
      <c r="C1747" s="116">
        <v>249.6</v>
      </c>
      <c r="D1747" s="116">
        <v>249.6</v>
      </c>
      <c r="E1747" s="116">
        <v>249.6</v>
      </c>
      <c r="F1747" s="116">
        <v>249.6</v>
      </c>
      <c r="G1747">
        <v>146593</v>
      </c>
      <c r="H1747" s="116"/>
      <c r="I1747" s="116"/>
      <c r="L1747" s="170">
        <v>44575</v>
      </c>
      <c r="M1747" s="116">
        <v>248.85</v>
      </c>
      <c r="N1747" s="116">
        <v>248.85</v>
      </c>
      <c r="O1747" s="116">
        <v>248.85</v>
      </c>
      <c r="P1747" s="116">
        <v>248.85</v>
      </c>
      <c r="Q1747" s="116">
        <v>248.85</v>
      </c>
      <c r="R1747">
        <v>841536</v>
      </c>
    </row>
    <row r="1748" spans="1:18" x14ac:dyDescent="0.25">
      <c r="A1748" s="170">
        <v>44578</v>
      </c>
      <c r="B1748" s="116">
        <v>237.15</v>
      </c>
      <c r="C1748" s="116">
        <v>237.15</v>
      </c>
      <c r="D1748" s="116">
        <v>237.15</v>
      </c>
      <c r="E1748" s="116">
        <v>237.15</v>
      </c>
      <c r="F1748" s="116">
        <v>237.15</v>
      </c>
      <c r="G1748">
        <v>171825</v>
      </c>
      <c r="H1748" s="116"/>
      <c r="I1748" s="116"/>
      <c r="L1748" s="170">
        <v>44578</v>
      </c>
      <c r="M1748" s="116">
        <v>236.45</v>
      </c>
      <c r="N1748" s="116">
        <v>236.45</v>
      </c>
      <c r="O1748" s="116">
        <v>236.45</v>
      </c>
      <c r="P1748" s="116">
        <v>236.45</v>
      </c>
      <c r="Q1748" s="116">
        <v>236.45</v>
      </c>
      <c r="R1748">
        <v>758119</v>
      </c>
    </row>
    <row r="1749" spans="1:18" x14ac:dyDescent="0.25">
      <c r="A1749" s="170">
        <v>44579</v>
      </c>
      <c r="B1749" s="116">
        <v>225.3</v>
      </c>
      <c r="C1749" s="116">
        <v>225.3</v>
      </c>
      <c r="D1749" s="116">
        <v>225.3</v>
      </c>
      <c r="E1749" s="116">
        <v>225.3</v>
      </c>
      <c r="F1749" s="116">
        <v>225.3</v>
      </c>
      <c r="G1749">
        <v>103120</v>
      </c>
      <c r="H1749" s="116"/>
      <c r="I1749" s="116"/>
      <c r="L1749" s="170">
        <v>44579</v>
      </c>
      <c r="M1749" s="116">
        <v>224.65</v>
      </c>
      <c r="N1749" s="116">
        <v>224.65</v>
      </c>
      <c r="O1749" s="116">
        <v>224.65</v>
      </c>
      <c r="P1749" s="116">
        <v>224.65</v>
      </c>
      <c r="Q1749" s="116">
        <v>224.65</v>
      </c>
      <c r="R1749">
        <v>519000</v>
      </c>
    </row>
    <row r="1750" spans="1:18" x14ac:dyDescent="0.25">
      <c r="A1750" s="170">
        <v>44580</v>
      </c>
      <c r="B1750" s="116">
        <v>214.05</v>
      </c>
      <c r="C1750" s="116">
        <v>214.05</v>
      </c>
      <c r="D1750" s="116">
        <v>214.05</v>
      </c>
      <c r="E1750" s="116">
        <v>214.05</v>
      </c>
      <c r="F1750" s="116">
        <v>214.05</v>
      </c>
      <c r="G1750">
        <v>62969</v>
      </c>
      <c r="H1750" s="116"/>
      <c r="I1750" s="116"/>
      <c r="L1750" s="170">
        <v>44580</v>
      </c>
      <c r="M1750" s="116">
        <v>213.45</v>
      </c>
      <c r="N1750" s="116">
        <v>213.45</v>
      </c>
      <c r="O1750" s="116">
        <v>213.45</v>
      </c>
      <c r="P1750" s="116">
        <v>213.45</v>
      </c>
      <c r="Q1750" s="116">
        <v>213.45</v>
      </c>
      <c r="R1750">
        <v>321695</v>
      </c>
    </row>
    <row r="1751" spans="1:18" x14ac:dyDescent="0.25">
      <c r="A1751" s="170">
        <v>44581</v>
      </c>
      <c r="B1751" s="116">
        <v>203.35</v>
      </c>
      <c r="C1751" s="116">
        <v>203.35</v>
      </c>
      <c r="D1751" s="116">
        <v>203.35</v>
      </c>
      <c r="E1751" s="116">
        <v>203.35</v>
      </c>
      <c r="F1751" s="116">
        <v>203.35</v>
      </c>
      <c r="G1751">
        <v>71627</v>
      </c>
      <c r="H1751" s="116"/>
      <c r="I1751" s="116"/>
      <c r="L1751" s="170">
        <v>44581</v>
      </c>
      <c r="M1751" s="116">
        <v>202.8</v>
      </c>
      <c r="N1751" s="116">
        <v>202.8</v>
      </c>
      <c r="O1751" s="116">
        <v>202.8</v>
      </c>
      <c r="P1751" s="116">
        <v>202.8</v>
      </c>
      <c r="Q1751" s="116">
        <v>202.8</v>
      </c>
      <c r="R1751">
        <v>450423</v>
      </c>
    </row>
    <row r="1752" spans="1:18" x14ac:dyDescent="0.25">
      <c r="A1752" s="170">
        <v>44582</v>
      </c>
      <c r="B1752" s="116">
        <v>193.2</v>
      </c>
      <c r="C1752" s="116">
        <v>193.2</v>
      </c>
      <c r="D1752" s="116">
        <v>193.2</v>
      </c>
      <c r="E1752" s="116">
        <v>193.2</v>
      </c>
      <c r="F1752" s="116">
        <v>193.2</v>
      </c>
      <c r="G1752">
        <v>92692</v>
      </c>
      <c r="H1752" s="116"/>
      <c r="I1752" s="116"/>
      <c r="L1752" s="170">
        <v>44582</v>
      </c>
      <c r="M1752" s="116">
        <v>192.7</v>
      </c>
      <c r="N1752" s="116">
        <v>192.7</v>
      </c>
      <c r="O1752" s="116">
        <v>192.7</v>
      </c>
      <c r="P1752" s="116">
        <v>192.7</v>
      </c>
      <c r="Q1752" s="116">
        <v>192.7</v>
      </c>
      <c r="R1752">
        <v>762766</v>
      </c>
    </row>
    <row r="1753" spans="1:18" x14ac:dyDescent="0.25">
      <c r="A1753" s="170">
        <v>44585</v>
      </c>
      <c r="B1753" s="116">
        <v>183.55</v>
      </c>
      <c r="C1753" s="116">
        <v>183.55</v>
      </c>
      <c r="D1753" s="116">
        <v>183.55</v>
      </c>
      <c r="E1753" s="116">
        <v>183.55</v>
      </c>
      <c r="F1753" s="116">
        <v>183.55</v>
      </c>
      <c r="G1753">
        <v>98030</v>
      </c>
      <c r="H1753" s="116"/>
      <c r="I1753" s="116"/>
      <c r="L1753" s="170">
        <v>44585</v>
      </c>
      <c r="M1753" s="116">
        <v>183.1</v>
      </c>
      <c r="N1753" s="116">
        <v>183.1</v>
      </c>
      <c r="O1753" s="116">
        <v>183.1</v>
      </c>
      <c r="P1753" s="116">
        <v>183.1</v>
      </c>
      <c r="Q1753" s="116">
        <v>183.1</v>
      </c>
      <c r="R1753">
        <v>792875</v>
      </c>
    </row>
    <row r="1754" spans="1:18" x14ac:dyDescent="0.25">
      <c r="A1754" s="170">
        <v>44586</v>
      </c>
      <c r="B1754" s="116">
        <v>174.4</v>
      </c>
      <c r="C1754" s="116">
        <v>174.4</v>
      </c>
      <c r="D1754" s="116">
        <v>174.4</v>
      </c>
      <c r="E1754" s="116">
        <v>174.4</v>
      </c>
      <c r="F1754" s="116">
        <v>174.4</v>
      </c>
      <c r="G1754">
        <v>64730</v>
      </c>
      <c r="H1754" s="116"/>
      <c r="I1754" s="116"/>
      <c r="L1754" s="170">
        <v>44586</v>
      </c>
      <c r="M1754" s="116">
        <v>173.95</v>
      </c>
      <c r="N1754" s="116">
        <v>173.95</v>
      </c>
      <c r="O1754" s="116">
        <v>173.95</v>
      </c>
      <c r="P1754" s="116">
        <v>173.95</v>
      </c>
      <c r="Q1754" s="116">
        <v>173.95</v>
      </c>
      <c r="R1754">
        <v>1088384</v>
      </c>
    </row>
    <row r="1755" spans="1:18" x14ac:dyDescent="0.25">
      <c r="A1755" s="170">
        <v>44588</v>
      </c>
      <c r="B1755" s="116">
        <v>165.7</v>
      </c>
      <c r="C1755" s="116">
        <v>165.7</v>
      </c>
      <c r="D1755" s="116">
        <v>165.7</v>
      </c>
      <c r="E1755" s="116">
        <v>165.7</v>
      </c>
      <c r="F1755" s="116">
        <v>165.7</v>
      </c>
      <c r="G1755">
        <v>57502</v>
      </c>
      <c r="H1755" s="116"/>
      <c r="I1755" s="116"/>
      <c r="L1755" s="170">
        <v>44588</v>
      </c>
      <c r="M1755" s="116">
        <v>165.3</v>
      </c>
      <c r="N1755" s="116">
        <v>165.3</v>
      </c>
      <c r="O1755" s="116">
        <v>165.3</v>
      </c>
      <c r="P1755" s="116">
        <v>165.3</v>
      </c>
      <c r="Q1755" s="116">
        <v>165.3</v>
      </c>
      <c r="R1755">
        <v>296299</v>
      </c>
    </row>
    <row r="1756" spans="1:18" x14ac:dyDescent="0.25">
      <c r="A1756" s="170">
        <v>44589</v>
      </c>
      <c r="B1756" s="116">
        <v>157.44999999999999</v>
      </c>
      <c r="C1756" s="116">
        <v>157.44999999999999</v>
      </c>
      <c r="D1756" s="116">
        <v>157.44999999999999</v>
      </c>
      <c r="E1756" s="116">
        <v>157.44999999999999</v>
      </c>
      <c r="F1756" s="116">
        <v>157.44999999999999</v>
      </c>
      <c r="G1756">
        <v>79711</v>
      </c>
      <c r="H1756" s="116"/>
      <c r="I1756" s="116"/>
      <c r="L1756" s="170">
        <v>44589</v>
      </c>
      <c r="M1756" s="116">
        <v>157.05000000000001</v>
      </c>
      <c r="N1756" s="116">
        <v>157.05000000000001</v>
      </c>
      <c r="O1756" s="116">
        <v>157.05000000000001</v>
      </c>
      <c r="P1756" s="116">
        <v>157.05000000000001</v>
      </c>
      <c r="Q1756" s="116">
        <v>157.05000000000001</v>
      </c>
      <c r="R1756">
        <v>388619</v>
      </c>
    </row>
    <row r="1757" spans="1:18" x14ac:dyDescent="0.25">
      <c r="A1757" s="170">
        <v>44592</v>
      </c>
      <c r="B1757" s="116">
        <v>149.6</v>
      </c>
      <c r="C1757" s="116">
        <v>149.6</v>
      </c>
      <c r="D1757" s="116">
        <v>149.6</v>
      </c>
      <c r="E1757" s="116">
        <v>149.6</v>
      </c>
      <c r="F1757" s="116">
        <v>149.6</v>
      </c>
      <c r="G1757">
        <v>78514</v>
      </c>
      <c r="H1757" s="116"/>
      <c r="I1757" s="116"/>
      <c r="L1757" s="170">
        <v>44592</v>
      </c>
      <c r="M1757" s="116">
        <v>149.19999999999999</v>
      </c>
      <c r="N1757" s="116">
        <v>149.19999999999999</v>
      </c>
      <c r="O1757" s="116">
        <v>149.19999999999999</v>
      </c>
      <c r="P1757" s="116">
        <v>149.19999999999999</v>
      </c>
      <c r="Q1757" s="116">
        <v>149.19999999999999</v>
      </c>
      <c r="R1757">
        <v>585668</v>
      </c>
    </row>
    <row r="1758" spans="1:18" x14ac:dyDescent="0.25">
      <c r="A1758" s="170">
        <v>44593</v>
      </c>
      <c r="B1758" s="116">
        <v>142.15</v>
      </c>
      <c r="C1758" s="116">
        <v>142.15</v>
      </c>
      <c r="D1758" s="116">
        <v>142.15</v>
      </c>
      <c r="E1758" s="116">
        <v>142.15</v>
      </c>
      <c r="F1758" s="116">
        <v>142.15</v>
      </c>
      <c r="G1758">
        <v>62362</v>
      </c>
      <c r="H1758" s="116"/>
      <c r="I1758" s="116"/>
      <c r="L1758" s="170">
        <v>44593</v>
      </c>
      <c r="M1758" s="116">
        <v>141.75</v>
      </c>
      <c r="N1758" s="116">
        <v>141.75</v>
      </c>
      <c r="O1758" s="116">
        <v>141.75</v>
      </c>
      <c r="P1758" s="116">
        <v>141.75</v>
      </c>
      <c r="Q1758" s="116">
        <v>141.75</v>
      </c>
      <c r="R1758">
        <v>342240</v>
      </c>
    </row>
    <row r="1759" spans="1:18" x14ac:dyDescent="0.25">
      <c r="A1759" s="170">
        <v>44594</v>
      </c>
      <c r="B1759" s="116">
        <v>149.25</v>
      </c>
      <c r="C1759" s="116">
        <v>149.25</v>
      </c>
      <c r="D1759" s="116">
        <v>149.25</v>
      </c>
      <c r="E1759" s="116">
        <v>149.25</v>
      </c>
      <c r="F1759" s="116">
        <v>149.25</v>
      </c>
      <c r="G1759">
        <v>1679117</v>
      </c>
      <c r="H1759" s="116"/>
      <c r="I1759" s="116"/>
      <c r="L1759" s="170">
        <v>44594</v>
      </c>
      <c r="M1759" s="116">
        <v>148.80000000000001</v>
      </c>
      <c r="N1759" s="116">
        <v>148.80000000000001</v>
      </c>
      <c r="O1759" s="116">
        <v>148.80000000000001</v>
      </c>
      <c r="P1759" s="116">
        <v>148.80000000000001</v>
      </c>
      <c r="Q1759" s="116">
        <v>148.80000000000001</v>
      </c>
      <c r="R1759">
        <v>3672763</v>
      </c>
    </row>
    <row r="1760" spans="1:18" x14ac:dyDescent="0.25">
      <c r="A1760" s="170">
        <v>44595</v>
      </c>
      <c r="B1760" s="116">
        <v>156.69999999999999</v>
      </c>
      <c r="C1760" s="116">
        <v>156.69999999999999</v>
      </c>
      <c r="D1760" s="116">
        <v>156.69999999999999</v>
      </c>
      <c r="E1760" s="116">
        <v>156.69999999999999</v>
      </c>
      <c r="F1760" s="116">
        <v>156.69999999999999</v>
      </c>
      <c r="G1760">
        <v>260838</v>
      </c>
      <c r="H1760" s="116"/>
      <c r="I1760" s="116"/>
      <c r="L1760" s="170">
        <v>44595</v>
      </c>
      <c r="M1760" s="116">
        <v>156.19999999999999</v>
      </c>
      <c r="N1760" s="116">
        <v>156.19999999999999</v>
      </c>
      <c r="O1760" s="116">
        <v>156.19999999999999</v>
      </c>
      <c r="P1760" s="116">
        <v>156.19999999999999</v>
      </c>
      <c r="Q1760" s="116">
        <v>156.19999999999999</v>
      </c>
      <c r="R1760">
        <v>312915</v>
      </c>
    </row>
    <row r="1761" spans="1:18" x14ac:dyDescent="0.25">
      <c r="A1761" s="170">
        <v>44596</v>
      </c>
      <c r="B1761" s="116">
        <v>164.5</v>
      </c>
      <c r="C1761" s="116">
        <v>164.5</v>
      </c>
      <c r="D1761" s="116">
        <v>164.5</v>
      </c>
      <c r="E1761" s="116">
        <v>164.5</v>
      </c>
      <c r="F1761" s="116">
        <v>164.5</v>
      </c>
      <c r="G1761">
        <v>361575</v>
      </c>
      <c r="H1761" s="116"/>
      <c r="I1761" s="116"/>
      <c r="L1761" s="170">
        <v>44596</v>
      </c>
      <c r="M1761" s="116">
        <v>164</v>
      </c>
      <c r="N1761" s="116">
        <v>164</v>
      </c>
      <c r="O1761" s="116">
        <v>164</v>
      </c>
      <c r="P1761" s="116">
        <v>164</v>
      </c>
      <c r="Q1761" s="116">
        <v>164</v>
      </c>
      <c r="R1761">
        <v>299211</v>
      </c>
    </row>
    <row r="1762" spans="1:18" x14ac:dyDescent="0.25">
      <c r="A1762" s="170">
        <v>44599</v>
      </c>
      <c r="B1762" s="116">
        <v>172.7</v>
      </c>
      <c r="C1762" s="116">
        <v>172.7</v>
      </c>
      <c r="D1762" s="116">
        <v>165</v>
      </c>
      <c r="E1762" s="116">
        <v>172.7</v>
      </c>
      <c r="F1762" s="116">
        <v>172.7</v>
      </c>
      <c r="G1762">
        <v>4190403</v>
      </c>
      <c r="H1762" s="116"/>
      <c r="I1762" s="116"/>
      <c r="L1762" s="170">
        <v>44599</v>
      </c>
      <c r="M1762" s="116">
        <v>172.2</v>
      </c>
      <c r="N1762" s="116">
        <v>172.2</v>
      </c>
      <c r="O1762" s="116">
        <v>165.1</v>
      </c>
      <c r="P1762" s="116">
        <v>172.2</v>
      </c>
      <c r="Q1762" s="116">
        <v>172.2</v>
      </c>
      <c r="R1762">
        <v>8003863</v>
      </c>
    </row>
    <row r="1763" spans="1:18" x14ac:dyDescent="0.25">
      <c r="A1763" s="170">
        <v>44600</v>
      </c>
      <c r="B1763" s="116">
        <v>181.3</v>
      </c>
      <c r="C1763" s="116">
        <v>181.3</v>
      </c>
      <c r="D1763" s="116">
        <v>181.3</v>
      </c>
      <c r="E1763" s="116">
        <v>181.3</v>
      </c>
      <c r="F1763" s="116">
        <v>181.3</v>
      </c>
      <c r="G1763">
        <v>1900257</v>
      </c>
      <c r="H1763" s="116"/>
      <c r="I1763" s="116"/>
      <c r="L1763" s="170">
        <v>44600</v>
      </c>
      <c r="M1763" s="116">
        <v>180.8</v>
      </c>
      <c r="N1763" s="116">
        <v>180.8</v>
      </c>
      <c r="O1763" s="116">
        <v>180.8</v>
      </c>
      <c r="P1763" s="116">
        <v>180.8</v>
      </c>
      <c r="Q1763" s="116">
        <v>180.8</v>
      </c>
      <c r="R1763">
        <v>1491711</v>
      </c>
    </row>
    <row r="1764" spans="1:18" x14ac:dyDescent="0.25">
      <c r="A1764" s="170">
        <v>44601</v>
      </c>
      <c r="B1764" s="116">
        <v>179.4</v>
      </c>
      <c r="C1764" s="116">
        <v>172.25</v>
      </c>
      <c r="D1764" s="116">
        <v>172.25</v>
      </c>
      <c r="E1764" s="116">
        <v>176</v>
      </c>
      <c r="F1764" s="116">
        <v>172.25</v>
      </c>
      <c r="G1764">
        <v>944356</v>
      </c>
      <c r="H1764" s="116"/>
      <c r="I1764" s="116"/>
      <c r="L1764" s="170">
        <v>44601</v>
      </c>
      <c r="M1764" s="116">
        <v>171.8</v>
      </c>
      <c r="N1764" s="116">
        <v>177</v>
      </c>
      <c r="O1764" s="116">
        <v>171.8</v>
      </c>
      <c r="P1764" s="116">
        <v>177</v>
      </c>
      <c r="Q1764" s="116">
        <v>171.8</v>
      </c>
      <c r="R1764">
        <v>3375930</v>
      </c>
    </row>
    <row r="1765" spans="1:18" x14ac:dyDescent="0.25">
      <c r="A1765" s="170">
        <v>44602</v>
      </c>
      <c r="B1765" s="116">
        <v>163.65</v>
      </c>
      <c r="C1765" s="116">
        <v>163.65</v>
      </c>
      <c r="D1765" s="116">
        <v>163.65</v>
      </c>
      <c r="E1765" s="116">
        <v>163.65</v>
      </c>
      <c r="F1765" s="116">
        <v>163.65</v>
      </c>
      <c r="G1765">
        <v>105790</v>
      </c>
      <c r="H1765" s="116"/>
      <c r="I1765" s="116"/>
      <c r="L1765" s="170">
        <v>44602</v>
      </c>
      <c r="M1765" s="116">
        <v>163.25</v>
      </c>
      <c r="N1765" s="116">
        <v>163.25</v>
      </c>
      <c r="O1765" s="116">
        <v>163.25</v>
      </c>
      <c r="P1765" s="116">
        <v>163.25</v>
      </c>
      <c r="Q1765" s="116">
        <v>163.25</v>
      </c>
      <c r="R1765">
        <v>733728</v>
      </c>
    </row>
    <row r="1766" spans="1:18" x14ac:dyDescent="0.25">
      <c r="A1766" s="170">
        <v>44603</v>
      </c>
      <c r="B1766" s="116">
        <v>155.5</v>
      </c>
      <c r="C1766" s="116">
        <v>155.5</v>
      </c>
      <c r="D1766" s="116">
        <v>155.5</v>
      </c>
      <c r="E1766" s="116">
        <v>155.5</v>
      </c>
      <c r="F1766" s="116">
        <v>155.5</v>
      </c>
      <c r="G1766">
        <v>107309</v>
      </c>
      <c r="H1766" s="116"/>
      <c r="I1766" s="116"/>
      <c r="L1766" s="170">
        <v>44603</v>
      </c>
      <c r="M1766" s="116">
        <v>155.1</v>
      </c>
      <c r="N1766" s="116">
        <v>155.1</v>
      </c>
      <c r="O1766" s="116">
        <v>155.1</v>
      </c>
      <c r="P1766" s="116">
        <v>155.1</v>
      </c>
      <c r="Q1766" s="116">
        <v>155.1</v>
      </c>
      <c r="R1766">
        <v>722713</v>
      </c>
    </row>
    <row r="1767" spans="1:18" x14ac:dyDescent="0.25">
      <c r="A1767" s="170">
        <v>44606</v>
      </c>
      <c r="B1767" s="116">
        <v>147.75</v>
      </c>
      <c r="C1767" s="116">
        <v>147.75</v>
      </c>
      <c r="D1767" s="116">
        <v>147.75</v>
      </c>
      <c r="E1767" s="116">
        <v>147.75</v>
      </c>
      <c r="F1767" s="116">
        <v>147.75</v>
      </c>
      <c r="G1767">
        <v>125490</v>
      </c>
      <c r="H1767" s="116"/>
      <c r="I1767" s="116"/>
      <c r="L1767" s="170">
        <v>44606</v>
      </c>
      <c r="M1767" s="116">
        <v>147.35</v>
      </c>
      <c r="N1767" s="116">
        <v>147.35</v>
      </c>
      <c r="O1767" s="116">
        <v>147.35</v>
      </c>
      <c r="P1767" s="116">
        <v>147.35</v>
      </c>
      <c r="Q1767" s="116">
        <v>147.35</v>
      </c>
      <c r="R1767">
        <v>496931</v>
      </c>
    </row>
    <row r="1768" spans="1:18" x14ac:dyDescent="0.25">
      <c r="A1768" s="170">
        <v>44607</v>
      </c>
      <c r="B1768" s="116">
        <v>140.4</v>
      </c>
      <c r="C1768" s="116">
        <v>140.4</v>
      </c>
      <c r="D1768" s="116">
        <v>140.4</v>
      </c>
      <c r="E1768" s="116">
        <v>140.4</v>
      </c>
      <c r="F1768" s="116">
        <v>140.4</v>
      </c>
      <c r="G1768">
        <v>128799</v>
      </c>
      <c r="H1768" s="116"/>
      <c r="I1768" s="116"/>
      <c r="L1768" s="170">
        <v>44607</v>
      </c>
      <c r="M1768" s="116">
        <v>140</v>
      </c>
      <c r="N1768" s="116">
        <v>140</v>
      </c>
      <c r="O1768" s="116">
        <v>140</v>
      </c>
      <c r="P1768" s="116">
        <v>140</v>
      </c>
      <c r="Q1768" s="116">
        <v>140</v>
      </c>
      <c r="R1768">
        <v>740003</v>
      </c>
    </row>
    <row r="1769" spans="1:18" x14ac:dyDescent="0.25">
      <c r="A1769" s="170">
        <v>44608</v>
      </c>
      <c r="B1769" s="116">
        <v>147.4</v>
      </c>
      <c r="C1769" s="116">
        <v>146.75</v>
      </c>
      <c r="D1769" s="116">
        <v>142</v>
      </c>
      <c r="E1769" s="116">
        <v>143</v>
      </c>
      <c r="F1769" s="116">
        <v>146.75</v>
      </c>
      <c r="G1769">
        <v>2726845</v>
      </c>
      <c r="H1769" s="116"/>
      <c r="I1769" s="116"/>
      <c r="L1769" s="170">
        <v>44608</v>
      </c>
      <c r="M1769" s="116">
        <v>147</v>
      </c>
      <c r="N1769" s="116">
        <v>147</v>
      </c>
      <c r="O1769" s="116">
        <v>140</v>
      </c>
      <c r="P1769" s="116">
        <v>140</v>
      </c>
      <c r="Q1769" s="116">
        <v>147</v>
      </c>
      <c r="R1769">
        <v>5106454</v>
      </c>
    </row>
    <row r="1770" spans="1:18" x14ac:dyDescent="0.25">
      <c r="A1770" s="170">
        <v>44609</v>
      </c>
      <c r="B1770" s="116">
        <v>154.05000000000001</v>
      </c>
      <c r="C1770" s="116">
        <v>148.4</v>
      </c>
      <c r="D1770" s="116">
        <v>139.44999999999999</v>
      </c>
      <c r="E1770" s="116">
        <v>144</v>
      </c>
      <c r="F1770" s="116">
        <v>148.4</v>
      </c>
      <c r="G1770">
        <v>1325201</v>
      </c>
      <c r="H1770" s="116"/>
      <c r="I1770" s="116"/>
      <c r="L1770" s="170">
        <v>44609</v>
      </c>
      <c r="M1770" s="116">
        <v>147.69999999999999</v>
      </c>
      <c r="N1770" s="116">
        <v>154.35</v>
      </c>
      <c r="O1770" s="116">
        <v>139.65</v>
      </c>
      <c r="P1770" s="116">
        <v>143.4</v>
      </c>
      <c r="Q1770" s="116">
        <v>147.69999999999999</v>
      </c>
      <c r="R1770">
        <v>6166805</v>
      </c>
    </row>
    <row r="1771" spans="1:18" x14ac:dyDescent="0.25">
      <c r="A1771" s="170">
        <v>44610</v>
      </c>
      <c r="B1771" s="116">
        <v>151</v>
      </c>
      <c r="C1771" s="116">
        <v>143.85</v>
      </c>
      <c r="D1771" s="116">
        <v>141</v>
      </c>
      <c r="E1771" s="116">
        <v>147</v>
      </c>
      <c r="F1771" s="116">
        <v>143.85</v>
      </c>
      <c r="G1771">
        <v>980565</v>
      </c>
      <c r="H1771" s="116"/>
      <c r="I1771" s="116"/>
      <c r="L1771" s="170">
        <v>44610</v>
      </c>
      <c r="M1771" s="116">
        <v>144.6</v>
      </c>
      <c r="N1771" s="116">
        <v>151.30000000000001</v>
      </c>
      <c r="O1771" s="116">
        <v>140.35</v>
      </c>
      <c r="P1771" s="116">
        <v>146.4</v>
      </c>
      <c r="Q1771" s="116">
        <v>144.6</v>
      </c>
      <c r="R1771">
        <v>3439170</v>
      </c>
    </row>
    <row r="1772" spans="1:18" x14ac:dyDescent="0.25">
      <c r="A1772" s="170">
        <v>44613</v>
      </c>
      <c r="B1772" s="116">
        <v>143.9</v>
      </c>
      <c r="C1772" s="116">
        <v>136.69999999999999</v>
      </c>
      <c r="D1772" s="116">
        <v>136.69999999999999</v>
      </c>
      <c r="E1772" s="116">
        <v>143.9</v>
      </c>
      <c r="F1772" s="116">
        <v>136.69999999999999</v>
      </c>
      <c r="G1772">
        <v>739419</v>
      </c>
      <c r="H1772" s="116"/>
      <c r="I1772" s="116"/>
      <c r="L1772" s="170">
        <v>44613</v>
      </c>
      <c r="M1772" s="116">
        <v>137.4</v>
      </c>
      <c r="N1772" s="116">
        <v>143</v>
      </c>
      <c r="O1772" s="116">
        <v>137.4</v>
      </c>
      <c r="P1772" s="116">
        <v>143</v>
      </c>
      <c r="Q1772" s="116">
        <v>137.4</v>
      </c>
      <c r="R1772">
        <v>3477788</v>
      </c>
    </row>
    <row r="1773" spans="1:18" x14ac:dyDescent="0.25">
      <c r="A1773" s="170">
        <v>44614</v>
      </c>
      <c r="B1773" s="116">
        <v>129.9</v>
      </c>
      <c r="C1773" s="116">
        <v>129.9</v>
      </c>
      <c r="D1773" s="116">
        <v>129.9</v>
      </c>
      <c r="E1773" s="116">
        <v>129.9</v>
      </c>
      <c r="F1773" s="116">
        <v>129.9</v>
      </c>
      <c r="G1773">
        <v>221629</v>
      </c>
      <c r="H1773" s="116"/>
      <c r="I1773" s="116"/>
      <c r="L1773" s="170">
        <v>44614</v>
      </c>
      <c r="M1773" s="116">
        <v>130.55000000000001</v>
      </c>
      <c r="N1773" s="116">
        <v>130.55000000000001</v>
      </c>
      <c r="O1773" s="116">
        <v>130.55000000000001</v>
      </c>
      <c r="P1773" s="116">
        <v>130.55000000000001</v>
      </c>
      <c r="Q1773" s="116">
        <v>130.55000000000001</v>
      </c>
      <c r="R1773">
        <v>839762</v>
      </c>
    </row>
    <row r="1774" spans="1:18" x14ac:dyDescent="0.25">
      <c r="A1774" s="170">
        <v>44615</v>
      </c>
      <c r="B1774" s="116">
        <v>127.5</v>
      </c>
      <c r="C1774" s="116">
        <v>123.45</v>
      </c>
      <c r="D1774" s="116">
        <v>123.45</v>
      </c>
      <c r="E1774" s="116">
        <v>123.45</v>
      </c>
      <c r="F1774" s="116">
        <v>123.45</v>
      </c>
      <c r="G1774">
        <v>670006</v>
      </c>
      <c r="H1774" s="116"/>
      <c r="I1774" s="116"/>
      <c r="L1774" s="170">
        <v>44615</v>
      </c>
      <c r="M1774" s="116">
        <v>124.05</v>
      </c>
      <c r="N1774" s="116">
        <v>124.05</v>
      </c>
      <c r="O1774" s="116">
        <v>124.05</v>
      </c>
      <c r="P1774" s="116">
        <v>124.05</v>
      </c>
      <c r="Q1774" s="116">
        <v>124.05</v>
      </c>
      <c r="R1774">
        <v>1443081</v>
      </c>
    </row>
    <row r="1775" spans="1:18" x14ac:dyDescent="0.25">
      <c r="A1775" s="170">
        <v>44616</v>
      </c>
      <c r="B1775" s="116">
        <v>117.3</v>
      </c>
      <c r="C1775" s="116">
        <v>117.3</v>
      </c>
      <c r="D1775" s="116">
        <v>117.3</v>
      </c>
      <c r="E1775" s="116">
        <v>117.3</v>
      </c>
      <c r="F1775" s="116">
        <v>117.3</v>
      </c>
      <c r="G1775">
        <v>86912</v>
      </c>
      <c r="H1775" s="116"/>
      <c r="I1775" s="116"/>
      <c r="L1775" s="170">
        <v>44616</v>
      </c>
      <c r="M1775" s="116">
        <v>117.85</v>
      </c>
      <c r="N1775" s="116">
        <v>117.85</v>
      </c>
      <c r="O1775" s="116">
        <v>117.85</v>
      </c>
      <c r="P1775" s="116">
        <v>117.85</v>
      </c>
      <c r="Q1775" s="116">
        <v>117.85</v>
      </c>
      <c r="R1775">
        <v>384520</v>
      </c>
    </row>
    <row r="1776" spans="1:18" x14ac:dyDescent="0.25">
      <c r="A1776" s="170">
        <v>44617</v>
      </c>
      <c r="B1776" s="116">
        <v>111.45</v>
      </c>
      <c r="C1776" s="116">
        <v>111.45</v>
      </c>
      <c r="D1776" s="116">
        <v>111.45</v>
      </c>
      <c r="E1776" s="116">
        <v>111.45</v>
      </c>
      <c r="F1776" s="116">
        <v>111.45</v>
      </c>
      <c r="G1776">
        <v>221666</v>
      </c>
      <c r="H1776" s="116"/>
      <c r="I1776" s="116"/>
      <c r="L1776" s="170">
        <v>44617</v>
      </c>
      <c r="M1776" s="116">
        <v>112</v>
      </c>
      <c r="N1776" s="116">
        <v>112</v>
      </c>
      <c r="O1776" s="116">
        <v>112</v>
      </c>
      <c r="P1776" s="116">
        <v>112</v>
      </c>
      <c r="Q1776" s="116">
        <v>112</v>
      </c>
      <c r="R1776">
        <v>1107161</v>
      </c>
    </row>
    <row r="1777" spans="1:18" x14ac:dyDescent="0.25">
      <c r="A1777" s="170">
        <v>44620</v>
      </c>
      <c r="B1777" s="116">
        <v>117</v>
      </c>
      <c r="C1777" s="116">
        <v>117</v>
      </c>
      <c r="D1777" s="116">
        <v>105.9</v>
      </c>
      <c r="E1777" s="116">
        <v>105.9</v>
      </c>
      <c r="F1777" s="116">
        <v>117</v>
      </c>
      <c r="G1777">
        <v>997142</v>
      </c>
      <c r="H1777" s="116"/>
      <c r="I1777" s="116"/>
      <c r="L1777" s="170">
        <v>44620</v>
      </c>
      <c r="M1777" s="116">
        <v>117.6</v>
      </c>
      <c r="N1777" s="116">
        <v>117.6</v>
      </c>
      <c r="O1777" s="116">
        <v>106.4</v>
      </c>
      <c r="P1777" s="116">
        <v>106.4</v>
      </c>
      <c r="Q1777" s="116">
        <v>117.6</v>
      </c>
      <c r="R1777">
        <v>5382087</v>
      </c>
    </row>
    <row r="1778" spans="1:18" x14ac:dyDescent="0.25">
      <c r="A1778" s="170">
        <v>44622</v>
      </c>
      <c r="B1778" s="116">
        <v>119.8</v>
      </c>
      <c r="C1778" s="116">
        <v>113.5</v>
      </c>
      <c r="D1778" s="116">
        <v>111.15</v>
      </c>
      <c r="E1778" s="116">
        <v>111.15</v>
      </c>
      <c r="F1778" s="116">
        <v>113.5</v>
      </c>
      <c r="G1778">
        <v>1755387</v>
      </c>
      <c r="H1778" s="116"/>
      <c r="I1778" s="116"/>
      <c r="L1778" s="170">
        <v>44622</v>
      </c>
      <c r="M1778" s="116">
        <v>113.75</v>
      </c>
      <c r="N1778" s="116">
        <v>118.5</v>
      </c>
      <c r="O1778" s="116">
        <v>111.75</v>
      </c>
      <c r="P1778" s="116">
        <v>113.8</v>
      </c>
      <c r="Q1778" s="116">
        <v>113.75</v>
      </c>
      <c r="R1778">
        <v>5828050</v>
      </c>
    </row>
    <row r="1779" spans="1:18" x14ac:dyDescent="0.25">
      <c r="A1779" s="170">
        <v>44623</v>
      </c>
      <c r="B1779" s="116">
        <v>116</v>
      </c>
      <c r="C1779" s="116">
        <v>107.85</v>
      </c>
      <c r="D1779" s="116">
        <v>107.85</v>
      </c>
      <c r="E1779" s="116">
        <v>113.5</v>
      </c>
      <c r="F1779" s="116">
        <v>107.85</v>
      </c>
      <c r="G1779">
        <v>570371</v>
      </c>
      <c r="H1779" s="116"/>
      <c r="I1779" s="116"/>
      <c r="L1779" s="170">
        <v>44623</v>
      </c>
      <c r="M1779" s="116">
        <v>108.1</v>
      </c>
      <c r="N1779" s="116">
        <v>117.3</v>
      </c>
      <c r="O1779" s="116">
        <v>108.1</v>
      </c>
      <c r="P1779" s="116">
        <v>113.75</v>
      </c>
      <c r="Q1779" s="116">
        <v>108.1</v>
      </c>
      <c r="R1779">
        <v>3119790</v>
      </c>
    </row>
    <row r="1780" spans="1:18" x14ac:dyDescent="0.25">
      <c r="A1780" s="170">
        <v>44624</v>
      </c>
      <c r="B1780" s="116">
        <v>104</v>
      </c>
      <c r="C1780" s="116">
        <v>102.5</v>
      </c>
      <c r="D1780" s="116">
        <v>102.5</v>
      </c>
      <c r="E1780" s="116">
        <v>102.6</v>
      </c>
      <c r="F1780" s="116">
        <v>102.5</v>
      </c>
      <c r="G1780">
        <v>417489</v>
      </c>
      <c r="H1780" s="116"/>
      <c r="I1780" s="116"/>
      <c r="L1780" s="170">
        <v>44624</v>
      </c>
      <c r="M1780" s="116">
        <v>102.7</v>
      </c>
      <c r="N1780" s="116">
        <v>104</v>
      </c>
      <c r="O1780" s="116">
        <v>102.7</v>
      </c>
      <c r="P1780" s="116">
        <v>102.7</v>
      </c>
      <c r="Q1780" s="116">
        <v>102.7</v>
      </c>
      <c r="R1780">
        <v>1218630</v>
      </c>
    </row>
    <row r="1781" spans="1:18" x14ac:dyDescent="0.25">
      <c r="A1781" s="170">
        <v>44627</v>
      </c>
      <c r="B1781" s="116">
        <v>97.4</v>
      </c>
      <c r="C1781" s="116">
        <v>97.4</v>
      </c>
      <c r="D1781" s="116">
        <v>97.4</v>
      </c>
      <c r="E1781" s="116">
        <v>97.4</v>
      </c>
      <c r="F1781" s="116">
        <v>97.4</v>
      </c>
      <c r="G1781">
        <v>184171</v>
      </c>
      <c r="H1781" s="116"/>
      <c r="I1781" s="116"/>
      <c r="L1781" s="170">
        <v>44627</v>
      </c>
      <c r="M1781" s="116">
        <v>97.6</v>
      </c>
      <c r="N1781" s="116">
        <v>97.6</v>
      </c>
      <c r="O1781" s="116">
        <v>97.6</v>
      </c>
      <c r="P1781" s="116">
        <v>97.6</v>
      </c>
      <c r="Q1781" s="116">
        <v>97.6</v>
      </c>
      <c r="R1781">
        <v>808691</v>
      </c>
    </row>
    <row r="1782" spans="1:18" x14ac:dyDescent="0.25">
      <c r="A1782" s="170">
        <v>44628</v>
      </c>
      <c r="B1782" s="116">
        <v>101.95</v>
      </c>
      <c r="C1782" s="116">
        <v>93.55</v>
      </c>
      <c r="D1782" s="116">
        <v>92.55</v>
      </c>
      <c r="E1782" s="116">
        <v>93</v>
      </c>
      <c r="F1782" s="116">
        <v>93.55</v>
      </c>
      <c r="G1782">
        <v>1375180</v>
      </c>
      <c r="H1782" s="116"/>
      <c r="I1782" s="116"/>
      <c r="L1782" s="170">
        <v>44628</v>
      </c>
      <c r="M1782" s="116">
        <v>93.55</v>
      </c>
      <c r="N1782" s="116">
        <v>101.75</v>
      </c>
      <c r="O1782" s="116">
        <v>92.75</v>
      </c>
      <c r="P1782" s="116">
        <v>95.65</v>
      </c>
      <c r="Q1782" s="116">
        <v>93.55</v>
      </c>
      <c r="R1782">
        <v>5956277</v>
      </c>
    </row>
    <row r="1783" spans="1:18" x14ac:dyDescent="0.25">
      <c r="A1783" s="170">
        <v>44629</v>
      </c>
      <c r="B1783" s="116">
        <v>98.2</v>
      </c>
      <c r="C1783" s="116">
        <v>98.2</v>
      </c>
      <c r="D1783" s="116">
        <v>89.15</v>
      </c>
      <c r="E1783" s="116">
        <v>89.3</v>
      </c>
      <c r="F1783" s="116">
        <v>98.2</v>
      </c>
      <c r="G1783">
        <v>891521</v>
      </c>
      <c r="H1783" s="116"/>
      <c r="I1783" s="116"/>
      <c r="L1783" s="170">
        <v>44629</v>
      </c>
      <c r="M1783" s="116">
        <v>98.2</v>
      </c>
      <c r="N1783" s="116">
        <v>98.2</v>
      </c>
      <c r="O1783" s="116">
        <v>90.5</v>
      </c>
      <c r="P1783" s="116">
        <v>90.5</v>
      </c>
      <c r="Q1783" s="116">
        <v>98.2</v>
      </c>
      <c r="R1783">
        <v>3062558</v>
      </c>
    </row>
    <row r="1784" spans="1:18" x14ac:dyDescent="0.25">
      <c r="A1784" s="170">
        <v>44630</v>
      </c>
      <c r="B1784" s="116">
        <v>103.1</v>
      </c>
      <c r="C1784" s="116">
        <v>103.1</v>
      </c>
      <c r="D1784" s="116">
        <v>103.1</v>
      </c>
      <c r="E1784" s="116">
        <v>103.1</v>
      </c>
      <c r="F1784" s="116">
        <v>103.1</v>
      </c>
      <c r="G1784">
        <v>86035</v>
      </c>
      <c r="H1784" s="116"/>
      <c r="I1784" s="116"/>
      <c r="L1784" s="170">
        <v>44630</v>
      </c>
      <c r="M1784" s="116">
        <v>103.1</v>
      </c>
      <c r="N1784" s="116">
        <v>103.1</v>
      </c>
      <c r="O1784" s="116">
        <v>103.1</v>
      </c>
      <c r="P1784" s="116">
        <v>103.1</v>
      </c>
      <c r="Q1784" s="116">
        <v>103.1</v>
      </c>
      <c r="R1784">
        <v>349792</v>
      </c>
    </row>
    <row r="1785" spans="1:18" x14ac:dyDescent="0.25">
      <c r="A1785" s="170">
        <v>44631</v>
      </c>
      <c r="B1785" s="116">
        <v>108.25</v>
      </c>
      <c r="C1785" s="116">
        <v>108.25</v>
      </c>
      <c r="D1785" s="116">
        <v>108.25</v>
      </c>
      <c r="E1785" s="116">
        <v>108.25</v>
      </c>
      <c r="F1785" s="116">
        <v>108.25</v>
      </c>
      <c r="G1785">
        <v>292989</v>
      </c>
      <c r="H1785" s="116"/>
      <c r="I1785" s="116"/>
      <c r="L1785" s="170">
        <v>44631</v>
      </c>
      <c r="M1785" s="116">
        <v>108.25</v>
      </c>
      <c r="N1785" s="116">
        <v>108.25</v>
      </c>
      <c r="O1785" s="116">
        <v>108.25</v>
      </c>
      <c r="P1785" s="116">
        <v>108.25</v>
      </c>
      <c r="Q1785" s="116">
        <v>108.25</v>
      </c>
      <c r="R1785">
        <v>647761</v>
      </c>
    </row>
    <row r="1786" spans="1:18" x14ac:dyDescent="0.25">
      <c r="A1786" s="170">
        <v>44634</v>
      </c>
      <c r="B1786" s="116">
        <v>113.65</v>
      </c>
      <c r="C1786" s="116">
        <v>113.65</v>
      </c>
      <c r="D1786" s="116">
        <v>110.5</v>
      </c>
      <c r="E1786" s="116">
        <v>111</v>
      </c>
      <c r="F1786" s="116">
        <v>113.65</v>
      </c>
      <c r="G1786">
        <v>931223</v>
      </c>
      <c r="H1786" s="116"/>
      <c r="I1786" s="116"/>
      <c r="L1786" s="170">
        <v>44634</v>
      </c>
      <c r="M1786" s="116">
        <v>113.65</v>
      </c>
      <c r="N1786" s="116">
        <v>113.65</v>
      </c>
      <c r="O1786" s="116">
        <v>109</v>
      </c>
      <c r="P1786" s="116">
        <v>111.9</v>
      </c>
      <c r="Q1786" s="116">
        <v>113.65</v>
      </c>
      <c r="R1786">
        <v>3363104</v>
      </c>
    </row>
    <row r="1787" spans="1:18" x14ac:dyDescent="0.25">
      <c r="A1787" s="170">
        <v>44635</v>
      </c>
      <c r="B1787" s="116">
        <v>119.3</v>
      </c>
      <c r="C1787" s="116">
        <v>119.3</v>
      </c>
      <c r="D1787" s="116">
        <v>115</v>
      </c>
      <c r="E1787" s="116">
        <v>119.3</v>
      </c>
      <c r="F1787" s="116">
        <v>119.3</v>
      </c>
      <c r="G1787">
        <v>853362</v>
      </c>
      <c r="H1787" s="116"/>
      <c r="I1787" s="116"/>
      <c r="L1787" s="170">
        <v>44635</v>
      </c>
      <c r="M1787" s="116">
        <v>119.2</v>
      </c>
      <c r="N1787" s="116">
        <v>119.3</v>
      </c>
      <c r="O1787" s="116">
        <v>117.05</v>
      </c>
      <c r="P1787" s="116">
        <v>119.3</v>
      </c>
      <c r="Q1787" s="116">
        <v>119.2</v>
      </c>
      <c r="R1787">
        <v>4057104</v>
      </c>
    </row>
    <row r="1788" spans="1:18" x14ac:dyDescent="0.25">
      <c r="A1788" s="170">
        <v>44636</v>
      </c>
      <c r="B1788" s="116">
        <v>125.25</v>
      </c>
      <c r="C1788" s="116">
        <v>125.25</v>
      </c>
      <c r="D1788" s="116">
        <v>125.25</v>
      </c>
      <c r="E1788" s="116">
        <v>125.25</v>
      </c>
      <c r="F1788" s="116">
        <v>125.25</v>
      </c>
      <c r="G1788">
        <v>342199</v>
      </c>
      <c r="H1788" s="116"/>
      <c r="I1788" s="116"/>
      <c r="L1788" s="170">
        <v>44636</v>
      </c>
      <c r="M1788" s="116">
        <v>125.15</v>
      </c>
      <c r="N1788" s="116">
        <v>125.15</v>
      </c>
      <c r="O1788" s="116">
        <v>125.15</v>
      </c>
      <c r="P1788" s="116">
        <v>125.15</v>
      </c>
      <c r="Q1788" s="116">
        <v>125.15</v>
      </c>
      <c r="R1788">
        <v>394158</v>
      </c>
    </row>
    <row r="1789" spans="1:18" x14ac:dyDescent="0.25">
      <c r="A1789" s="170">
        <v>44637</v>
      </c>
      <c r="B1789" s="116">
        <v>131.5</v>
      </c>
      <c r="C1789" s="116">
        <v>131.5</v>
      </c>
      <c r="D1789" s="116">
        <v>126.5</v>
      </c>
      <c r="E1789" s="116">
        <v>131.5</v>
      </c>
      <c r="F1789" s="116">
        <v>131.5</v>
      </c>
      <c r="G1789">
        <v>3063303</v>
      </c>
      <c r="H1789" s="116"/>
      <c r="I1789" s="116"/>
      <c r="L1789" s="170">
        <v>44637</v>
      </c>
      <c r="M1789" s="116">
        <v>131.4</v>
      </c>
      <c r="N1789" s="116">
        <v>131.4</v>
      </c>
      <c r="O1789" s="116">
        <v>129</v>
      </c>
      <c r="P1789" s="116">
        <v>131.4</v>
      </c>
      <c r="Q1789" s="116">
        <v>131.4</v>
      </c>
      <c r="R1789">
        <v>9836394</v>
      </c>
    </row>
    <row r="1790" spans="1:18" x14ac:dyDescent="0.25">
      <c r="A1790" s="170">
        <v>44641</v>
      </c>
      <c r="B1790" s="116">
        <v>138.05000000000001</v>
      </c>
      <c r="C1790" s="116">
        <v>138.05000000000001</v>
      </c>
      <c r="D1790" s="116">
        <v>131.5</v>
      </c>
      <c r="E1790" s="116">
        <v>133</v>
      </c>
      <c r="F1790" s="116">
        <v>138.05000000000001</v>
      </c>
      <c r="G1790">
        <v>831920</v>
      </c>
      <c r="H1790" s="116"/>
      <c r="I1790" s="116"/>
      <c r="L1790" s="170">
        <v>44641</v>
      </c>
      <c r="M1790" s="116">
        <v>137.94999999999999</v>
      </c>
      <c r="N1790" s="116">
        <v>137.94999999999999</v>
      </c>
      <c r="O1790" s="116">
        <v>131.4</v>
      </c>
      <c r="P1790" s="116">
        <v>131.4</v>
      </c>
      <c r="Q1790" s="116">
        <v>137.94999999999999</v>
      </c>
      <c r="R1790">
        <v>1795616</v>
      </c>
    </row>
    <row r="1791" spans="1:18" x14ac:dyDescent="0.25">
      <c r="A1791" s="170">
        <v>44642</v>
      </c>
      <c r="B1791" s="116">
        <v>144.94999999999999</v>
      </c>
      <c r="C1791" s="116">
        <v>144.94999999999999</v>
      </c>
      <c r="D1791" s="116">
        <v>144.94999999999999</v>
      </c>
      <c r="E1791" s="116">
        <v>144.94999999999999</v>
      </c>
      <c r="F1791" s="116">
        <v>144.94999999999999</v>
      </c>
      <c r="G1791">
        <v>234697</v>
      </c>
      <c r="H1791" s="116"/>
      <c r="I1791" s="116"/>
      <c r="L1791" s="170">
        <v>44642</v>
      </c>
      <c r="M1791" s="116">
        <v>144.80000000000001</v>
      </c>
      <c r="N1791" s="116">
        <v>144.80000000000001</v>
      </c>
      <c r="O1791" s="116">
        <v>144.80000000000001</v>
      </c>
      <c r="P1791" s="116">
        <v>144.80000000000001</v>
      </c>
      <c r="Q1791" s="116">
        <v>144.80000000000001</v>
      </c>
      <c r="R1791">
        <v>315759</v>
      </c>
    </row>
    <row r="1792" spans="1:18" x14ac:dyDescent="0.25">
      <c r="A1792" s="170">
        <v>44643</v>
      </c>
      <c r="B1792" s="116">
        <v>152.15</v>
      </c>
      <c r="C1792" s="116">
        <v>152.15</v>
      </c>
      <c r="D1792" s="116">
        <v>152.15</v>
      </c>
      <c r="E1792" s="116">
        <v>152.15</v>
      </c>
      <c r="F1792" s="116">
        <v>152.15</v>
      </c>
      <c r="G1792">
        <v>397667</v>
      </c>
      <c r="H1792" s="116"/>
      <c r="I1792" s="116"/>
      <c r="L1792" s="170">
        <v>44643</v>
      </c>
      <c r="M1792" s="116">
        <v>152</v>
      </c>
      <c r="N1792" s="116">
        <v>152</v>
      </c>
      <c r="O1792" s="116">
        <v>152</v>
      </c>
      <c r="P1792" s="116">
        <v>152</v>
      </c>
      <c r="Q1792" s="116">
        <v>152</v>
      </c>
      <c r="R1792">
        <v>404138</v>
      </c>
    </row>
    <row r="1793" spans="1:18" x14ac:dyDescent="0.25">
      <c r="A1793" s="170">
        <v>44644</v>
      </c>
      <c r="B1793" s="116">
        <v>159.75</v>
      </c>
      <c r="C1793" s="116">
        <v>159.75</v>
      </c>
      <c r="D1793" s="116">
        <v>159.75</v>
      </c>
      <c r="E1793" s="116">
        <v>159.75</v>
      </c>
      <c r="F1793" s="116">
        <v>159.75</v>
      </c>
      <c r="G1793">
        <v>313320</v>
      </c>
      <c r="H1793" s="116"/>
      <c r="I1793" s="116"/>
      <c r="L1793" s="170">
        <v>44644</v>
      </c>
      <c r="M1793" s="116">
        <v>159.6</v>
      </c>
      <c r="N1793" s="116">
        <v>159.6</v>
      </c>
      <c r="O1793" s="116">
        <v>159.6</v>
      </c>
      <c r="P1793" s="116">
        <v>159.6</v>
      </c>
      <c r="Q1793" s="116">
        <v>159.6</v>
      </c>
      <c r="R1793">
        <v>593584</v>
      </c>
    </row>
    <row r="1794" spans="1:18" x14ac:dyDescent="0.25">
      <c r="A1794" s="170">
        <v>44645</v>
      </c>
      <c r="B1794" s="116">
        <v>167.7</v>
      </c>
      <c r="C1794" s="116">
        <v>167.7</v>
      </c>
      <c r="D1794" s="116">
        <v>164.55</v>
      </c>
      <c r="E1794" s="116">
        <v>167.7</v>
      </c>
      <c r="F1794" s="116">
        <v>167.7</v>
      </c>
      <c r="G1794">
        <v>1579184</v>
      </c>
      <c r="H1794" s="116"/>
      <c r="I1794" s="116"/>
      <c r="L1794" s="170">
        <v>44645</v>
      </c>
      <c r="M1794" s="116">
        <v>167.55</v>
      </c>
      <c r="N1794" s="116">
        <v>167.55</v>
      </c>
      <c r="O1794" s="116">
        <v>167.45</v>
      </c>
      <c r="P1794" s="116">
        <v>167.55</v>
      </c>
      <c r="Q1794" s="116">
        <v>167.55</v>
      </c>
      <c r="R1794">
        <v>4781823</v>
      </c>
    </row>
    <row r="1795" spans="1:18" x14ac:dyDescent="0.25">
      <c r="A1795" s="170">
        <v>44648</v>
      </c>
      <c r="B1795" s="116">
        <v>171.9</v>
      </c>
      <c r="C1795" s="116">
        <v>159.35</v>
      </c>
      <c r="D1795" s="116">
        <v>159.35</v>
      </c>
      <c r="E1795" s="116">
        <v>171.9</v>
      </c>
      <c r="F1795" s="116">
        <v>159.35</v>
      </c>
      <c r="G1795">
        <v>672108</v>
      </c>
      <c r="H1795" s="116"/>
      <c r="I1795" s="116"/>
      <c r="L1795" s="170">
        <v>44648</v>
      </c>
      <c r="M1795" s="116">
        <v>159.19999999999999</v>
      </c>
      <c r="N1795" s="116">
        <v>175</v>
      </c>
      <c r="O1795" s="116">
        <v>159.19999999999999</v>
      </c>
      <c r="P1795" s="116">
        <v>170.95</v>
      </c>
      <c r="Q1795" s="116">
        <v>159.19999999999999</v>
      </c>
      <c r="R1795">
        <v>4879032</v>
      </c>
    </row>
    <row r="1796" spans="1:18" x14ac:dyDescent="0.25">
      <c r="A1796" s="170">
        <v>44649</v>
      </c>
      <c r="B1796" s="116">
        <v>155.9</v>
      </c>
      <c r="C1796" s="116">
        <v>151.4</v>
      </c>
      <c r="D1796" s="116">
        <v>151.4</v>
      </c>
      <c r="E1796" s="116">
        <v>154.30000000000001</v>
      </c>
      <c r="F1796" s="116">
        <v>151.4</v>
      </c>
      <c r="G1796">
        <v>1129920</v>
      </c>
      <c r="H1796" s="116"/>
      <c r="I1796" s="116"/>
      <c r="L1796" s="170">
        <v>44649</v>
      </c>
      <c r="M1796" s="116">
        <v>151.25</v>
      </c>
      <c r="N1796" s="116">
        <v>155.1</v>
      </c>
      <c r="O1796" s="116">
        <v>151.25</v>
      </c>
      <c r="P1796" s="116">
        <v>155</v>
      </c>
      <c r="Q1796" s="116">
        <v>151.25</v>
      </c>
      <c r="R1796">
        <v>4431298</v>
      </c>
    </row>
    <row r="1797" spans="1:18" x14ac:dyDescent="0.25">
      <c r="A1797" s="170">
        <v>44650</v>
      </c>
      <c r="B1797" s="116">
        <v>158.94999999999999</v>
      </c>
      <c r="C1797" s="116">
        <v>158.94999999999999</v>
      </c>
      <c r="D1797" s="116">
        <v>144.5</v>
      </c>
      <c r="E1797" s="116">
        <v>144.5</v>
      </c>
      <c r="F1797" s="116">
        <v>158.94999999999999</v>
      </c>
      <c r="G1797">
        <v>1524333</v>
      </c>
      <c r="H1797" s="116"/>
      <c r="I1797" s="116"/>
      <c r="L1797" s="170">
        <v>44650</v>
      </c>
      <c r="M1797" s="116">
        <v>158.80000000000001</v>
      </c>
      <c r="N1797" s="116">
        <v>158.80000000000001</v>
      </c>
      <c r="O1797" s="116">
        <v>144.1</v>
      </c>
      <c r="P1797" s="116">
        <v>144.1</v>
      </c>
      <c r="Q1797" s="116">
        <v>158.80000000000001</v>
      </c>
      <c r="R1797">
        <v>3785674</v>
      </c>
    </row>
    <row r="1798" spans="1:18" x14ac:dyDescent="0.25">
      <c r="A1798" s="170">
        <v>44651</v>
      </c>
      <c r="B1798" s="116">
        <v>166.85</v>
      </c>
      <c r="C1798" s="116">
        <v>166.85</v>
      </c>
      <c r="D1798" s="116">
        <v>164</v>
      </c>
      <c r="E1798" s="116">
        <v>166.85</v>
      </c>
      <c r="F1798" s="116">
        <v>166.85</v>
      </c>
      <c r="G1798">
        <v>2364673</v>
      </c>
      <c r="H1798" s="116"/>
      <c r="I1798" s="116"/>
      <c r="L1798" s="170">
        <v>44651</v>
      </c>
      <c r="M1798" s="116">
        <v>166.7</v>
      </c>
      <c r="N1798" s="116">
        <v>166.7</v>
      </c>
      <c r="O1798" s="116">
        <v>163.6</v>
      </c>
      <c r="P1798" s="116">
        <v>166.7</v>
      </c>
      <c r="Q1798" s="116">
        <v>166.7</v>
      </c>
      <c r="R1798">
        <v>3756674</v>
      </c>
    </row>
    <row r="1799" spans="1:18" x14ac:dyDescent="0.25">
      <c r="A1799" s="170">
        <v>44652</v>
      </c>
      <c r="B1799" s="116">
        <v>175.15</v>
      </c>
      <c r="C1799" s="116">
        <v>175.15</v>
      </c>
      <c r="D1799" s="116">
        <v>175.15</v>
      </c>
      <c r="E1799" s="116">
        <v>175.15</v>
      </c>
      <c r="F1799" s="116">
        <v>175.15</v>
      </c>
      <c r="G1799">
        <v>531549</v>
      </c>
      <c r="H1799" s="116"/>
      <c r="I1799" s="116"/>
      <c r="L1799" s="170">
        <v>44652</v>
      </c>
      <c r="M1799" s="116">
        <v>175</v>
      </c>
      <c r="N1799" s="116">
        <v>175</v>
      </c>
      <c r="O1799" s="116">
        <v>175</v>
      </c>
      <c r="P1799" s="116">
        <v>175</v>
      </c>
      <c r="Q1799" s="116">
        <v>175</v>
      </c>
      <c r="R1799">
        <v>669473</v>
      </c>
    </row>
    <row r="1800" spans="1:18" x14ac:dyDescent="0.25">
      <c r="A1800" s="170">
        <v>44655</v>
      </c>
      <c r="B1800" s="116">
        <v>183.9</v>
      </c>
      <c r="C1800" s="116">
        <v>183.9</v>
      </c>
      <c r="D1800" s="116">
        <v>175.15</v>
      </c>
      <c r="E1800" s="116">
        <v>183.9</v>
      </c>
      <c r="F1800" s="116">
        <v>183.9</v>
      </c>
      <c r="G1800">
        <v>1771576</v>
      </c>
      <c r="H1800" s="116"/>
      <c r="I1800" s="116"/>
      <c r="L1800" s="170">
        <v>44655</v>
      </c>
      <c r="M1800" s="116">
        <v>183.75</v>
      </c>
      <c r="N1800" s="116">
        <v>183.75</v>
      </c>
      <c r="O1800" s="116">
        <v>177.6</v>
      </c>
      <c r="P1800" s="116">
        <v>183.75</v>
      </c>
      <c r="Q1800" s="116">
        <v>183.75</v>
      </c>
      <c r="R1800">
        <v>3948829</v>
      </c>
    </row>
    <row r="1801" spans="1:18" x14ac:dyDescent="0.25">
      <c r="A1801" s="170">
        <v>44656</v>
      </c>
      <c r="B1801" s="116">
        <v>193.05</v>
      </c>
      <c r="C1801" s="116">
        <v>193.05</v>
      </c>
      <c r="D1801" s="116">
        <v>185.75</v>
      </c>
      <c r="E1801" s="116">
        <v>190.45</v>
      </c>
      <c r="F1801" s="116">
        <v>193.05</v>
      </c>
      <c r="G1801">
        <v>973419</v>
      </c>
      <c r="H1801" s="116"/>
      <c r="I1801" s="116"/>
      <c r="L1801" s="170">
        <v>44656</v>
      </c>
      <c r="M1801" s="116">
        <v>192.9</v>
      </c>
      <c r="N1801" s="116">
        <v>192.9</v>
      </c>
      <c r="O1801" s="116">
        <v>187.45</v>
      </c>
      <c r="P1801" s="116">
        <v>192</v>
      </c>
      <c r="Q1801" s="116">
        <v>192.9</v>
      </c>
      <c r="R1801">
        <v>2260476</v>
      </c>
    </row>
    <row r="1802" spans="1:18" x14ac:dyDescent="0.25">
      <c r="A1802" s="170">
        <v>44657</v>
      </c>
      <c r="B1802" s="116">
        <v>202.7</v>
      </c>
      <c r="C1802" s="116">
        <v>202.7</v>
      </c>
      <c r="D1802" s="116">
        <v>202.7</v>
      </c>
      <c r="E1802" s="116">
        <v>202.7</v>
      </c>
      <c r="F1802" s="116">
        <v>202.7</v>
      </c>
      <c r="G1802">
        <v>773478</v>
      </c>
      <c r="H1802" s="116"/>
      <c r="I1802" s="116"/>
      <c r="L1802" s="170">
        <v>44657</v>
      </c>
      <c r="M1802" s="116">
        <v>202.5</v>
      </c>
      <c r="N1802" s="116">
        <v>202.5</v>
      </c>
      <c r="O1802" s="116">
        <v>202.5</v>
      </c>
      <c r="P1802" s="116">
        <v>202.5</v>
      </c>
      <c r="Q1802" s="116">
        <v>202.5</v>
      </c>
      <c r="R1802">
        <v>1062060</v>
      </c>
    </row>
    <row r="1803" spans="1:18" x14ac:dyDescent="0.25">
      <c r="A1803" s="170">
        <v>44658</v>
      </c>
      <c r="B1803" s="116">
        <v>210</v>
      </c>
      <c r="C1803" s="116">
        <v>192.6</v>
      </c>
      <c r="D1803" s="116">
        <v>192.6</v>
      </c>
      <c r="E1803" s="116">
        <v>210</v>
      </c>
      <c r="F1803" s="116">
        <v>192.6</v>
      </c>
      <c r="G1803">
        <v>6902467</v>
      </c>
      <c r="H1803" s="116"/>
      <c r="I1803" s="116"/>
      <c r="L1803" s="170">
        <v>44658</v>
      </c>
      <c r="M1803" s="116">
        <v>192.4</v>
      </c>
      <c r="N1803" s="116">
        <v>210.4</v>
      </c>
      <c r="O1803" s="116">
        <v>192.4</v>
      </c>
      <c r="P1803" s="116">
        <v>210.4</v>
      </c>
      <c r="Q1803" s="116">
        <v>192.4</v>
      </c>
      <c r="R1803">
        <v>27491295</v>
      </c>
    </row>
    <row r="1804" spans="1:18" x14ac:dyDescent="0.25">
      <c r="A1804" s="170">
        <v>44659</v>
      </c>
      <c r="B1804" s="116">
        <v>201.2</v>
      </c>
      <c r="C1804" s="116">
        <v>190</v>
      </c>
      <c r="D1804" s="116">
        <v>183</v>
      </c>
      <c r="E1804" s="116">
        <v>187</v>
      </c>
      <c r="F1804" s="116">
        <v>190</v>
      </c>
      <c r="G1804">
        <v>4183714</v>
      </c>
      <c r="H1804" s="116"/>
      <c r="I1804" s="116"/>
      <c r="L1804" s="170">
        <v>44659</v>
      </c>
      <c r="M1804" s="116">
        <v>190</v>
      </c>
      <c r="N1804" s="116">
        <v>201</v>
      </c>
      <c r="O1804" s="116">
        <v>182.8</v>
      </c>
      <c r="P1804" s="116">
        <v>187.55</v>
      </c>
      <c r="Q1804" s="116">
        <v>190</v>
      </c>
      <c r="R1804">
        <v>15590594</v>
      </c>
    </row>
    <row r="1805" spans="1:18" x14ac:dyDescent="0.25">
      <c r="A1805" s="170">
        <v>44662</v>
      </c>
      <c r="B1805" s="116">
        <v>199.5</v>
      </c>
      <c r="C1805" s="116">
        <v>199.5</v>
      </c>
      <c r="D1805" s="116">
        <v>184.4</v>
      </c>
      <c r="E1805" s="116">
        <v>189.05</v>
      </c>
      <c r="F1805" s="116">
        <v>199.5</v>
      </c>
      <c r="G1805">
        <v>1974354</v>
      </c>
      <c r="H1805" s="116"/>
      <c r="I1805" s="116"/>
      <c r="L1805" s="170">
        <v>44662</v>
      </c>
      <c r="M1805" s="116">
        <v>199.5</v>
      </c>
      <c r="N1805" s="116">
        <v>199.5</v>
      </c>
      <c r="O1805" s="116">
        <v>185</v>
      </c>
      <c r="P1805" s="116">
        <v>190</v>
      </c>
      <c r="Q1805" s="116">
        <v>199.5</v>
      </c>
      <c r="R1805">
        <v>7894761</v>
      </c>
    </row>
    <row r="1806" spans="1:18" x14ac:dyDescent="0.25">
      <c r="A1806" s="170">
        <v>44663</v>
      </c>
      <c r="B1806" s="116">
        <v>209</v>
      </c>
      <c r="C1806" s="116">
        <v>194.95</v>
      </c>
      <c r="D1806" s="116">
        <v>190.1</v>
      </c>
      <c r="E1806" s="116">
        <v>204.85</v>
      </c>
      <c r="F1806" s="116">
        <v>194.95</v>
      </c>
      <c r="G1806">
        <v>2076745</v>
      </c>
      <c r="H1806" s="116"/>
      <c r="I1806" s="116"/>
      <c r="L1806" s="170">
        <v>44663</v>
      </c>
      <c r="M1806" s="116">
        <v>194.85</v>
      </c>
      <c r="N1806" s="116">
        <v>209</v>
      </c>
      <c r="O1806" s="116">
        <v>191.1</v>
      </c>
      <c r="P1806" s="116">
        <v>202</v>
      </c>
      <c r="Q1806" s="116">
        <v>194.85</v>
      </c>
      <c r="R1806">
        <v>10452784</v>
      </c>
    </row>
    <row r="1807" spans="1:18" x14ac:dyDescent="0.25">
      <c r="A1807" s="170">
        <v>44664</v>
      </c>
      <c r="B1807" s="116">
        <v>200.7</v>
      </c>
      <c r="C1807" s="116">
        <v>185.75</v>
      </c>
      <c r="D1807" s="116">
        <v>185.25</v>
      </c>
      <c r="E1807" s="116">
        <v>199</v>
      </c>
      <c r="F1807" s="116">
        <v>185.75</v>
      </c>
      <c r="G1807">
        <v>1637588</v>
      </c>
      <c r="H1807" s="116"/>
      <c r="I1807" s="116"/>
      <c r="L1807" s="170">
        <v>44664</v>
      </c>
      <c r="M1807" s="116">
        <v>185.45</v>
      </c>
      <c r="N1807" s="116">
        <v>201</v>
      </c>
      <c r="O1807" s="116">
        <v>185.15</v>
      </c>
      <c r="P1807" s="116">
        <v>199</v>
      </c>
      <c r="Q1807" s="116">
        <v>185.45</v>
      </c>
      <c r="R1807">
        <v>6893514</v>
      </c>
    </row>
    <row r="1808" spans="1:18" x14ac:dyDescent="0.25">
      <c r="A1808" s="170">
        <v>44669</v>
      </c>
      <c r="B1808" s="116">
        <v>178</v>
      </c>
      <c r="C1808" s="116">
        <v>176.5</v>
      </c>
      <c r="D1808" s="116">
        <v>176.5</v>
      </c>
      <c r="E1808" s="116">
        <v>177.55</v>
      </c>
      <c r="F1808" s="116">
        <v>176.5</v>
      </c>
      <c r="G1808">
        <v>310386</v>
      </c>
      <c r="H1808" s="116"/>
      <c r="I1808" s="116"/>
      <c r="L1808" s="170">
        <v>44669</v>
      </c>
      <c r="M1808" s="116">
        <v>176.2</v>
      </c>
      <c r="N1808" s="116">
        <v>179.7</v>
      </c>
      <c r="O1808" s="116">
        <v>176.2</v>
      </c>
      <c r="P1808" s="116">
        <v>176.55</v>
      </c>
      <c r="Q1808" s="116">
        <v>176.2</v>
      </c>
      <c r="R1808">
        <v>1790308</v>
      </c>
    </row>
    <row r="1809" spans="1:18" x14ac:dyDescent="0.25">
      <c r="A1809" s="170">
        <v>44670</v>
      </c>
      <c r="B1809" s="116">
        <v>167.7</v>
      </c>
      <c r="C1809" s="116">
        <v>167.7</v>
      </c>
      <c r="D1809" s="116">
        <v>167.7</v>
      </c>
      <c r="E1809" s="116">
        <v>167.7</v>
      </c>
      <c r="F1809" s="116">
        <v>167.7</v>
      </c>
      <c r="G1809">
        <v>111122</v>
      </c>
      <c r="H1809" s="116"/>
      <c r="I1809" s="116"/>
      <c r="L1809" s="170">
        <v>44670</v>
      </c>
      <c r="M1809" s="116">
        <v>167.4</v>
      </c>
      <c r="N1809" s="116">
        <v>167.4</v>
      </c>
      <c r="O1809" s="116">
        <v>167.4</v>
      </c>
      <c r="P1809" s="116">
        <v>167.4</v>
      </c>
      <c r="Q1809" s="116">
        <v>167.4</v>
      </c>
      <c r="R1809">
        <v>479181</v>
      </c>
    </row>
    <row r="1810" spans="1:18" x14ac:dyDescent="0.25">
      <c r="A1810" s="170">
        <v>44671</v>
      </c>
      <c r="B1810" s="116">
        <v>170.1</v>
      </c>
      <c r="C1810" s="116">
        <v>165.05</v>
      </c>
      <c r="D1810" s="116">
        <v>159.35</v>
      </c>
      <c r="E1810" s="116">
        <v>159.35</v>
      </c>
      <c r="F1810" s="116">
        <v>165.05</v>
      </c>
      <c r="G1810">
        <v>1893453</v>
      </c>
      <c r="H1810" s="116"/>
      <c r="I1810" s="116"/>
      <c r="L1810" s="170">
        <v>44671</v>
      </c>
      <c r="M1810" s="116">
        <v>164.75</v>
      </c>
      <c r="N1810" s="116">
        <v>169.95</v>
      </c>
      <c r="O1810" s="116">
        <v>159.05000000000001</v>
      </c>
      <c r="P1810" s="116">
        <v>159.05000000000001</v>
      </c>
      <c r="Q1810" s="116">
        <v>164.75</v>
      </c>
      <c r="R1810">
        <v>10966042</v>
      </c>
    </row>
    <row r="1811" spans="1:18" x14ac:dyDescent="0.25">
      <c r="A1811" s="170">
        <v>44672</v>
      </c>
      <c r="B1811" s="116">
        <v>173.3</v>
      </c>
      <c r="C1811" s="116">
        <v>173.3</v>
      </c>
      <c r="D1811" s="116">
        <v>173.3</v>
      </c>
      <c r="E1811" s="116">
        <v>173.3</v>
      </c>
      <c r="F1811" s="116">
        <v>173.3</v>
      </c>
      <c r="G1811">
        <v>455431</v>
      </c>
      <c r="H1811" s="116"/>
      <c r="I1811" s="116"/>
      <c r="L1811" s="170">
        <v>44672</v>
      </c>
      <c r="M1811" s="116">
        <v>172.95</v>
      </c>
      <c r="N1811" s="116">
        <v>172.95</v>
      </c>
      <c r="O1811" s="116">
        <v>172.95</v>
      </c>
      <c r="P1811" s="116">
        <v>172.95</v>
      </c>
      <c r="Q1811" s="116">
        <v>172.95</v>
      </c>
      <c r="R1811">
        <v>445140</v>
      </c>
    </row>
    <row r="1812" spans="1:18" x14ac:dyDescent="0.25">
      <c r="A1812" s="170">
        <v>44673</v>
      </c>
      <c r="B1812" s="116">
        <v>178.7</v>
      </c>
      <c r="C1812" s="116">
        <v>167.5</v>
      </c>
      <c r="D1812" s="116">
        <v>165.1</v>
      </c>
      <c r="E1812" s="116">
        <v>175.35</v>
      </c>
      <c r="F1812" s="116">
        <v>167.5</v>
      </c>
      <c r="G1812">
        <v>2216840</v>
      </c>
      <c r="H1812" s="116"/>
      <c r="I1812" s="116"/>
      <c r="L1812" s="170">
        <v>44673</v>
      </c>
      <c r="M1812" s="116">
        <v>167.7</v>
      </c>
      <c r="N1812" s="116">
        <v>178.7</v>
      </c>
      <c r="O1812" s="116">
        <v>165</v>
      </c>
      <c r="P1812" s="116">
        <v>174.7</v>
      </c>
      <c r="Q1812" s="116">
        <v>167.7</v>
      </c>
      <c r="R1812">
        <v>9900864</v>
      </c>
    </row>
    <row r="1813" spans="1:18" x14ac:dyDescent="0.25">
      <c r="A1813" s="170">
        <v>44676</v>
      </c>
      <c r="B1813" s="116">
        <v>163.65</v>
      </c>
      <c r="C1813" s="116">
        <v>159.15</v>
      </c>
      <c r="D1813" s="116">
        <v>159.15</v>
      </c>
      <c r="E1813" s="116">
        <v>161.5</v>
      </c>
      <c r="F1813" s="116">
        <v>159.15</v>
      </c>
      <c r="G1813">
        <v>511184</v>
      </c>
      <c r="H1813" s="116"/>
      <c r="I1813" s="116"/>
      <c r="L1813" s="170">
        <v>44676</v>
      </c>
      <c r="M1813" s="116">
        <v>159.35</v>
      </c>
      <c r="N1813" s="116">
        <v>163.44999999999999</v>
      </c>
      <c r="O1813" s="116">
        <v>159.35</v>
      </c>
      <c r="P1813" s="116">
        <v>162.1</v>
      </c>
      <c r="Q1813" s="116">
        <v>159.35</v>
      </c>
      <c r="R1813">
        <v>4019155</v>
      </c>
    </row>
    <row r="1814" spans="1:18" x14ac:dyDescent="0.25">
      <c r="A1814" s="170">
        <v>44677</v>
      </c>
      <c r="B1814" s="116">
        <v>167.1</v>
      </c>
      <c r="C1814" s="116">
        <v>159.65</v>
      </c>
      <c r="D1814" s="116">
        <v>151.19999999999999</v>
      </c>
      <c r="E1814" s="116">
        <v>155.80000000000001</v>
      </c>
      <c r="F1814" s="116">
        <v>159.65</v>
      </c>
      <c r="G1814">
        <v>1668277</v>
      </c>
      <c r="H1814" s="116"/>
      <c r="I1814" s="116"/>
      <c r="L1814" s="170">
        <v>44677</v>
      </c>
      <c r="M1814" s="116">
        <v>161.4</v>
      </c>
      <c r="N1814" s="116">
        <v>167.3</v>
      </c>
      <c r="O1814" s="116">
        <v>151.4</v>
      </c>
      <c r="P1814" s="116">
        <v>156</v>
      </c>
      <c r="Q1814" s="116">
        <v>161.4</v>
      </c>
      <c r="R1814">
        <v>10346743</v>
      </c>
    </row>
    <row r="1815" spans="1:18" x14ac:dyDescent="0.25">
      <c r="A1815" s="170">
        <v>44678</v>
      </c>
      <c r="B1815" s="116">
        <v>165.9</v>
      </c>
      <c r="C1815" s="116">
        <v>153.30000000000001</v>
      </c>
      <c r="D1815" s="116">
        <v>151.80000000000001</v>
      </c>
      <c r="E1815" s="116">
        <v>163</v>
      </c>
      <c r="F1815" s="116">
        <v>153.30000000000001</v>
      </c>
      <c r="G1815">
        <v>1915403</v>
      </c>
      <c r="H1815" s="116"/>
      <c r="I1815" s="116"/>
      <c r="L1815" s="170">
        <v>44678</v>
      </c>
      <c r="M1815" s="116">
        <v>153.65</v>
      </c>
      <c r="N1815" s="116">
        <v>165.9</v>
      </c>
      <c r="O1815" s="116">
        <v>153.35</v>
      </c>
      <c r="P1815" s="116">
        <v>164</v>
      </c>
      <c r="Q1815" s="116">
        <v>153.65</v>
      </c>
      <c r="R1815">
        <v>9146736</v>
      </c>
    </row>
    <row r="1816" spans="1:18" x14ac:dyDescent="0.25">
      <c r="A1816" s="170">
        <v>44679</v>
      </c>
      <c r="B1816" s="116">
        <v>156.9</v>
      </c>
      <c r="C1816" s="116">
        <v>146.85</v>
      </c>
      <c r="D1816" s="116">
        <v>145.65</v>
      </c>
      <c r="E1816" s="116">
        <v>150.5</v>
      </c>
      <c r="F1816" s="116">
        <v>146.85</v>
      </c>
      <c r="G1816">
        <v>1253319</v>
      </c>
      <c r="H1816" s="116"/>
      <c r="I1816" s="116"/>
      <c r="L1816" s="170">
        <v>44679</v>
      </c>
      <c r="M1816" s="116">
        <v>147.05000000000001</v>
      </c>
      <c r="N1816" s="116">
        <v>157.19999999999999</v>
      </c>
      <c r="O1816" s="116">
        <v>146</v>
      </c>
      <c r="P1816" s="116">
        <v>150.15</v>
      </c>
      <c r="Q1816" s="116">
        <v>147.05000000000001</v>
      </c>
      <c r="R1816">
        <v>6972421</v>
      </c>
    </row>
    <row r="1817" spans="1:18" x14ac:dyDescent="0.25">
      <c r="A1817" s="170">
        <v>44680</v>
      </c>
      <c r="B1817" s="116">
        <v>150</v>
      </c>
      <c r="C1817" s="116">
        <v>139.6</v>
      </c>
      <c r="D1817" s="116">
        <v>139.55000000000001</v>
      </c>
      <c r="E1817" s="116">
        <v>145</v>
      </c>
      <c r="F1817" s="116">
        <v>139.6</v>
      </c>
      <c r="G1817">
        <v>838189</v>
      </c>
      <c r="H1817" s="116"/>
      <c r="I1817" s="116"/>
      <c r="L1817" s="170">
        <v>44680</v>
      </c>
      <c r="M1817" s="116">
        <v>139.69999999999999</v>
      </c>
      <c r="N1817" s="116">
        <v>150</v>
      </c>
      <c r="O1817" s="116">
        <v>139.69999999999999</v>
      </c>
      <c r="P1817" s="116">
        <v>145.80000000000001</v>
      </c>
      <c r="Q1817" s="116">
        <v>139.69999999999999</v>
      </c>
      <c r="R1817">
        <v>5014741</v>
      </c>
    </row>
    <row r="1818" spans="1:18" x14ac:dyDescent="0.25">
      <c r="A1818" s="170">
        <v>44683</v>
      </c>
      <c r="B1818" s="116">
        <v>138.15</v>
      </c>
      <c r="C1818" s="116">
        <v>132.65</v>
      </c>
      <c r="D1818" s="116">
        <v>132.65</v>
      </c>
      <c r="E1818" s="116">
        <v>135</v>
      </c>
      <c r="F1818" s="116">
        <v>132.65</v>
      </c>
      <c r="G1818">
        <v>1641494</v>
      </c>
      <c r="H1818" s="116"/>
      <c r="I1818" s="116"/>
      <c r="L1818" s="170">
        <v>44683</v>
      </c>
      <c r="M1818" s="116">
        <v>132.75</v>
      </c>
      <c r="N1818" s="116">
        <v>138</v>
      </c>
      <c r="O1818" s="116">
        <v>132.75</v>
      </c>
      <c r="P1818" s="116">
        <v>134.25</v>
      </c>
      <c r="Q1818" s="116">
        <v>132.75</v>
      </c>
      <c r="R1818">
        <v>7407517</v>
      </c>
    </row>
    <row r="1819" spans="1:18" x14ac:dyDescent="0.25">
      <c r="A1819" s="170">
        <v>44685</v>
      </c>
      <c r="B1819" s="116">
        <v>131.80000000000001</v>
      </c>
      <c r="C1819" s="116">
        <v>126.05</v>
      </c>
      <c r="D1819" s="116">
        <v>126.05</v>
      </c>
      <c r="E1819" s="116">
        <v>131</v>
      </c>
      <c r="F1819" s="116">
        <v>126.05</v>
      </c>
      <c r="G1819">
        <v>1061165</v>
      </c>
      <c r="H1819" s="116"/>
      <c r="I1819" s="116"/>
      <c r="L1819" s="170">
        <v>44685</v>
      </c>
      <c r="M1819" s="116">
        <v>126.15</v>
      </c>
      <c r="N1819" s="116">
        <v>132</v>
      </c>
      <c r="O1819" s="116">
        <v>126.15</v>
      </c>
      <c r="P1819" s="116">
        <v>130</v>
      </c>
      <c r="Q1819" s="116">
        <v>126.15</v>
      </c>
      <c r="R1819">
        <v>5103161</v>
      </c>
    </row>
    <row r="1820" spans="1:18" x14ac:dyDescent="0.25">
      <c r="A1820" s="170">
        <v>44686</v>
      </c>
      <c r="B1820" s="116">
        <v>132.35</v>
      </c>
      <c r="C1820" s="116">
        <v>132.35</v>
      </c>
      <c r="D1820" s="116">
        <v>120.65</v>
      </c>
      <c r="E1820" s="116">
        <v>123.8</v>
      </c>
      <c r="F1820" s="116">
        <v>132.35</v>
      </c>
      <c r="G1820">
        <v>1289143</v>
      </c>
      <c r="H1820" s="116"/>
      <c r="I1820" s="116"/>
      <c r="L1820" s="170">
        <v>44686</v>
      </c>
      <c r="M1820" s="116">
        <v>132.44999999999999</v>
      </c>
      <c r="N1820" s="116">
        <v>132.44999999999999</v>
      </c>
      <c r="O1820" s="116">
        <v>120.6</v>
      </c>
      <c r="P1820" s="116">
        <v>124.2</v>
      </c>
      <c r="Q1820" s="116">
        <v>132.44999999999999</v>
      </c>
      <c r="R1820">
        <v>8277280</v>
      </c>
    </row>
    <row r="1821" spans="1:18" x14ac:dyDescent="0.25">
      <c r="A1821" s="170">
        <v>44687</v>
      </c>
      <c r="B1821" s="116">
        <v>138.94999999999999</v>
      </c>
      <c r="C1821" s="116">
        <v>138.94999999999999</v>
      </c>
      <c r="D1821" s="116">
        <v>128.30000000000001</v>
      </c>
      <c r="E1821" s="116">
        <v>132.35</v>
      </c>
      <c r="F1821" s="116">
        <v>138.94999999999999</v>
      </c>
      <c r="G1821">
        <v>1882065</v>
      </c>
      <c r="H1821" s="116"/>
      <c r="I1821" s="116"/>
      <c r="L1821" s="170">
        <v>44687</v>
      </c>
      <c r="M1821" s="116">
        <v>139.05000000000001</v>
      </c>
      <c r="N1821" s="116">
        <v>139.05000000000001</v>
      </c>
      <c r="O1821" s="116">
        <v>128.80000000000001</v>
      </c>
      <c r="P1821" s="116">
        <v>132.44999999999999</v>
      </c>
      <c r="Q1821" s="116">
        <v>139.05000000000001</v>
      </c>
      <c r="R1821">
        <v>12003597</v>
      </c>
    </row>
    <row r="1822" spans="1:18" x14ac:dyDescent="0.25">
      <c r="A1822" s="170">
        <v>44690</v>
      </c>
      <c r="B1822" s="116">
        <v>145.85</v>
      </c>
      <c r="C1822" s="116">
        <v>145.85</v>
      </c>
      <c r="D1822" s="116">
        <v>133.35</v>
      </c>
      <c r="E1822" s="116">
        <v>140.9</v>
      </c>
      <c r="F1822" s="116">
        <v>145.85</v>
      </c>
      <c r="G1822">
        <v>1440384</v>
      </c>
      <c r="H1822" s="116"/>
      <c r="I1822" s="116"/>
      <c r="L1822" s="170">
        <v>44690</v>
      </c>
      <c r="M1822" s="116">
        <v>145.94999999999999</v>
      </c>
      <c r="N1822" s="116">
        <v>146</v>
      </c>
      <c r="O1822" s="116">
        <v>133.30000000000001</v>
      </c>
      <c r="P1822" s="116">
        <v>139.94999999999999</v>
      </c>
      <c r="Q1822" s="116">
        <v>145.94999999999999</v>
      </c>
      <c r="R1822">
        <v>9807203</v>
      </c>
    </row>
    <row r="1823" spans="1:18" x14ac:dyDescent="0.25">
      <c r="A1823" s="170">
        <v>44691</v>
      </c>
      <c r="B1823" s="116">
        <v>149.94999999999999</v>
      </c>
      <c r="C1823" s="116">
        <v>138.6</v>
      </c>
      <c r="D1823" s="116">
        <v>138.6</v>
      </c>
      <c r="E1823" s="116">
        <v>146.5</v>
      </c>
      <c r="F1823" s="116">
        <v>138.6</v>
      </c>
      <c r="G1823">
        <v>948590</v>
      </c>
      <c r="H1823" s="116"/>
      <c r="I1823" s="116"/>
      <c r="L1823" s="170">
        <v>44691</v>
      </c>
      <c r="M1823" s="116">
        <v>138.69999999999999</v>
      </c>
      <c r="N1823" s="116">
        <v>149.9</v>
      </c>
      <c r="O1823" s="116">
        <v>138.69999999999999</v>
      </c>
      <c r="P1823" s="116">
        <v>146</v>
      </c>
      <c r="Q1823" s="116">
        <v>138.69999999999999</v>
      </c>
      <c r="R1823">
        <v>6752714</v>
      </c>
    </row>
    <row r="1824" spans="1:18" x14ac:dyDescent="0.25">
      <c r="A1824" s="170">
        <v>44692</v>
      </c>
      <c r="B1824" s="116">
        <v>134.94999999999999</v>
      </c>
      <c r="C1824" s="116">
        <v>131.69999999999999</v>
      </c>
      <c r="D1824" s="116">
        <v>131.69999999999999</v>
      </c>
      <c r="E1824" s="116">
        <v>133.55000000000001</v>
      </c>
      <c r="F1824" s="116">
        <v>131.69999999999999</v>
      </c>
      <c r="G1824">
        <v>1091314</v>
      </c>
      <c r="H1824" s="116"/>
      <c r="I1824" s="116"/>
      <c r="L1824" s="170">
        <v>44692</v>
      </c>
      <c r="M1824" s="116">
        <v>131.80000000000001</v>
      </c>
      <c r="N1824" s="116">
        <v>134.94999999999999</v>
      </c>
      <c r="O1824" s="116">
        <v>131.80000000000001</v>
      </c>
      <c r="P1824" s="116">
        <v>134.05000000000001</v>
      </c>
      <c r="Q1824" s="116">
        <v>131.80000000000001</v>
      </c>
      <c r="R1824">
        <v>6346257</v>
      </c>
    </row>
    <row r="1825" spans="1:18" x14ac:dyDescent="0.25">
      <c r="A1825" s="170">
        <v>44693</v>
      </c>
      <c r="B1825" s="116">
        <v>127.2</v>
      </c>
      <c r="C1825" s="116">
        <v>125.15</v>
      </c>
      <c r="D1825" s="116">
        <v>125.15</v>
      </c>
      <c r="E1825" s="116">
        <v>125.65</v>
      </c>
      <c r="F1825" s="116">
        <v>125.15</v>
      </c>
      <c r="G1825">
        <v>331972</v>
      </c>
      <c r="H1825" s="116"/>
      <c r="I1825" s="116"/>
      <c r="L1825" s="170">
        <v>44693</v>
      </c>
      <c r="M1825" s="116">
        <v>125.25</v>
      </c>
      <c r="N1825" s="116">
        <v>127.45</v>
      </c>
      <c r="O1825" s="116">
        <v>125.25</v>
      </c>
      <c r="P1825" s="116">
        <v>126</v>
      </c>
      <c r="Q1825" s="116">
        <v>125.25</v>
      </c>
      <c r="R1825">
        <v>1576290</v>
      </c>
    </row>
    <row r="1826" spans="1:18" x14ac:dyDescent="0.25">
      <c r="A1826" s="170">
        <v>44694</v>
      </c>
      <c r="B1826" s="116">
        <v>130.44999999999999</v>
      </c>
      <c r="C1826" s="116">
        <v>119.1</v>
      </c>
      <c r="D1826" s="116">
        <v>118.9</v>
      </c>
      <c r="E1826" s="116">
        <v>126.7</v>
      </c>
      <c r="F1826" s="116">
        <v>119.1</v>
      </c>
      <c r="G1826">
        <v>1164154</v>
      </c>
      <c r="H1826" s="116"/>
      <c r="I1826" s="116"/>
      <c r="L1826" s="170">
        <v>44694</v>
      </c>
      <c r="M1826" s="116">
        <v>119.25</v>
      </c>
      <c r="N1826" s="116">
        <v>130.5</v>
      </c>
      <c r="O1826" s="116">
        <v>119</v>
      </c>
      <c r="P1826" s="116">
        <v>126.1</v>
      </c>
      <c r="Q1826" s="116">
        <v>119.25</v>
      </c>
      <c r="R1826">
        <v>6795008</v>
      </c>
    </row>
    <row r="1827" spans="1:18" x14ac:dyDescent="0.25">
      <c r="A1827" s="170">
        <v>44697</v>
      </c>
      <c r="B1827" s="116">
        <v>125.05</v>
      </c>
      <c r="C1827" s="116">
        <v>124.9</v>
      </c>
      <c r="D1827" s="116">
        <v>117.05</v>
      </c>
      <c r="E1827" s="116">
        <v>122</v>
      </c>
      <c r="F1827" s="116">
        <v>124.9</v>
      </c>
      <c r="G1827">
        <v>1701483</v>
      </c>
      <c r="H1827" s="116"/>
      <c r="I1827" s="116"/>
      <c r="L1827" s="170">
        <v>44697</v>
      </c>
      <c r="M1827" s="116">
        <v>124.95</v>
      </c>
      <c r="N1827" s="116">
        <v>125.2</v>
      </c>
      <c r="O1827" s="116">
        <v>117</v>
      </c>
      <c r="P1827" s="116">
        <v>121.95</v>
      </c>
      <c r="Q1827" s="116">
        <v>124.95</v>
      </c>
      <c r="R1827">
        <v>9404063</v>
      </c>
    </row>
    <row r="1828" spans="1:18" x14ac:dyDescent="0.25">
      <c r="A1828" s="170">
        <v>44698</v>
      </c>
      <c r="B1828" s="116">
        <v>131.1</v>
      </c>
      <c r="C1828" s="116">
        <v>131.1</v>
      </c>
      <c r="D1828" s="116">
        <v>125.55</v>
      </c>
      <c r="E1828" s="116">
        <v>127.5</v>
      </c>
      <c r="F1828" s="116">
        <v>131.1</v>
      </c>
      <c r="G1828">
        <v>321057</v>
      </c>
      <c r="H1828" s="116"/>
      <c r="I1828" s="116"/>
      <c r="L1828" s="170">
        <v>44698</v>
      </c>
      <c r="M1828" s="116">
        <v>131.15</v>
      </c>
      <c r="N1828" s="116">
        <v>131.15</v>
      </c>
      <c r="O1828" s="116">
        <v>125.5</v>
      </c>
      <c r="P1828" s="116">
        <v>127.4</v>
      </c>
      <c r="Q1828" s="116">
        <v>131.15</v>
      </c>
      <c r="R1828">
        <v>3199209</v>
      </c>
    </row>
    <row r="1829" spans="1:18" x14ac:dyDescent="0.25">
      <c r="A1829" s="170">
        <v>44699</v>
      </c>
      <c r="B1829" s="116">
        <v>137.65</v>
      </c>
      <c r="C1829" s="116">
        <v>137.65</v>
      </c>
      <c r="D1829" s="116">
        <v>133.4</v>
      </c>
      <c r="E1829" s="116">
        <v>136.4</v>
      </c>
      <c r="F1829" s="116">
        <v>137.65</v>
      </c>
      <c r="G1829">
        <v>1367725</v>
      </c>
      <c r="H1829" s="116"/>
      <c r="I1829" s="116"/>
      <c r="L1829" s="170">
        <v>44699</v>
      </c>
      <c r="M1829" s="116">
        <v>137.69999999999999</v>
      </c>
      <c r="N1829" s="116">
        <v>137.69999999999999</v>
      </c>
      <c r="O1829" s="116">
        <v>133.4</v>
      </c>
      <c r="P1829" s="116">
        <v>136</v>
      </c>
      <c r="Q1829" s="116">
        <v>137.69999999999999</v>
      </c>
      <c r="R1829">
        <v>8154522</v>
      </c>
    </row>
    <row r="1830" spans="1:18" x14ac:dyDescent="0.25">
      <c r="A1830" s="170">
        <v>44700</v>
      </c>
      <c r="B1830" s="116">
        <v>134.69999999999999</v>
      </c>
      <c r="C1830" s="116">
        <v>130.80000000000001</v>
      </c>
      <c r="D1830" s="116">
        <v>130.80000000000001</v>
      </c>
      <c r="E1830" s="116">
        <v>132.9</v>
      </c>
      <c r="F1830" s="116">
        <v>130.80000000000001</v>
      </c>
      <c r="G1830">
        <v>527831</v>
      </c>
      <c r="H1830" s="116"/>
      <c r="I1830" s="116"/>
      <c r="L1830" s="170">
        <v>44700</v>
      </c>
      <c r="M1830" s="116">
        <v>130.85</v>
      </c>
      <c r="N1830" s="116">
        <v>134.69999999999999</v>
      </c>
      <c r="O1830" s="116">
        <v>130.85</v>
      </c>
      <c r="P1830" s="116">
        <v>133.1</v>
      </c>
      <c r="Q1830" s="116">
        <v>130.85</v>
      </c>
      <c r="R1830">
        <v>4071847</v>
      </c>
    </row>
    <row r="1831" spans="1:18" x14ac:dyDescent="0.25">
      <c r="A1831" s="170">
        <v>44701</v>
      </c>
      <c r="B1831" s="116">
        <v>134.94999999999999</v>
      </c>
      <c r="C1831" s="116">
        <v>128.1</v>
      </c>
      <c r="D1831" s="116">
        <v>126.35</v>
      </c>
      <c r="E1831" s="116">
        <v>129.94999999999999</v>
      </c>
      <c r="F1831" s="116">
        <v>128.1</v>
      </c>
      <c r="G1831">
        <v>675462</v>
      </c>
      <c r="H1831" s="116"/>
      <c r="I1831" s="116"/>
      <c r="L1831" s="170">
        <v>44701</v>
      </c>
      <c r="M1831" s="116">
        <v>128.05000000000001</v>
      </c>
      <c r="N1831" s="116">
        <v>135</v>
      </c>
      <c r="O1831" s="116">
        <v>126.3</v>
      </c>
      <c r="P1831" s="116">
        <v>129</v>
      </c>
      <c r="Q1831" s="116">
        <v>128.05000000000001</v>
      </c>
      <c r="R1831">
        <v>5591167</v>
      </c>
    </row>
    <row r="1832" spans="1:18" x14ac:dyDescent="0.25">
      <c r="A1832" s="170">
        <v>44704</v>
      </c>
      <c r="B1832" s="116">
        <v>130.5</v>
      </c>
      <c r="C1832" s="116">
        <v>121.95</v>
      </c>
      <c r="D1832" s="116">
        <v>121.7</v>
      </c>
      <c r="E1832" s="116">
        <v>130.5</v>
      </c>
      <c r="F1832" s="116">
        <v>121.95</v>
      </c>
      <c r="G1832">
        <v>1003909</v>
      </c>
      <c r="H1832" s="116"/>
      <c r="I1832" s="116"/>
      <c r="L1832" s="170">
        <v>44704</v>
      </c>
      <c r="M1832" s="116">
        <v>122</v>
      </c>
      <c r="N1832" s="116">
        <v>130</v>
      </c>
      <c r="O1832" s="116">
        <v>121.65</v>
      </c>
      <c r="P1832" s="116">
        <v>130</v>
      </c>
      <c r="Q1832" s="116">
        <v>122</v>
      </c>
      <c r="R1832">
        <v>3739596</v>
      </c>
    </row>
    <row r="1833" spans="1:18" x14ac:dyDescent="0.25">
      <c r="A1833" s="170">
        <v>44705</v>
      </c>
      <c r="B1833" s="116">
        <v>127.45</v>
      </c>
      <c r="C1833" s="116">
        <v>123.2</v>
      </c>
      <c r="D1833" s="116">
        <v>120</v>
      </c>
      <c r="E1833" s="116">
        <v>120.5</v>
      </c>
      <c r="F1833" s="116">
        <v>123.2</v>
      </c>
      <c r="G1833">
        <v>558807</v>
      </c>
      <c r="H1833" s="116"/>
      <c r="I1833" s="116"/>
      <c r="L1833" s="170">
        <v>44705</v>
      </c>
      <c r="M1833" s="116">
        <v>123.1</v>
      </c>
      <c r="N1833" s="116">
        <v>127.45</v>
      </c>
      <c r="O1833" s="116">
        <v>120</v>
      </c>
      <c r="P1833" s="116">
        <v>120.1</v>
      </c>
      <c r="Q1833" s="116">
        <v>123.1</v>
      </c>
      <c r="R1833">
        <v>3794126</v>
      </c>
    </row>
    <row r="1834" spans="1:18" x14ac:dyDescent="0.25">
      <c r="A1834" s="170">
        <v>44706</v>
      </c>
      <c r="B1834" s="116">
        <v>126.75</v>
      </c>
      <c r="C1834" s="116">
        <v>117.35</v>
      </c>
      <c r="D1834" s="116">
        <v>117.05</v>
      </c>
      <c r="E1834" s="116">
        <v>124.1</v>
      </c>
      <c r="F1834" s="116">
        <v>117.35</v>
      </c>
      <c r="G1834">
        <v>752509</v>
      </c>
      <c r="H1834" s="116"/>
      <c r="I1834" s="116"/>
      <c r="L1834" s="170">
        <v>44706</v>
      </c>
      <c r="M1834" s="116">
        <v>117.35</v>
      </c>
      <c r="N1834" s="116">
        <v>126.7</v>
      </c>
      <c r="O1834" s="116">
        <v>117</v>
      </c>
      <c r="P1834" s="116">
        <v>125</v>
      </c>
      <c r="Q1834" s="116">
        <v>117.35</v>
      </c>
      <c r="R1834">
        <v>2827870</v>
      </c>
    </row>
    <row r="1835" spans="1:18" x14ac:dyDescent="0.25">
      <c r="A1835" s="170">
        <v>44707</v>
      </c>
      <c r="B1835" s="116">
        <v>120</v>
      </c>
      <c r="C1835" s="116">
        <v>117.45</v>
      </c>
      <c r="D1835" s="116">
        <v>111.5</v>
      </c>
      <c r="E1835" s="116">
        <v>117.35</v>
      </c>
      <c r="F1835" s="116">
        <v>117.45</v>
      </c>
      <c r="G1835">
        <v>1186442</v>
      </c>
      <c r="H1835" s="116"/>
      <c r="I1835" s="116"/>
      <c r="L1835" s="170">
        <v>44707</v>
      </c>
      <c r="M1835" s="116">
        <v>117.25</v>
      </c>
      <c r="N1835" s="116">
        <v>120</v>
      </c>
      <c r="O1835" s="116">
        <v>111.5</v>
      </c>
      <c r="P1835" s="116">
        <v>118.3</v>
      </c>
      <c r="Q1835" s="116">
        <v>117.25</v>
      </c>
      <c r="R1835">
        <v>5497867</v>
      </c>
    </row>
    <row r="1836" spans="1:18" x14ac:dyDescent="0.25">
      <c r="A1836" s="170">
        <v>44708</v>
      </c>
      <c r="B1836" s="116">
        <v>123.3</v>
      </c>
      <c r="C1836" s="116">
        <v>123.3</v>
      </c>
      <c r="D1836" s="116">
        <v>115.45</v>
      </c>
      <c r="E1836" s="116">
        <v>119.3</v>
      </c>
      <c r="F1836" s="116">
        <v>123.3</v>
      </c>
      <c r="G1836">
        <v>958119</v>
      </c>
      <c r="H1836" s="116"/>
      <c r="I1836" s="116"/>
      <c r="L1836" s="170">
        <v>44708</v>
      </c>
      <c r="M1836" s="116">
        <v>123.1</v>
      </c>
      <c r="N1836" s="116">
        <v>123.1</v>
      </c>
      <c r="O1836" s="116">
        <v>114.7</v>
      </c>
      <c r="P1836" s="116">
        <v>119.6</v>
      </c>
      <c r="Q1836" s="116">
        <v>123.1</v>
      </c>
      <c r="R1836">
        <v>3903205</v>
      </c>
    </row>
    <row r="1837" spans="1:18" x14ac:dyDescent="0.25">
      <c r="A1837" s="170">
        <v>44711</v>
      </c>
      <c r="B1837" s="116">
        <v>125.95</v>
      </c>
      <c r="C1837" s="116">
        <v>121.3</v>
      </c>
      <c r="D1837" s="116">
        <v>119.25</v>
      </c>
      <c r="E1837" s="116">
        <v>124.65</v>
      </c>
      <c r="F1837" s="116">
        <v>121.3</v>
      </c>
      <c r="G1837">
        <v>844503</v>
      </c>
      <c r="H1837" s="116"/>
      <c r="I1837" s="116"/>
      <c r="L1837" s="170">
        <v>44711</v>
      </c>
      <c r="M1837" s="116">
        <v>121.15</v>
      </c>
      <c r="N1837" s="116">
        <v>126</v>
      </c>
      <c r="O1837" s="116">
        <v>119.35</v>
      </c>
      <c r="P1837" s="116">
        <v>124.4</v>
      </c>
      <c r="Q1837" s="116">
        <v>121.15</v>
      </c>
      <c r="R1837">
        <v>3497994</v>
      </c>
    </row>
    <row r="1838" spans="1:18" x14ac:dyDescent="0.25">
      <c r="A1838" s="170">
        <v>44712</v>
      </c>
      <c r="B1838" s="116">
        <v>127.35</v>
      </c>
      <c r="C1838" s="116">
        <v>125.35</v>
      </c>
      <c r="D1838" s="116">
        <v>118.45</v>
      </c>
      <c r="E1838" s="116">
        <v>121.3</v>
      </c>
      <c r="F1838" s="116">
        <v>125.35</v>
      </c>
      <c r="G1838">
        <v>1071867</v>
      </c>
      <c r="H1838" s="116"/>
      <c r="I1838" s="116"/>
      <c r="L1838" s="170">
        <v>44712</v>
      </c>
      <c r="M1838" s="116">
        <v>125.4</v>
      </c>
      <c r="N1838" s="116">
        <v>127.2</v>
      </c>
      <c r="O1838" s="116">
        <v>118.45</v>
      </c>
      <c r="P1838" s="116">
        <v>121.25</v>
      </c>
      <c r="Q1838" s="116">
        <v>125.4</v>
      </c>
      <c r="R1838">
        <v>5356464</v>
      </c>
    </row>
    <row r="1839" spans="1:18" x14ac:dyDescent="0.25">
      <c r="A1839" s="170">
        <v>44713</v>
      </c>
      <c r="B1839" s="116">
        <v>127.5</v>
      </c>
      <c r="C1839" s="116">
        <v>121.8</v>
      </c>
      <c r="D1839" s="116">
        <v>120.35</v>
      </c>
      <c r="E1839" s="116">
        <v>125</v>
      </c>
      <c r="F1839" s="116">
        <v>121.8</v>
      </c>
      <c r="G1839">
        <v>294153</v>
      </c>
      <c r="H1839" s="116"/>
      <c r="I1839" s="116"/>
      <c r="L1839" s="170">
        <v>44713</v>
      </c>
      <c r="M1839" s="116">
        <v>121.85</v>
      </c>
      <c r="N1839" s="116">
        <v>127.55</v>
      </c>
      <c r="O1839" s="116">
        <v>120.25</v>
      </c>
      <c r="P1839" s="116">
        <v>125.8</v>
      </c>
      <c r="Q1839" s="116">
        <v>121.85</v>
      </c>
      <c r="R1839">
        <v>2315768</v>
      </c>
    </row>
    <row r="1840" spans="1:18" x14ac:dyDescent="0.25">
      <c r="A1840" s="170">
        <v>44714</v>
      </c>
      <c r="B1840" s="116">
        <v>125.6</v>
      </c>
      <c r="C1840" s="116">
        <v>122.25</v>
      </c>
      <c r="D1840" s="116">
        <v>120.5</v>
      </c>
      <c r="E1840" s="116">
        <v>122.3</v>
      </c>
      <c r="F1840" s="116">
        <v>122.25</v>
      </c>
      <c r="G1840">
        <v>364837</v>
      </c>
      <c r="H1840" s="116"/>
      <c r="I1840" s="116"/>
      <c r="L1840" s="170">
        <v>44714</v>
      </c>
      <c r="M1840" s="116">
        <v>122.3</v>
      </c>
      <c r="N1840" s="116">
        <v>125.7</v>
      </c>
      <c r="O1840" s="116">
        <v>120.5</v>
      </c>
      <c r="P1840" s="116">
        <v>122</v>
      </c>
      <c r="Q1840" s="116">
        <v>122.3</v>
      </c>
      <c r="R1840">
        <v>2846848</v>
      </c>
    </row>
    <row r="1841" spans="1:18" x14ac:dyDescent="0.25">
      <c r="A1841" s="170">
        <v>44715</v>
      </c>
      <c r="B1841" s="116">
        <v>124.6</v>
      </c>
      <c r="C1841" s="116">
        <v>119.2</v>
      </c>
      <c r="D1841" s="116">
        <v>117.65</v>
      </c>
      <c r="E1841" s="116">
        <v>123.9</v>
      </c>
      <c r="F1841" s="116">
        <v>119.2</v>
      </c>
      <c r="G1841">
        <v>317373</v>
      </c>
      <c r="H1841" s="116"/>
      <c r="I1841" s="116"/>
      <c r="L1841" s="170">
        <v>44715</v>
      </c>
      <c r="M1841" s="116">
        <v>119.25</v>
      </c>
      <c r="N1841" s="116">
        <v>124.65</v>
      </c>
      <c r="O1841" s="116">
        <v>117.6</v>
      </c>
      <c r="P1841" s="116">
        <v>124.2</v>
      </c>
      <c r="Q1841" s="116">
        <v>119.25</v>
      </c>
      <c r="R1841">
        <v>2378667</v>
      </c>
    </row>
    <row r="1842" spans="1:18" x14ac:dyDescent="0.25">
      <c r="A1842" s="170">
        <v>44718</v>
      </c>
      <c r="B1842" s="116">
        <v>123.8</v>
      </c>
      <c r="C1842" s="116">
        <v>121.4</v>
      </c>
      <c r="D1842" s="116">
        <v>115.9</v>
      </c>
      <c r="E1842" s="116">
        <v>119.7</v>
      </c>
      <c r="F1842" s="116">
        <v>121.4</v>
      </c>
      <c r="G1842">
        <v>463062</v>
      </c>
      <c r="H1842" s="116"/>
      <c r="I1842" s="116"/>
      <c r="L1842" s="170">
        <v>44718</v>
      </c>
      <c r="M1842" s="116">
        <v>121.5</v>
      </c>
      <c r="N1842" s="116">
        <v>123.85</v>
      </c>
      <c r="O1842" s="116">
        <v>115.55</v>
      </c>
      <c r="P1842" s="116">
        <v>119.25</v>
      </c>
      <c r="Q1842" s="116">
        <v>121.5</v>
      </c>
      <c r="R1842">
        <v>3366441</v>
      </c>
    </row>
    <row r="1843" spans="1:18" x14ac:dyDescent="0.25">
      <c r="A1843" s="170">
        <v>44719</v>
      </c>
      <c r="B1843" s="116">
        <v>121.7</v>
      </c>
      <c r="C1843" s="116">
        <v>117.5</v>
      </c>
      <c r="D1843" s="116">
        <v>116.65</v>
      </c>
      <c r="E1843" s="116">
        <v>121.7</v>
      </c>
      <c r="F1843" s="116">
        <v>117.5</v>
      </c>
      <c r="G1843">
        <v>244047</v>
      </c>
      <c r="H1843" s="116"/>
      <c r="I1843" s="116"/>
      <c r="L1843" s="170">
        <v>44719</v>
      </c>
      <c r="M1843" s="116">
        <v>117.4</v>
      </c>
      <c r="N1843" s="116">
        <v>121</v>
      </c>
      <c r="O1843" s="116">
        <v>116.6</v>
      </c>
      <c r="P1843" s="116">
        <v>120</v>
      </c>
      <c r="Q1843" s="116">
        <v>117.4</v>
      </c>
      <c r="R1843">
        <v>2202811</v>
      </c>
    </row>
    <row r="1844" spans="1:18" x14ac:dyDescent="0.25">
      <c r="A1844" s="170">
        <v>44720</v>
      </c>
      <c r="B1844" s="116">
        <v>119.5</v>
      </c>
      <c r="C1844" s="116">
        <v>116.05</v>
      </c>
      <c r="D1844" s="116">
        <v>114.6</v>
      </c>
      <c r="E1844" s="116">
        <v>118.8</v>
      </c>
      <c r="F1844" s="116">
        <v>116.05</v>
      </c>
      <c r="G1844">
        <v>386273</v>
      </c>
      <c r="H1844" s="116"/>
      <c r="I1844" s="116"/>
      <c r="L1844" s="170">
        <v>44720</v>
      </c>
      <c r="M1844" s="116">
        <v>116.15</v>
      </c>
      <c r="N1844" s="116">
        <v>119.3</v>
      </c>
      <c r="O1844" s="116">
        <v>114.5</v>
      </c>
      <c r="P1844" s="116">
        <v>119.3</v>
      </c>
      <c r="Q1844" s="116">
        <v>116.15</v>
      </c>
      <c r="R1844">
        <v>1926791</v>
      </c>
    </row>
    <row r="1845" spans="1:18" x14ac:dyDescent="0.25">
      <c r="A1845" s="170">
        <v>44721</v>
      </c>
      <c r="B1845" s="116">
        <v>127.65</v>
      </c>
      <c r="C1845" s="116">
        <v>127.65</v>
      </c>
      <c r="D1845" s="116">
        <v>114.5</v>
      </c>
      <c r="E1845" s="116">
        <v>116</v>
      </c>
      <c r="F1845" s="116">
        <v>127.65</v>
      </c>
      <c r="G1845">
        <v>842993</v>
      </c>
      <c r="H1845" s="116"/>
      <c r="I1845" s="116"/>
      <c r="L1845" s="170">
        <v>44721</v>
      </c>
      <c r="M1845" s="116">
        <v>127.75</v>
      </c>
      <c r="N1845" s="116">
        <v>127.75</v>
      </c>
      <c r="O1845" s="116">
        <v>114.5</v>
      </c>
      <c r="P1845" s="116">
        <v>115.95</v>
      </c>
      <c r="Q1845" s="116">
        <v>127.75</v>
      </c>
      <c r="R1845">
        <v>7992303</v>
      </c>
    </row>
    <row r="1846" spans="1:18" x14ac:dyDescent="0.25">
      <c r="A1846" s="170">
        <v>44722</v>
      </c>
      <c r="B1846" s="116">
        <v>140.4</v>
      </c>
      <c r="C1846" s="116">
        <v>140.4</v>
      </c>
      <c r="D1846" s="116">
        <v>129.5</v>
      </c>
      <c r="E1846" s="116">
        <v>130</v>
      </c>
      <c r="F1846" s="116">
        <v>140.4</v>
      </c>
      <c r="G1846">
        <v>2206562</v>
      </c>
      <c r="H1846" s="116"/>
      <c r="I1846" s="116"/>
      <c r="L1846" s="170">
        <v>44722</v>
      </c>
      <c r="M1846" s="116">
        <v>140.5</v>
      </c>
      <c r="N1846" s="116">
        <v>140.5</v>
      </c>
      <c r="O1846" s="116">
        <v>129.5</v>
      </c>
      <c r="P1846" s="116">
        <v>129.5</v>
      </c>
      <c r="Q1846" s="116">
        <v>140.5</v>
      </c>
      <c r="R1846">
        <v>20114622</v>
      </c>
    </row>
    <row r="1847" spans="1:18" x14ac:dyDescent="0.25">
      <c r="A1847" s="170">
        <v>44725</v>
      </c>
      <c r="B1847" s="116">
        <v>147.35</v>
      </c>
      <c r="C1847" s="116">
        <v>136.5</v>
      </c>
      <c r="D1847" s="116">
        <v>128.9</v>
      </c>
      <c r="E1847" s="116">
        <v>138.94999999999999</v>
      </c>
      <c r="F1847" s="116">
        <v>136.5</v>
      </c>
      <c r="G1847">
        <v>2332961</v>
      </c>
      <c r="H1847" s="116"/>
      <c r="I1847" s="116"/>
      <c r="L1847" s="170">
        <v>44725</v>
      </c>
      <c r="M1847" s="116">
        <v>136.55000000000001</v>
      </c>
      <c r="N1847" s="116">
        <v>147.4</v>
      </c>
      <c r="O1847" s="116">
        <v>128.35</v>
      </c>
      <c r="P1847" s="116">
        <v>137.6</v>
      </c>
      <c r="Q1847" s="116">
        <v>136.55000000000001</v>
      </c>
      <c r="R1847">
        <v>22935381</v>
      </c>
    </row>
    <row r="1848" spans="1:18" x14ac:dyDescent="0.25">
      <c r="A1848" s="170">
        <v>44726</v>
      </c>
      <c r="B1848" s="116">
        <v>143.15</v>
      </c>
      <c r="C1848" s="116">
        <v>131.5</v>
      </c>
      <c r="D1848" s="116">
        <v>130.19999999999999</v>
      </c>
      <c r="E1848" s="116">
        <v>136.80000000000001</v>
      </c>
      <c r="F1848" s="116">
        <v>131.5</v>
      </c>
      <c r="G1848">
        <v>794090</v>
      </c>
      <c r="H1848" s="116"/>
      <c r="I1848" s="116"/>
      <c r="L1848" s="170">
        <v>44726</v>
      </c>
      <c r="M1848" s="116">
        <v>131.4</v>
      </c>
      <c r="N1848" s="116">
        <v>143.4</v>
      </c>
      <c r="O1848" s="116">
        <v>130</v>
      </c>
      <c r="P1848" s="116">
        <v>136</v>
      </c>
      <c r="Q1848" s="116">
        <v>131.4</v>
      </c>
      <c r="R1848">
        <v>8311475</v>
      </c>
    </row>
    <row r="1849" spans="1:18" x14ac:dyDescent="0.25">
      <c r="A1849" s="170">
        <v>44727</v>
      </c>
      <c r="B1849" s="116">
        <v>136</v>
      </c>
      <c r="C1849" s="116">
        <v>127.25</v>
      </c>
      <c r="D1849" s="116">
        <v>126.4</v>
      </c>
      <c r="E1849" s="116">
        <v>133.35</v>
      </c>
      <c r="F1849" s="116">
        <v>127.25</v>
      </c>
      <c r="G1849">
        <v>797271</v>
      </c>
      <c r="H1849" s="116"/>
      <c r="I1849" s="116"/>
      <c r="L1849" s="170">
        <v>44727</v>
      </c>
      <c r="M1849" s="116">
        <v>127.25</v>
      </c>
      <c r="N1849" s="116">
        <v>136</v>
      </c>
      <c r="O1849" s="116">
        <v>126.45</v>
      </c>
      <c r="P1849" s="116">
        <v>134</v>
      </c>
      <c r="Q1849" s="116">
        <v>127.25</v>
      </c>
      <c r="R1849">
        <v>3478032</v>
      </c>
    </row>
    <row r="1850" spans="1:18" x14ac:dyDescent="0.25">
      <c r="A1850" s="170">
        <v>44728</v>
      </c>
      <c r="B1850" s="116">
        <v>133.5</v>
      </c>
      <c r="C1850" s="116">
        <v>119.55</v>
      </c>
      <c r="D1850" s="116">
        <v>117.5</v>
      </c>
      <c r="E1850" s="116">
        <v>131.4</v>
      </c>
      <c r="F1850" s="116">
        <v>119.55</v>
      </c>
      <c r="G1850">
        <v>1285292</v>
      </c>
      <c r="H1850" s="116"/>
      <c r="I1850" s="116"/>
      <c r="L1850" s="170">
        <v>44728</v>
      </c>
      <c r="M1850" s="116">
        <v>119.75</v>
      </c>
      <c r="N1850" s="116">
        <v>133.69999999999999</v>
      </c>
      <c r="O1850" s="116">
        <v>117.6</v>
      </c>
      <c r="P1850" s="116">
        <v>131</v>
      </c>
      <c r="Q1850" s="116">
        <v>119.75</v>
      </c>
      <c r="R1850">
        <v>5699570</v>
      </c>
    </row>
    <row r="1851" spans="1:18" x14ac:dyDescent="0.25">
      <c r="A1851" s="170">
        <v>44729</v>
      </c>
      <c r="B1851" s="116">
        <v>124.75</v>
      </c>
      <c r="C1851" s="116">
        <v>120.6</v>
      </c>
      <c r="D1851" s="116">
        <v>115.2</v>
      </c>
      <c r="E1851" s="116">
        <v>115.2</v>
      </c>
      <c r="F1851" s="116">
        <v>120.6</v>
      </c>
      <c r="G1851">
        <v>567001</v>
      </c>
      <c r="H1851" s="116"/>
      <c r="I1851" s="116"/>
      <c r="L1851" s="170">
        <v>44729</v>
      </c>
      <c r="M1851" s="116">
        <v>120.8</v>
      </c>
      <c r="N1851" s="116">
        <v>124.7</v>
      </c>
      <c r="O1851" s="116">
        <v>115.2</v>
      </c>
      <c r="P1851" s="116">
        <v>118.1</v>
      </c>
      <c r="Q1851" s="116">
        <v>120.8</v>
      </c>
      <c r="R1851">
        <v>5383679</v>
      </c>
    </row>
    <row r="1852" spans="1:18" x14ac:dyDescent="0.25">
      <c r="A1852" s="170">
        <v>44732</v>
      </c>
      <c r="B1852" s="116">
        <v>124.4</v>
      </c>
      <c r="C1852" s="116">
        <v>109.1</v>
      </c>
      <c r="D1852" s="116">
        <v>108.55</v>
      </c>
      <c r="E1852" s="116">
        <v>124.4</v>
      </c>
      <c r="F1852" s="116">
        <v>109.1</v>
      </c>
      <c r="G1852">
        <v>840085</v>
      </c>
      <c r="H1852" s="116"/>
      <c r="I1852" s="116"/>
      <c r="L1852" s="170">
        <v>44732</v>
      </c>
      <c r="M1852" s="116">
        <v>109.25</v>
      </c>
      <c r="N1852" s="116">
        <v>124</v>
      </c>
      <c r="O1852" s="116">
        <v>108.75</v>
      </c>
      <c r="P1852" s="116">
        <v>123</v>
      </c>
      <c r="Q1852" s="116">
        <v>109.25</v>
      </c>
      <c r="R1852">
        <v>6470465</v>
      </c>
    </row>
    <row r="1853" spans="1:18" x14ac:dyDescent="0.25">
      <c r="A1853" s="170">
        <v>44733</v>
      </c>
      <c r="B1853" s="116">
        <v>114.8</v>
      </c>
      <c r="C1853" s="116">
        <v>112.2</v>
      </c>
      <c r="D1853" s="116">
        <v>102.95</v>
      </c>
      <c r="E1853" s="116">
        <v>109.55</v>
      </c>
      <c r="F1853" s="116">
        <v>112.2</v>
      </c>
      <c r="G1853">
        <v>966953</v>
      </c>
      <c r="H1853" s="116"/>
      <c r="I1853" s="116"/>
      <c r="L1853" s="170">
        <v>44733</v>
      </c>
      <c r="M1853" s="116">
        <v>112.1</v>
      </c>
      <c r="N1853" s="116">
        <v>114.9</v>
      </c>
      <c r="O1853" s="116">
        <v>102.6</v>
      </c>
      <c r="P1853" s="116">
        <v>109.4</v>
      </c>
      <c r="Q1853" s="116">
        <v>112.1</v>
      </c>
      <c r="R1853">
        <v>7426415</v>
      </c>
    </row>
    <row r="1854" spans="1:18" x14ac:dyDescent="0.25">
      <c r="A1854" s="170">
        <v>44734</v>
      </c>
      <c r="B1854" s="116">
        <v>116.7</v>
      </c>
      <c r="C1854" s="116">
        <v>113.5</v>
      </c>
      <c r="D1854" s="116">
        <v>110</v>
      </c>
      <c r="E1854" s="116">
        <v>112.2</v>
      </c>
      <c r="F1854" s="116">
        <v>113.5</v>
      </c>
      <c r="G1854">
        <v>826087</v>
      </c>
      <c r="H1854" s="116"/>
      <c r="I1854" s="116"/>
      <c r="L1854" s="170">
        <v>44734</v>
      </c>
      <c r="M1854" s="116">
        <v>113.5</v>
      </c>
      <c r="N1854" s="116">
        <v>116.8</v>
      </c>
      <c r="O1854" s="116">
        <v>110</v>
      </c>
      <c r="P1854" s="116">
        <v>112.35</v>
      </c>
      <c r="Q1854" s="116">
        <v>113.5</v>
      </c>
      <c r="R1854">
        <v>4204105</v>
      </c>
    </row>
    <row r="1855" spans="1:18" x14ac:dyDescent="0.25">
      <c r="A1855" s="170">
        <v>44735</v>
      </c>
      <c r="B1855" s="116">
        <v>117.45</v>
      </c>
      <c r="C1855" s="116">
        <v>114</v>
      </c>
      <c r="D1855" s="116">
        <v>111.2</v>
      </c>
      <c r="E1855" s="116">
        <v>114.5</v>
      </c>
      <c r="F1855" s="116">
        <v>114</v>
      </c>
      <c r="G1855">
        <v>685499</v>
      </c>
      <c r="H1855" s="116"/>
      <c r="I1855" s="116"/>
      <c r="L1855" s="170">
        <v>44735</v>
      </c>
      <c r="M1855" s="116">
        <v>114.1</v>
      </c>
      <c r="N1855" s="116">
        <v>117.9</v>
      </c>
      <c r="O1855" s="116">
        <v>111.35</v>
      </c>
      <c r="P1855" s="116">
        <v>114.9</v>
      </c>
      <c r="Q1855" s="116">
        <v>114.1</v>
      </c>
      <c r="R1855">
        <v>3504810</v>
      </c>
    </row>
    <row r="1856" spans="1:18" x14ac:dyDescent="0.25">
      <c r="A1856" s="170">
        <v>44736</v>
      </c>
      <c r="B1856" s="116">
        <v>125.4</v>
      </c>
      <c r="C1856" s="116">
        <v>123.55</v>
      </c>
      <c r="D1856" s="116">
        <v>114</v>
      </c>
      <c r="E1856" s="116">
        <v>116.5</v>
      </c>
      <c r="F1856" s="116">
        <v>123.55</v>
      </c>
      <c r="G1856">
        <v>845058</v>
      </c>
      <c r="H1856" s="116"/>
      <c r="I1856" s="116"/>
      <c r="L1856" s="170">
        <v>44736</v>
      </c>
      <c r="M1856" s="116">
        <v>121.7</v>
      </c>
      <c r="N1856" s="116">
        <v>125.5</v>
      </c>
      <c r="O1856" s="116">
        <v>114</v>
      </c>
      <c r="P1856" s="116">
        <v>115.8</v>
      </c>
      <c r="Q1856" s="116">
        <v>121.7</v>
      </c>
      <c r="R1856">
        <v>6953549</v>
      </c>
    </row>
    <row r="1857" spans="1:18" x14ac:dyDescent="0.25">
      <c r="A1857" s="170">
        <v>44739</v>
      </c>
      <c r="B1857" s="116">
        <v>131.75</v>
      </c>
      <c r="C1857" s="116">
        <v>128.15</v>
      </c>
      <c r="D1857" s="116">
        <v>124.15</v>
      </c>
      <c r="E1857" s="116">
        <v>129.4</v>
      </c>
      <c r="F1857" s="116">
        <v>128.15</v>
      </c>
      <c r="G1857">
        <v>1493602</v>
      </c>
      <c r="H1857" s="116"/>
      <c r="I1857" s="116"/>
      <c r="L1857" s="170">
        <v>44739</v>
      </c>
      <c r="M1857" s="116">
        <v>128.30000000000001</v>
      </c>
      <c r="N1857" s="116">
        <v>131.9</v>
      </c>
      <c r="O1857" s="116">
        <v>124.05</v>
      </c>
      <c r="P1857" s="116">
        <v>128.69999999999999</v>
      </c>
      <c r="Q1857" s="116">
        <v>128.30000000000001</v>
      </c>
      <c r="R1857">
        <v>8650634</v>
      </c>
    </row>
    <row r="1858" spans="1:18" x14ac:dyDescent="0.25">
      <c r="A1858" s="170">
        <v>44740</v>
      </c>
      <c r="B1858" s="116">
        <v>127.75</v>
      </c>
      <c r="C1858" s="116">
        <v>124.15</v>
      </c>
      <c r="D1858" s="116">
        <v>123.1</v>
      </c>
      <c r="E1858" s="116">
        <v>127</v>
      </c>
      <c r="F1858" s="116">
        <v>124.15</v>
      </c>
      <c r="G1858">
        <v>431196</v>
      </c>
      <c r="H1858" s="116"/>
      <c r="I1858" s="116"/>
      <c r="L1858" s="170">
        <v>44740</v>
      </c>
      <c r="M1858" s="116">
        <v>124.3</v>
      </c>
      <c r="N1858" s="116">
        <v>127.85</v>
      </c>
      <c r="O1858" s="116">
        <v>123.45</v>
      </c>
      <c r="P1858" s="116">
        <v>126.4</v>
      </c>
      <c r="Q1858" s="116">
        <v>124.3</v>
      </c>
      <c r="R1858">
        <v>3946075</v>
      </c>
    </row>
    <row r="1859" spans="1:18" x14ac:dyDescent="0.25">
      <c r="A1859" s="170">
        <v>44741</v>
      </c>
      <c r="B1859" s="116">
        <v>127.4</v>
      </c>
      <c r="C1859" s="116">
        <v>123.05</v>
      </c>
      <c r="D1859" s="116">
        <v>120.7</v>
      </c>
      <c r="E1859" s="116">
        <v>122.5</v>
      </c>
      <c r="F1859" s="116">
        <v>123.05</v>
      </c>
      <c r="G1859">
        <v>380063</v>
      </c>
      <c r="H1859" s="116"/>
      <c r="I1859" s="116"/>
      <c r="L1859" s="170">
        <v>44741</v>
      </c>
      <c r="M1859" s="116">
        <v>123</v>
      </c>
      <c r="N1859" s="116">
        <v>127.4</v>
      </c>
      <c r="O1859" s="116">
        <v>121</v>
      </c>
      <c r="P1859" s="116">
        <v>121.9</v>
      </c>
      <c r="Q1859" s="116">
        <v>123</v>
      </c>
      <c r="R1859">
        <v>3690120</v>
      </c>
    </row>
    <row r="1860" spans="1:18" x14ac:dyDescent="0.25">
      <c r="A1860" s="170">
        <v>44742</v>
      </c>
      <c r="B1860" s="116">
        <v>126.6</v>
      </c>
      <c r="C1860" s="116">
        <v>121.1</v>
      </c>
      <c r="D1860" s="116">
        <v>120.15</v>
      </c>
      <c r="E1860" s="116">
        <v>124.15</v>
      </c>
      <c r="F1860" s="116">
        <v>121.1</v>
      </c>
      <c r="G1860">
        <v>502198</v>
      </c>
      <c r="H1860" s="116"/>
      <c r="I1860" s="116"/>
      <c r="L1860" s="170">
        <v>44742</v>
      </c>
      <c r="M1860" s="116">
        <v>121.1</v>
      </c>
      <c r="N1860" s="116">
        <v>126.7</v>
      </c>
      <c r="O1860" s="116">
        <v>120.35</v>
      </c>
      <c r="P1860" s="116">
        <v>123.75</v>
      </c>
      <c r="Q1860" s="116">
        <v>121.1</v>
      </c>
      <c r="R1860">
        <v>3082951</v>
      </c>
    </row>
    <row r="1861" spans="1:18" x14ac:dyDescent="0.25">
      <c r="A1861" s="170">
        <v>44743</v>
      </c>
      <c r="B1861" s="116">
        <v>122.75</v>
      </c>
      <c r="C1861" s="116">
        <v>119.1</v>
      </c>
      <c r="D1861" s="116">
        <v>118.5</v>
      </c>
      <c r="E1861" s="116">
        <v>121.9</v>
      </c>
      <c r="F1861" s="116">
        <v>119.1</v>
      </c>
      <c r="G1861">
        <v>414105</v>
      </c>
      <c r="H1861" s="116"/>
      <c r="I1861" s="116"/>
      <c r="L1861" s="170">
        <v>44743</v>
      </c>
      <c r="M1861" s="116">
        <v>119.1</v>
      </c>
      <c r="N1861" s="116">
        <v>122.7</v>
      </c>
      <c r="O1861" s="116">
        <v>118.5</v>
      </c>
      <c r="P1861" s="116">
        <v>121.4</v>
      </c>
      <c r="Q1861" s="116">
        <v>119.1</v>
      </c>
      <c r="R1861">
        <v>2252618</v>
      </c>
    </row>
    <row r="1862" spans="1:18" x14ac:dyDescent="0.25">
      <c r="A1862" s="170">
        <v>44746</v>
      </c>
      <c r="B1862" s="116">
        <v>121.65</v>
      </c>
      <c r="C1862" s="116">
        <v>119.55</v>
      </c>
      <c r="D1862" s="116">
        <v>118.2</v>
      </c>
      <c r="E1862" s="116">
        <v>119.9</v>
      </c>
      <c r="F1862" s="116">
        <v>119.55</v>
      </c>
      <c r="G1862">
        <v>261544</v>
      </c>
      <c r="H1862" s="116"/>
      <c r="I1862" s="116"/>
      <c r="L1862" s="170">
        <v>44746</v>
      </c>
      <c r="M1862" s="116">
        <v>119.55</v>
      </c>
      <c r="N1862" s="116">
        <v>121.65</v>
      </c>
      <c r="O1862" s="116">
        <v>118.2</v>
      </c>
      <c r="P1862" s="116">
        <v>119.7</v>
      </c>
      <c r="Q1862" s="116">
        <v>119.55</v>
      </c>
      <c r="R1862">
        <v>2201587</v>
      </c>
    </row>
    <row r="1863" spans="1:18" x14ac:dyDescent="0.25">
      <c r="A1863" s="170">
        <v>44747</v>
      </c>
      <c r="B1863" s="116">
        <v>124.5</v>
      </c>
      <c r="C1863" s="116">
        <v>118.2</v>
      </c>
      <c r="D1863" s="116">
        <v>117.5</v>
      </c>
      <c r="E1863" s="116">
        <v>120.6</v>
      </c>
      <c r="F1863" s="116">
        <v>118.2</v>
      </c>
      <c r="G1863">
        <v>884520</v>
      </c>
      <c r="H1863" s="116"/>
      <c r="I1863" s="116"/>
      <c r="L1863" s="170">
        <v>44747</v>
      </c>
      <c r="M1863" s="116">
        <v>118.3</v>
      </c>
      <c r="N1863" s="116">
        <v>124.7</v>
      </c>
      <c r="O1863" s="116">
        <v>117.2</v>
      </c>
      <c r="P1863" s="116">
        <v>120.7</v>
      </c>
      <c r="Q1863" s="116">
        <v>118.3</v>
      </c>
      <c r="R1863">
        <v>4455617</v>
      </c>
    </row>
    <row r="1864" spans="1:18" x14ac:dyDescent="0.25">
      <c r="A1864" s="170">
        <v>44748</v>
      </c>
      <c r="B1864" s="116">
        <v>120.45</v>
      </c>
      <c r="C1864" s="116">
        <v>118.9</v>
      </c>
      <c r="D1864" s="116">
        <v>116.75</v>
      </c>
      <c r="E1864" s="116">
        <v>119.4</v>
      </c>
      <c r="F1864" s="116">
        <v>118.9</v>
      </c>
      <c r="G1864">
        <v>295092</v>
      </c>
      <c r="H1864" s="116"/>
      <c r="I1864" s="116"/>
      <c r="L1864" s="170">
        <v>44748</v>
      </c>
      <c r="M1864" s="116">
        <v>119</v>
      </c>
      <c r="N1864" s="116">
        <v>120.5</v>
      </c>
      <c r="O1864" s="116">
        <v>116.6</v>
      </c>
      <c r="P1864" s="116">
        <v>119</v>
      </c>
      <c r="Q1864" s="116">
        <v>119</v>
      </c>
      <c r="R1864">
        <v>2634060</v>
      </c>
    </row>
    <row r="1865" spans="1:18" x14ac:dyDescent="0.25">
      <c r="A1865" s="170">
        <v>44749</v>
      </c>
      <c r="B1865" s="116">
        <v>124.7</v>
      </c>
      <c r="C1865" s="116">
        <v>123.35</v>
      </c>
      <c r="D1865" s="116">
        <v>118.7</v>
      </c>
      <c r="E1865" s="116">
        <v>120.4</v>
      </c>
      <c r="F1865" s="116">
        <v>123.35</v>
      </c>
      <c r="G1865">
        <v>471436</v>
      </c>
      <c r="H1865" s="116"/>
      <c r="I1865" s="116"/>
      <c r="L1865" s="170">
        <v>44749</v>
      </c>
      <c r="M1865" s="116">
        <v>123.45</v>
      </c>
      <c r="N1865" s="116">
        <v>124.7</v>
      </c>
      <c r="O1865" s="116">
        <v>118.55</v>
      </c>
      <c r="P1865" s="116">
        <v>120.9</v>
      </c>
      <c r="Q1865" s="116">
        <v>123.45</v>
      </c>
      <c r="R1865">
        <v>5953858</v>
      </c>
    </row>
    <row r="1866" spans="1:18" x14ac:dyDescent="0.25">
      <c r="A1866" s="170">
        <v>44750</v>
      </c>
      <c r="B1866" s="116">
        <v>124.5</v>
      </c>
      <c r="C1866" s="116">
        <v>119.55</v>
      </c>
      <c r="D1866" s="116">
        <v>119.1</v>
      </c>
      <c r="E1866" s="116">
        <v>124.35</v>
      </c>
      <c r="F1866" s="116">
        <v>119.55</v>
      </c>
      <c r="G1866">
        <v>385592</v>
      </c>
      <c r="H1866" s="116"/>
      <c r="I1866" s="116"/>
      <c r="L1866" s="170">
        <v>44750</v>
      </c>
      <c r="M1866" s="116">
        <v>119.5</v>
      </c>
      <c r="N1866" s="116">
        <v>124.7</v>
      </c>
      <c r="O1866" s="116">
        <v>119</v>
      </c>
      <c r="P1866" s="116">
        <v>124.2</v>
      </c>
      <c r="Q1866" s="116">
        <v>119.5</v>
      </c>
      <c r="R1866">
        <v>3666556</v>
      </c>
    </row>
    <row r="1867" spans="1:18" x14ac:dyDescent="0.25">
      <c r="A1867" s="170">
        <v>44753</v>
      </c>
      <c r="B1867" s="116">
        <v>121.25</v>
      </c>
      <c r="C1867" s="116">
        <v>119.95</v>
      </c>
      <c r="D1867" s="116">
        <v>117.3</v>
      </c>
      <c r="E1867" s="116">
        <v>119.4</v>
      </c>
      <c r="F1867" s="116">
        <v>119.95</v>
      </c>
      <c r="G1867">
        <v>711422</v>
      </c>
      <c r="H1867" s="116"/>
      <c r="I1867" s="116"/>
      <c r="L1867" s="170">
        <v>44753</v>
      </c>
      <c r="M1867" s="116">
        <v>120</v>
      </c>
      <c r="N1867" s="116">
        <v>121.3</v>
      </c>
      <c r="O1867" s="116">
        <v>117.3</v>
      </c>
      <c r="P1867" s="116">
        <v>119</v>
      </c>
      <c r="Q1867" s="116">
        <v>120</v>
      </c>
      <c r="R1867">
        <v>4039274</v>
      </c>
    </row>
    <row r="1868" spans="1:18" x14ac:dyDescent="0.25">
      <c r="A1868" s="170">
        <v>44754</v>
      </c>
      <c r="B1868" s="116">
        <v>122.4</v>
      </c>
      <c r="C1868" s="116">
        <v>119.7</v>
      </c>
      <c r="D1868" s="116">
        <v>118.5</v>
      </c>
      <c r="E1868" s="116">
        <v>119.5</v>
      </c>
      <c r="F1868" s="116">
        <v>119.7</v>
      </c>
      <c r="G1868">
        <v>513305</v>
      </c>
      <c r="H1868" s="116"/>
      <c r="I1868" s="116"/>
      <c r="L1868" s="170">
        <v>44754</v>
      </c>
      <c r="M1868" s="116">
        <v>119.7</v>
      </c>
      <c r="N1868" s="116">
        <v>122.3</v>
      </c>
      <c r="O1868" s="116">
        <v>118.5</v>
      </c>
      <c r="P1868" s="116">
        <v>118.85</v>
      </c>
      <c r="Q1868" s="116">
        <v>119.7</v>
      </c>
      <c r="R1868">
        <v>4585868</v>
      </c>
    </row>
    <row r="1869" spans="1:18" x14ac:dyDescent="0.25">
      <c r="A1869" s="170">
        <v>44755</v>
      </c>
      <c r="B1869" s="116">
        <v>122</v>
      </c>
      <c r="C1869" s="116">
        <v>117.65</v>
      </c>
      <c r="D1869" s="116">
        <v>117.1</v>
      </c>
      <c r="E1869" s="116">
        <v>121</v>
      </c>
      <c r="F1869" s="116">
        <v>117.65</v>
      </c>
      <c r="G1869">
        <v>533156</v>
      </c>
      <c r="H1869" s="116"/>
      <c r="I1869" s="116"/>
      <c r="L1869" s="170">
        <v>44755</v>
      </c>
      <c r="M1869" s="116">
        <v>117.65</v>
      </c>
      <c r="N1869" s="116">
        <v>122.2</v>
      </c>
      <c r="O1869" s="116">
        <v>117.1</v>
      </c>
      <c r="P1869" s="116">
        <v>120.85</v>
      </c>
      <c r="Q1869" s="116">
        <v>117.65</v>
      </c>
      <c r="R1869">
        <v>3195612</v>
      </c>
    </row>
    <row r="1870" spans="1:18" x14ac:dyDescent="0.25">
      <c r="A1870" s="170">
        <v>44756</v>
      </c>
      <c r="B1870" s="116">
        <v>118.5</v>
      </c>
      <c r="C1870" s="116">
        <v>115.1</v>
      </c>
      <c r="D1870" s="116">
        <v>113.6</v>
      </c>
      <c r="E1870" s="116">
        <v>118.5</v>
      </c>
      <c r="F1870" s="116">
        <v>115.1</v>
      </c>
      <c r="G1870">
        <v>534463</v>
      </c>
      <c r="H1870" s="116"/>
      <c r="I1870" s="116"/>
      <c r="L1870" s="170">
        <v>44756</v>
      </c>
      <c r="M1870" s="116">
        <v>115.15</v>
      </c>
      <c r="N1870" s="116">
        <v>118.5</v>
      </c>
      <c r="O1870" s="116">
        <v>113.2</v>
      </c>
      <c r="P1870" s="116">
        <v>118.25</v>
      </c>
      <c r="Q1870" s="116">
        <v>115.15</v>
      </c>
      <c r="R1870">
        <v>2711274</v>
      </c>
    </row>
    <row r="1871" spans="1:18" x14ac:dyDescent="0.25">
      <c r="A1871" s="170">
        <v>44757</v>
      </c>
      <c r="B1871" s="116">
        <v>116.85</v>
      </c>
      <c r="C1871" s="116">
        <v>113.95</v>
      </c>
      <c r="D1871" s="116">
        <v>113.1</v>
      </c>
      <c r="E1871" s="116">
        <v>115.95</v>
      </c>
      <c r="F1871" s="116">
        <v>113.95</v>
      </c>
      <c r="G1871">
        <v>255597</v>
      </c>
      <c r="H1871" s="116"/>
      <c r="I1871" s="116"/>
      <c r="L1871" s="170">
        <v>44757</v>
      </c>
      <c r="M1871" s="116">
        <v>114</v>
      </c>
      <c r="N1871" s="116">
        <v>116.7</v>
      </c>
      <c r="O1871" s="116">
        <v>113</v>
      </c>
      <c r="P1871" s="116">
        <v>116</v>
      </c>
      <c r="Q1871" s="116">
        <v>114</v>
      </c>
      <c r="R1871">
        <v>2004974</v>
      </c>
    </row>
    <row r="1872" spans="1:18" x14ac:dyDescent="0.25">
      <c r="A1872" s="170">
        <v>44760</v>
      </c>
      <c r="B1872" s="116">
        <v>119.8</v>
      </c>
      <c r="C1872" s="116">
        <v>118.15</v>
      </c>
      <c r="D1872" s="116">
        <v>115.35</v>
      </c>
      <c r="E1872" s="116">
        <v>116</v>
      </c>
      <c r="F1872" s="116">
        <v>118.15</v>
      </c>
      <c r="G1872">
        <v>519522</v>
      </c>
      <c r="H1872" s="116"/>
      <c r="I1872" s="116"/>
      <c r="L1872" s="170">
        <v>44760</v>
      </c>
      <c r="M1872" s="116">
        <v>118.25</v>
      </c>
      <c r="N1872" s="116">
        <v>119.7</v>
      </c>
      <c r="O1872" s="116">
        <v>115.25</v>
      </c>
      <c r="P1872" s="116">
        <v>115.65</v>
      </c>
      <c r="Q1872" s="116">
        <v>118.25</v>
      </c>
      <c r="R1872">
        <v>4017554</v>
      </c>
    </row>
    <row r="1873" spans="1:18" x14ac:dyDescent="0.25">
      <c r="A1873" s="170">
        <v>44761</v>
      </c>
      <c r="B1873" s="116">
        <v>121.1</v>
      </c>
      <c r="C1873" s="116">
        <v>118.05</v>
      </c>
      <c r="D1873" s="116">
        <v>116.9</v>
      </c>
      <c r="E1873" s="116">
        <v>118</v>
      </c>
      <c r="F1873" s="116">
        <v>118.05</v>
      </c>
      <c r="G1873">
        <v>363113</v>
      </c>
      <c r="H1873" s="116"/>
      <c r="I1873" s="116"/>
      <c r="L1873" s="170">
        <v>44761</v>
      </c>
      <c r="M1873" s="116">
        <v>118.05</v>
      </c>
      <c r="N1873" s="116">
        <v>121.2</v>
      </c>
      <c r="O1873" s="116">
        <v>116.05</v>
      </c>
      <c r="P1873" s="116">
        <v>117.9</v>
      </c>
      <c r="Q1873" s="116">
        <v>118.05</v>
      </c>
      <c r="R1873">
        <v>4449458</v>
      </c>
    </row>
    <row r="1874" spans="1:18" x14ac:dyDescent="0.25">
      <c r="A1874" s="170">
        <v>44762</v>
      </c>
      <c r="B1874" s="116">
        <v>120.6</v>
      </c>
      <c r="C1874" s="116">
        <v>116.85</v>
      </c>
      <c r="D1874" s="116">
        <v>116.3</v>
      </c>
      <c r="E1874" s="116">
        <v>119.15</v>
      </c>
      <c r="F1874" s="116">
        <v>116.85</v>
      </c>
      <c r="G1874">
        <v>488220</v>
      </c>
      <c r="H1874" s="116"/>
      <c r="I1874" s="116"/>
      <c r="L1874" s="170">
        <v>44762</v>
      </c>
      <c r="M1874" s="116">
        <v>116.8</v>
      </c>
      <c r="N1874" s="116">
        <v>120.45</v>
      </c>
      <c r="O1874" s="116">
        <v>116.2</v>
      </c>
      <c r="P1874" s="116">
        <v>119.35</v>
      </c>
      <c r="Q1874" s="116">
        <v>116.8</v>
      </c>
      <c r="R1874">
        <v>2503292</v>
      </c>
    </row>
    <row r="1875" spans="1:18" x14ac:dyDescent="0.25">
      <c r="A1875" s="170">
        <v>44763</v>
      </c>
      <c r="B1875" s="116">
        <v>118.4</v>
      </c>
      <c r="C1875" s="116">
        <v>116.95</v>
      </c>
      <c r="D1875" s="116">
        <v>116.25</v>
      </c>
      <c r="E1875" s="116">
        <v>116.85</v>
      </c>
      <c r="F1875" s="116">
        <v>116.95</v>
      </c>
      <c r="G1875">
        <v>463150</v>
      </c>
      <c r="H1875" s="116"/>
      <c r="I1875" s="116"/>
      <c r="L1875" s="170">
        <v>44763</v>
      </c>
      <c r="M1875" s="116">
        <v>117</v>
      </c>
      <c r="N1875" s="116">
        <v>118.4</v>
      </c>
      <c r="O1875" s="116">
        <v>116.2</v>
      </c>
      <c r="P1875" s="116">
        <v>117</v>
      </c>
      <c r="Q1875" s="116">
        <v>117</v>
      </c>
      <c r="R1875">
        <v>2075491</v>
      </c>
    </row>
    <row r="1876" spans="1:18" x14ac:dyDescent="0.25">
      <c r="A1876" s="170">
        <v>44764</v>
      </c>
      <c r="B1876" s="116">
        <v>117.95</v>
      </c>
      <c r="C1876" s="116">
        <v>115.75</v>
      </c>
      <c r="D1876" s="116">
        <v>115.3</v>
      </c>
      <c r="E1876" s="116">
        <v>117.05</v>
      </c>
      <c r="F1876" s="116">
        <v>115.75</v>
      </c>
      <c r="G1876">
        <v>224276</v>
      </c>
      <c r="H1876" s="116"/>
      <c r="I1876" s="116"/>
      <c r="L1876" s="170">
        <v>44764</v>
      </c>
      <c r="M1876" s="116">
        <v>115.8</v>
      </c>
      <c r="N1876" s="116">
        <v>118</v>
      </c>
      <c r="O1876" s="116">
        <v>115.4</v>
      </c>
      <c r="P1876" s="116">
        <v>117.4</v>
      </c>
      <c r="Q1876" s="116">
        <v>115.8</v>
      </c>
      <c r="R1876">
        <v>2095916</v>
      </c>
    </row>
    <row r="1877" spans="1:18" x14ac:dyDescent="0.25">
      <c r="A1877" s="170">
        <v>44767</v>
      </c>
      <c r="B1877" s="116">
        <v>115.85</v>
      </c>
      <c r="C1877" s="116">
        <v>113.05</v>
      </c>
      <c r="D1877" s="116">
        <v>112.55</v>
      </c>
      <c r="E1877" s="116">
        <v>115.75</v>
      </c>
      <c r="F1877" s="116">
        <v>113.05</v>
      </c>
      <c r="G1877">
        <v>275536</v>
      </c>
      <c r="H1877" s="116"/>
      <c r="I1877" s="116"/>
      <c r="L1877" s="170">
        <v>44767</v>
      </c>
      <c r="M1877" s="116">
        <v>113.05</v>
      </c>
      <c r="N1877" s="116">
        <v>115.95</v>
      </c>
      <c r="O1877" s="116">
        <v>112.5</v>
      </c>
      <c r="P1877" s="116">
        <v>115.6</v>
      </c>
      <c r="Q1877" s="116">
        <v>113.05</v>
      </c>
      <c r="R1877">
        <v>2326454</v>
      </c>
    </row>
    <row r="1878" spans="1:18" x14ac:dyDescent="0.25">
      <c r="A1878" s="170">
        <v>44768</v>
      </c>
      <c r="B1878" s="116">
        <v>116.4</v>
      </c>
      <c r="C1878" s="116">
        <v>113.3</v>
      </c>
      <c r="D1878" s="116">
        <v>112.45</v>
      </c>
      <c r="E1878" s="116">
        <v>113.45</v>
      </c>
      <c r="F1878" s="116">
        <v>113.3</v>
      </c>
      <c r="G1878">
        <v>549593</v>
      </c>
      <c r="H1878" s="116"/>
      <c r="I1878" s="116"/>
      <c r="L1878" s="170">
        <v>44768</v>
      </c>
      <c r="M1878" s="116">
        <v>113.25</v>
      </c>
      <c r="N1878" s="116">
        <v>116.4</v>
      </c>
      <c r="O1878" s="116">
        <v>112.5</v>
      </c>
      <c r="P1878" s="116">
        <v>113.1</v>
      </c>
      <c r="Q1878" s="116">
        <v>113.25</v>
      </c>
      <c r="R1878">
        <v>2633727</v>
      </c>
    </row>
    <row r="1879" spans="1:18" x14ac:dyDescent="0.25">
      <c r="A1879" s="170">
        <v>44769</v>
      </c>
      <c r="B1879" s="116">
        <v>114.2</v>
      </c>
      <c r="C1879" s="116">
        <v>110.25</v>
      </c>
      <c r="D1879" s="116">
        <v>109.5</v>
      </c>
      <c r="E1879" s="116">
        <v>113.4</v>
      </c>
      <c r="F1879" s="116">
        <v>110.25</v>
      </c>
      <c r="G1879">
        <v>562519</v>
      </c>
      <c r="H1879" s="116"/>
      <c r="I1879" s="116"/>
      <c r="L1879" s="170">
        <v>44769</v>
      </c>
      <c r="M1879" s="116">
        <v>110.25</v>
      </c>
      <c r="N1879" s="116">
        <v>114.25</v>
      </c>
      <c r="O1879" s="116">
        <v>109.55</v>
      </c>
      <c r="P1879" s="116">
        <v>113.25</v>
      </c>
      <c r="Q1879" s="116">
        <v>110.25</v>
      </c>
      <c r="R1879">
        <v>2767424</v>
      </c>
    </row>
    <row r="1880" spans="1:18" x14ac:dyDescent="0.25">
      <c r="A1880" s="170">
        <v>44770</v>
      </c>
      <c r="B1880" s="116">
        <v>112.6</v>
      </c>
      <c r="C1880" s="116">
        <v>106.35</v>
      </c>
      <c r="D1880" s="116">
        <v>105</v>
      </c>
      <c r="E1880" s="116">
        <v>112.6</v>
      </c>
      <c r="F1880" s="116">
        <v>106.35</v>
      </c>
      <c r="G1880">
        <v>1085160</v>
      </c>
      <c r="H1880" s="116"/>
      <c r="I1880" s="116"/>
      <c r="L1880" s="170">
        <v>44770</v>
      </c>
      <c r="M1880" s="116">
        <v>106.35</v>
      </c>
      <c r="N1880" s="116">
        <v>112.4</v>
      </c>
      <c r="O1880" s="116">
        <v>105.2</v>
      </c>
      <c r="P1880" s="116">
        <v>112.2</v>
      </c>
      <c r="Q1880" s="116">
        <v>106.35</v>
      </c>
      <c r="R1880">
        <v>4302562</v>
      </c>
    </row>
    <row r="1881" spans="1:18" x14ac:dyDescent="0.25">
      <c r="A1881" s="170">
        <v>44771</v>
      </c>
      <c r="B1881" s="116">
        <v>111</v>
      </c>
      <c r="C1881" s="116">
        <v>107.65</v>
      </c>
      <c r="D1881" s="116">
        <v>106.2</v>
      </c>
      <c r="E1881" s="116">
        <v>106.35</v>
      </c>
      <c r="F1881" s="116">
        <v>107.65</v>
      </c>
      <c r="G1881">
        <v>836413</v>
      </c>
      <c r="H1881" s="116"/>
      <c r="I1881" s="116"/>
      <c r="L1881" s="170">
        <v>44771</v>
      </c>
      <c r="M1881" s="116">
        <v>107.7</v>
      </c>
      <c r="N1881" s="116">
        <v>111</v>
      </c>
      <c r="O1881" s="116">
        <v>106.15</v>
      </c>
      <c r="P1881" s="116">
        <v>106.15</v>
      </c>
      <c r="Q1881" s="116">
        <v>107.7</v>
      </c>
      <c r="R1881">
        <v>3444961</v>
      </c>
    </row>
    <row r="1882" spans="1:18" x14ac:dyDescent="0.25">
      <c r="A1882" s="170">
        <v>44774</v>
      </c>
      <c r="B1882" s="116">
        <v>117.1</v>
      </c>
      <c r="C1882" s="116">
        <v>114.1</v>
      </c>
      <c r="D1882" s="116">
        <v>106.35</v>
      </c>
      <c r="E1882" s="116">
        <v>108.6</v>
      </c>
      <c r="F1882" s="116">
        <v>114.1</v>
      </c>
      <c r="G1882">
        <v>885387</v>
      </c>
      <c r="H1882" s="116"/>
      <c r="I1882" s="116"/>
      <c r="L1882" s="170">
        <v>44774</v>
      </c>
      <c r="M1882" s="116">
        <v>114.2</v>
      </c>
      <c r="N1882" s="116">
        <v>117.3</v>
      </c>
      <c r="O1882" s="116">
        <v>106.2</v>
      </c>
      <c r="P1882" s="116">
        <v>108</v>
      </c>
      <c r="Q1882" s="116">
        <v>114.2</v>
      </c>
      <c r="R1882">
        <v>8965963</v>
      </c>
    </row>
    <row r="1883" spans="1:18" x14ac:dyDescent="0.25">
      <c r="A1883" s="170">
        <v>44775</v>
      </c>
      <c r="B1883" s="116">
        <v>116.2</v>
      </c>
      <c r="C1883" s="116">
        <v>113.3</v>
      </c>
      <c r="D1883" s="116">
        <v>112.45</v>
      </c>
      <c r="E1883" s="116">
        <v>114</v>
      </c>
      <c r="F1883" s="116">
        <v>113.3</v>
      </c>
      <c r="G1883">
        <v>422246</v>
      </c>
      <c r="H1883" s="116"/>
      <c r="I1883" s="116"/>
      <c r="L1883" s="170">
        <v>44775</v>
      </c>
      <c r="M1883" s="116">
        <v>113.25</v>
      </c>
      <c r="N1883" s="116">
        <v>116.3</v>
      </c>
      <c r="O1883" s="116">
        <v>112.5</v>
      </c>
      <c r="P1883" s="116">
        <v>113.5</v>
      </c>
      <c r="Q1883" s="116">
        <v>113.25</v>
      </c>
      <c r="R1883">
        <v>4735679</v>
      </c>
    </row>
    <row r="1884" spans="1:18" x14ac:dyDescent="0.25">
      <c r="A1884" s="170">
        <v>44776</v>
      </c>
      <c r="B1884" s="116">
        <v>114</v>
      </c>
      <c r="C1884" s="116">
        <v>111</v>
      </c>
      <c r="D1884" s="116">
        <v>110.5</v>
      </c>
      <c r="E1884" s="116">
        <v>114</v>
      </c>
      <c r="F1884" s="116">
        <v>111</v>
      </c>
      <c r="G1884">
        <v>604420</v>
      </c>
      <c r="H1884" s="116"/>
      <c r="I1884" s="116"/>
      <c r="L1884" s="170">
        <v>44776</v>
      </c>
      <c r="M1884" s="116">
        <v>111</v>
      </c>
      <c r="N1884" s="116">
        <v>114</v>
      </c>
      <c r="O1884" s="116">
        <v>110.5</v>
      </c>
      <c r="P1884" s="116">
        <v>114</v>
      </c>
      <c r="Q1884" s="116">
        <v>111</v>
      </c>
      <c r="R1884">
        <v>2393206</v>
      </c>
    </row>
    <row r="1885" spans="1:18" x14ac:dyDescent="0.25">
      <c r="A1885" s="170">
        <v>44777</v>
      </c>
      <c r="B1885" s="116">
        <v>113</v>
      </c>
      <c r="C1885" s="116">
        <v>108.95</v>
      </c>
      <c r="D1885" s="116">
        <v>107.5</v>
      </c>
      <c r="E1885" s="116">
        <v>111.2</v>
      </c>
      <c r="F1885" s="116">
        <v>108.95</v>
      </c>
      <c r="G1885">
        <v>584863</v>
      </c>
      <c r="H1885" s="116"/>
      <c r="I1885" s="116"/>
      <c r="L1885" s="170">
        <v>44777</v>
      </c>
      <c r="M1885" s="116">
        <v>108.95</v>
      </c>
      <c r="N1885" s="116">
        <v>112.8</v>
      </c>
      <c r="O1885" s="116">
        <v>107.5</v>
      </c>
      <c r="P1885" s="116">
        <v>111.25</v>
      </c>
      <c r="Q1885" s="116">
        <v>108.95</v>
      </c>
      <c r="R1885">
        <v>2933785</v>
      </c>
    </row>
    <row r="1886" spans="1:18" x14ac:dyDescent="0.25">
      <c r="A1886" s="170">
        <v>44778</v>
      </c>
      <c r="B1886" s="116">
        <v>116.9</v>
      </c>
      <c r="C1886" s="116">
        <v>111.9</v>
      </c>
      <c r="D1886" s="116">
        <v>109.9</v>
      </c>
      <c r="E1886" s="116">
        <v>110.5</v>
      </c>
      <c r="F1886" s="116">
        <v>111.9</v>
      </c>
      <c r="G1886">
        <v>1585648</v>
      </c>
      <c r="H1886" s="116"/>
      <c r="I1886" s="116"/>
      <c r="L1886" s="170">
        <v>44778</v>
      </c>
      <c r="M1886" s="116">
        <v>111.85</v>
      </c>
      <c r="N1886" s="116">
        <v>116.95</v>
      </c>
      <c r="O1886" s="116">
        <v>109.75</v>
      </c>
      <c r="P1886" s="116">
        <v>110</v>
      </c>
      <c r="Q1886" s="116">
        <v>111.85</v>
      </c>
      <c r="R1886">
        <v>8401598</v>
      </c>
    </row>
    <row r="1887" spans="1:18" x14ac:dyDescent="0.25">
      <c r="A1887" s="170">
        <v>44781</v>
      </c>
      <c r="B1887" s="116">
        <v>113.5</v>
      </c>
      <c r="C1887" s="116">
        <v>110.85</v>
      </c>
      <c r="D1887" s="116">
        <v>110.45</v>
      </c>
      <c r="E1887" s="116">
        <v>111.65</v>
      </c>
      <c r="F1887" s="116">
        <v>110.85</v>
      </c>
      <c r="G1887">
        <v>525172</v>
      </c>
      <c r="H1887" s="116"/>
      <c r="I1887" s="116"/>
      <c r="L1887" s="170">
        <v>44781</v>
      </c>
      <c r="M1887" s="116">
        <v>110.9</v>
      </c>
      <c r="N1887" s="116">
        <v>113.5</v>
      </c>
      <c r="O1887" s="116">
        <v>110.35</v>
      </c>
      <c r="P1887" s="116">
        <v>112</v>
      </c>
      <c r="Q1887" s="116">
        <v>110.9</v>
      </c>
      <c r="R1887">
        <v>2634275</v>
      </c>
    </row>
    <row r="1888" spans="1:18" x14ac:dyDescent="0.25">
      <c r="A1888" s="170">
        <v>44783</v>
      </c>
      <c r="B1888" s="116">
        <v>108.75</v>
      </c>
      <c r="C1888" s="116">
        <v>106.6</v>
      </c>
      <c r="D1888" s="116">
        <v>102.3</v>
      </c>
      <c r="E1888" s="116">
        <v>105</v>
      </c>
      <c r="F1888" s="116">
        <v>106.6</v>
      </c>
      <c r="G1888">
        <v>892416</v>
      </c>
      <c r="H1888" s="116"/>
      <c r="I1888" s="116"/>
      <c r="L1888" s="170">
        <v>44783</v>
      </c>
      <c r="M1888" s="116">
        <v>106.6</v>
      </c>
      <c r="N1888" s="116">
        <v>108.9</v>
      </c>
      <c r="O1888" s="116">
        <v>101.3</v>
      </c>
      <c r="P1888" s="116">
        <v>101.3</v>
      </c>
      <c r="Q1888" s="116">
        <v>106.6</v>
      </c>
      <c r="R1888">
        <v>6283334</v>
      </c>
    </row>
    <row r="1889" spans="1:18" x14ac:dyDescent="0.25">
      <c r="A1889" s="170">
        <v>44784</v>
      </c>
      <c r="B1889" s="116">
        <v>109</v>
      </c>
      <c r="C1889" s="116">
        <v>105.45</v>
      </c>
      <c r="D1889" s="116">
        <v>105.15</v>
      </c>
      <c r="E1889" s="116">
        <v>107.5</v>
      </c>
      <c r="F1889" s="116">
        <v>105.45</v>
      </c>
      <c r="G1889">
        <v>625318</v>
      </c>
      <c r="H1889" s="116"/>
      <c r="I1889" s="116"/>
      <c r="L1889" s="170">
        <v>44784</v>
      </c>
      <c r="M1889" s="116">
        <v>105.5</v>
      </c>
      <c r="N1889" s="116">
        <v>109</v>
      </c>
      <c r="O1889" s="116">
        <v>105.1</v>
      </c>
      <c r="P1889" s="116">
        <v>107.05</v>
      </c>
      <c r="Q1889" s="116">
        <v>105.5</v>
      </c>
      <c r="R1889">
        <v>3146785</v>
      </c>
    </row>
    <row r="1890" spans="1:18" x14ac:dyDescent="0.25">
      <c r="A1890" s="170">
        <v>44785</v>
      </c>
      <c r="B1890" s="116">
        <v>107.25</v>
      </c>
      <c r="C1890" s="116">
        <v>106</v>
      </c>
      <c r="D1890" s="116">
        <v>105.4</v>
      </c>
      <c r="E1890" s="116">
        <v>105.4</v>
      </c>
      <c r="F1890" s="116">
        <v>106</v>
      </c>
      <c r="G1890">
        <v>263465</v>
      </c>
      <c r="H1890" s="116"/>
      <c r="I1890" s="116"/>
      <c r="L1890" s="170">
        <v>44785</v>
      </c>
      <c r="M1890" s="116">
        <v>106.05</v>
      </c>
      <c r="N1890" s="116">
        <v>107.35</v>
      </c>
      <c r="O1890" s="116">
        <v>105.5</v>
      </c>
      <c r="P1890" s="116">
        <v>106.15</v>
      </c>
      <c r="Q1890" s="116">
        <v>106.05</v>
      </c>
      <c r="R1890">
        <v>2992097</v>
      </c>
    </row>
    <row r="1891" spans="1:18" x14ac:dyDescent="0.25">
      <c r="A1891" s="170">
        <v>44789</v>
      </c>
      <c r="B1891" s="116">
        <v>107.25</v>
      </c>
      <c r="C1891" s="116">
        <v>105.35</v>
      </c>
      <c r="D1891" s="116">
        <v>105</v>
      </c>
      <c r="E1891" s="116">
        <v>106.8</v>
      </c>
      <c r="F1891" s="116">
        <v>105.35</v>
      </c>
      <c r="G1891">
        <v>373401</v>
      </c>
      <c r="H1891" s="116"/>
      <c r="I1891" s="116"/>
      <c r="L1891" s="170">
        <v>44789</v>
      </c>
      <c r="M1891" s="116">
        <v>105.4</v>
      </c>
      <c r="N1891" s="116">
        <v>107.25</v>
      </c>
      <c r="O1891" s="116">
        <v>105.05</v>
      </c>
      <c r="P1891" s="116">
        <v>105.55</v>
      </c>
      <c r="Q1891" s="116">
        <v>105.4</v>
      </c>
      <c r="R1891">
        <v>3299720</v>
      </c>
    </row>
    <row r="1892" spans="1:18" x14ac:dyDescent="0.25">
      <c r="A1892" s="170">
        <v>44790</v>
      </c>
      <c r="B1892" s="116">
        <v>109.8</v>
      </c>
      <c r="C1892" s="116">
        <v>108.5</v>
      </c>
      <c r="D1892" s="116">
        <v>105.45</v>
      </c>
      <c r="E1892" s="116">
        <v>105.45</v>
      </c>
      <c r="F1892" s="116">
        <v>108.5</v>
      </c>
      <c r="G1892">
        <v>506433</v>
      </c>
      <c r="H1892" s="116"/>
      <c r="I1892" s="116"/>
      <c r="L1892" s="170">
        <v>44790</v>
      </c>
      <c r="M1892" s="116">
        <v>108.5</v>
      </c>
      <c r="N1892" s="116">
        <v>109.8</v>
      </c>
      <c r="O1892" s="116">
        <v>105.55</v>
      </c>
      <c r="P1892" s="116">
        <v>106.1</v>
      </c>
      <c r="Q1892" s="116">
        <v>108.5</v>
      </c>
      <c r="R1892">
        <v>6283532</v>
      </c>
    </row>
    <row r="1893" spans="1:18" x14ac:dyDescent="0.25">
      <c r="A1893" s="170">
        <v>44791</v>
      </c>
      <c r="B1893" s="116">
        <v>111.65</v>
      </c>
      <c r="C1893" s="116">
        <v>108.25</v>
      </c>
      <c r="D1893" s="116">
        <v>107.05</v>
      </c>
      <c r="E1893" s="116">
        <v>109.2</v>
      </c>
      <c r="F1893" s="116">
        <v>108.25</v>
      </c>
      <c r="G1893">
        <v>911383</v>
      </c>
      <c r="H1893" s="116"/>
      <c r="I1893" s="116"/>
      <c r="L1893" s="170">
        <v>44791</v>
      </c>
      <c r="M1893" s="116">
        <v>108.4</v>
      </c>
      <c r="N1893" s="116">
        <v>111.7</v>
      </c>
      <c r="O1893" s="116">
        <v>107.65</v>
      </c>
      <c r="P1893" s="116">
        <v>109.35</v>
      </c>
      <c r="Q1893" s="116">
        <v>108.4</v>
      </c>
      <c r="R1893">
        <v>4532029</v>
      </c>
    </row>
    <row r="1894" spans="1:18" x14ac:dyDescent="0.25">
      <c r="A1894" s="170">
        <v>44792</v>
      </c>
      <c r="B1894" s="116">
        <v>109.95</v>
      </c>
      <c r="C1894" s="116">
        <v>105.65</v>
      </c>
      <c r="D1894" s="116">
        <v>105.25</v>
      </c>
      <c r="E1894" s="116">
        <v>109.95</v>
      </c>
      <c r="F1894" s="116">
        <v>105.65</v>
      </c>
      <c r="G1894">
        <v>363259</v>
      </c>
      <c r="H1894" s="116"/>
      <c r="I1894" s="116"/>
      <c r="L1894" s="170">
        <v>44792</v>
      </c>
      <c r="M1894" s="116">
        <v>105.6</v>
      </c>
      <c r="N1894" s="116">
        <v>109.3</v>
      </c>
      <c r="O1894" s="116">
        <v>105.25</v>
      </c>
      <c r="P1894" s="116">
        <v>109.3</v>
      </c>
      <c r="Q1894" s="116">
        <v>105.6</v>
      </c>
      <c r="R1894">
        <v>3612517</v>
      </c>
    </row>
    <row r="1895" spans="1:18" x14ac:dyDescent="0.25">
      <c r="A1895" s="170">
        <v>44795</v>
      </c>
      <c r="B1895" s="116">
        <v>105.55</v>
      </c>
      <c r="C1895" s="116">
        <v>101.55</v>
      </c>
      <c r="D1895" s="116">
        <v>101</v>
      </c>
      <c r="E1895" s="116">
        <v>104.85</v>
      </c>
      <c r="F1895" s="116">
        <v>101.55</v>
      </c>
      <c r="G1895">
        <v>737835</v>
      </c>
      <c r="H1895" s="116"/>
      <c r="I1895" s="116"/>
      <c r="L1895" s="170">
        <v>44795</v>
      </c>
      <c r="M1895" s="116">
        <v>101.5</v>
      </c>
      <c r="N1895" s="116">
        <v>105.45</v>
      </c>
      <c r="O1895" s="116">
        <v>100.95</v>
      </c>
      <c r="P1895" s="116">
        <v>105.45</v>
      </c>
      <c r="Q1895" s="116">
        <v>101.5</v>
      </c>
      <c r="R1895">
        <v>3144252</v>
      </c>
    </row>
    <row r="1896" spans="1:18" x14ac:dyDescent="0.25">
      <c r="A1896" s="170">
        <v>44796</v>
      </c>
      <c r="B1896" s="116">
        <v>104.25</v>
      </c>
      <c r="C1896" s="116">
        <v>101.25</v>
      </c>
      <c r="D1896" s="116">
        <v>100</v>
      </c>
      <c r="E1896" s="116">
        <v>100.65</v>
      </c>
      <c r="F1896" s="116">
        <v>101.25</v>
      </c>
      <c r="G1896">
        <v>880561</v>
      </c>
      <c r="H1896" s="116"/>
      <c r="I1896" s="116"/>
      <c r="L1896" s="170">
        <v>44796</v>
      </c>
      <c r="M1896" s="116">
        <v>101.25</v>
      </c>
      <c r="N1896" s="116">
        <v>104.25</v>
      </c>
      <c r="O1896" s="116">
        <v>100</v>
      </c>
      <c r="P1896" s="116">
        <v>101.2</v>
      </c>
      <c r="Q1896" s="116">
        <v>101.25</v>
      </c>
      <c r="R1896">
        <v>3735649</v>
      </c>
    </row>
    <row r="1897" spans="1:18" x14ac:dyDescent="0.25">
      <c r="A1897" s="170">
        <v>44797</v>
      </c>
      <c r="B1897" s="116">
        <v>104.4</v>
      </c>
      <c r="C1897" s="116">
        <v>101.25</v>
      </c>
      <c r="D1897" s="116">
        <v>101</v>
      </c>
      <c r="E1897" s="116">
        <v>104.4</v>
      </c>
      <c r="F1897" s="116">
        <v>101.25</v>
      </c>
      <c r="G1897">
        <v>725657</v>
      </c>
      <c r="H1897" s="116"/>
      <c r="I1897" s="116"/>
      <c r="L1897" s="170">
        <v>44797</v>
      </c>
      <c r="M1897" s="116">
        <v>101.45</v>
      </c>
      <c r="N1897" s="116">
        <v>103.4</v>
      </c>
      <c r="O1897" s="116">
        <v>100.7</v>
      </c>
      <c r="P1897" s="116">
        <v>102</v>
      </c>
      <c r="Q1897" s="116">
        <v>101.45</v>
      </c>
      <c r="R1897">
        <v>2488565</v>
      </c>
    </row>
    <row r="1898" spans="1:18" x14ac:dyDescent="0.25">
      <c r="A1898" s="170">
        <v>44798</v>
      </c>
      <c r="B1898" s="116">
        <v>103.4</v>
      </c>
      <c r="C1898" s="116">
        <v>99.1</v>
      </c>
      <c r="D1898" s="116">
        <v>98.5</v>
      </c>
      <c r="E1898" s="116">
        <v>101.6</v>
      </c>
      <c r="F1898" s="116">
        <v>99.1</v>
      </c>
      <c r="G1898">
        <v>617220</v>
      </c>
      <c r="H1898" s="116"/>
      <c r="I1898" s="116"/>
      <c r="L1898" s="170">
        <v>44798</v>
      </c>
      <c r="M1898" s="116">
        <v>99.05</v>
      </c>
      <c r="N1898" s="116">
        <v>103.5</v>
      </c>
      <c r="O1898" s="116">
        <v>98.4</v>
      </c>
      <c r="P1898" s="116">
        <v>102</v>
      </c>
      <c r="Q1898" s="116">
        <v>99.05</v>
      </c>
      <c r="R1898">
        <v>4431744</v>
      </c>
    </row>
    <row r="1899" spans="1:18" x14ac:dyDescent="0.25">
      <c r="A1899" s="170">
        <v>44799</v>
      </c>
      <c r="B1899" s="116">
        <v>101</v>
      </c>
      <c r="C1899" s="116">
        <v>93.85</v>
      </c>
      <c r="D1899" s="116">
        <v>91.2</v>
      </c>
      <c r="E1899" s="116">
        <v>99.5</v>
      </c>
      <c r="F1899" s="116">
        <v>93.85</v>
      </c>
      <c r="G1899">
        <v>2941481</v>
      </c>
      <c r="H1899" s="116"/>
      <c r="I1899" s="116"/>
      <c r="L1899" s="170">
        <v>44799</v>
      </c>
      <c r="M1899" s="116">
        <v>93.8</v>
      </c>
      <c r="N1899" s="116">
        <v>101.15</v>
      </c>
      <c r="O1899" s="116">
        <v>91.65</v>
      </c>
      <c r="P1899" s="116">
        <v>99.85</v>
      </c>
      <c r="Q1899" s="116">
        <v>93.8</v>
      </c>
      <c r="R1899">
        <v>10688415</v>
      </c>
    </row>
    <row r="1900" spans="1:18" x14ac:dyDescent="0.25">
      <c r="A1900" s="170">
        <v>44802</v>
      </c>
      <c r="B1900" s="116">
        <v>93.75</v>
      </c>
      <c r="C1900" s="116">
        <v>90.4</v>
      </c>
      <c r="D1900" s="116">
        <v>88.4</v>
      </c>
      <c r="E1900" s="116">
        <v>88.7</v>
      </c>
      <c r="F1900" s="116">
        <v>90.4</v>
      </c>
      <c r="G1900">
        <v>1539368</v>
      </c>
      <c r="H1900" s="116"/>
      <c r="I1900" s="116"/>
      <c r="L1900" s="170">
        <v>44802</v>
      </c>
      <c r="M1900" s="116">
        <v>90.4</v>
      </c>
      <c r="N1900" s="116">
        <v>93.8</v>
      </c>
      <c r="O1900" s="116">
        <v>88.2</v>
      </c>
      <c r="P1900" s="116">
        <v>90</v>
      </c>
      <c r="Q1900" s="116">
        <v>90.4</v>
      </c>
      <c r="R1900">
        <v>5935319</v>
      </c>
    </row>
    <row r="1901" spans="1:18" x14ac:dyDescent="0.25">
      <c r="A1901" s="170">
        <v>44803</v>
      </c>
      <c r="B1901" s="116">
        <v>108.45</v>
      </c>
      <c r="C1901" s="116">
        <v>108.45</v>
      </c>
      <c r="D1901" s="116">
        <v>91.3</v>
      </c>
      <c r="E1901" s="116">
        <v>91.3</v>
      </c>
      <c r="F1901" s="116">
        <v>108.45</v>
      </c>
      <c r="G1901">
        <v>6159326</v>
      </c>
      <c r="H1901" s="116"/>
      <c r="I1901" s="116"/>
      <c r="L1901" s="170">
        <v>44803</v>
      </c>
      <c r="M1901" s="116">
        <v>108.45</v>
      </c>
      <c r="N1901" s="116">
        <v>108.45</v>
      </c>
      <c r="O1901" s="116">
        <v>91.35</v>
      </c>
      <c r="P1901" s="116">
        <v>91.5</v>
      </c>
      <c r="Q1901" s="116">
        <v>108.45</v>
      </c>
      <c r="R1901">
        <v>38485897</v>
      </c>
    </row>
    <row r="1902" spans="1:18" x14ac:dyDescent="0.25">
      <c r="A1902" s="170">
        <v>44805</v>
      </c>
      <c r="B1902" s="116">
        <v>129.69999999999999</v>
      </c>
      <c r="C1902" s="116">
        <v>127.5</v>
      </c>
      <c r="D1902" s="116">
        <v>111.35</v>
      </c>
      <c r="E1902" s="116">
        <v>112.5</v>
      </c>
      <c r="F1902" s="116">
        <v>127.5</v>
      </c>
      <c r="G1902">
        <v>9725091</v>
      </c>
      <c r="H1902" s="116"/>
      <c r="I1902" s="116"/>
      <c r="L1902" s="170">
        <v>44805</v>
      </c>
      <c r="M1902" s="116">
        <v>127.55</v>
      </c>
      <c r="N1902" s="116">
        <v>130</v>
      </c>
      <c r="O1902" s="116">
        <v>111.25</v>
      </c>
      <c r="P1902" s="116">
        <v>111.95</v>
      </c>
      <c r="Q1902" s="116">
        <v>127.55</v>
      </c>
      <c r="R1902">
        <v>71473819</v>
      </c>
    </row>
    <row r="1903" spans="1:18" x14ac:dyDescent="0.25">
      <c r="A1903" s="170">
        <v>44806</v>
      </c>
      <c r="B1903" s="116">
        <v>149</v>
      </c>
      <c r="C1903" s="116">
        <v>134.80000000000001</v>
      </c>
      <c r="D1903" s="116">
        <v>129.30000000000001</v>
      </c>
      <c r="E1903" s="116">
        <v>131.5</v>
      </c>
      <c r="F1903" s="116">
        <v>134.80000000000001</v>
      </c>
      <c r="G1903">
        <v>10124117</v>
      </c>
      <c r="H1903" s="116"/>
      <c r="I1903" s="116"/>
      <c r="L1903" s="170">
        <v>44806</v>
      </c>
      <c r="M1903" s="116">
        <v>135.25</v>
      </c>
      <c r="N1903" s="116">
        <v>149</v>
      </c>
      <c r="O1903" s="116">
        <v>129.19999999999999</v>
      </c>
      <c r="P1903" s="116">
        <v>131.75</v>
      </c>
      <c r="Q1903" s="116">
        <v>135.25</v>
      </c>
      <c r="R1903">
        <v>108904776</v>
      </c>
    </row>
    <row r="1904" spans="1:18" x14ac:dyDescent="0.25">
      <c r="A1904" s="170">
        <v>44809</v>
      </c>
      <c r="B1904" s="116">
        <v>145.9</v>
      </c>
      <c r="C1904" s="116">
        <v>132.6</v>
      </c>
      <c r="D1904" s="116">
        <v>128.6</v>
      </c>
      <c r="E1904" s="116">
        <v>136.94999999999999</v>
      </c>
      <c r="F1904" s="116">
        <v>132.6</v>
      </c>
      <c r="G1904">
        <v>5175388</v>
      </c>
      <c r="H1904" s="116"/>
      <c r="I1904" s="116"/>
      <c r="L1904" s="170">
        <v>44809</v>
      </c>
      <c r="M1904" s="116">
        <v>132.75</v>
      </c>
      <c r="N1904" s="116">
        <v>145.80000000000001</v>
      </c>
      <c r="O1904" s="116">
        <v>130.30000000000001</v>
      </c>
      <c r="P1904" s="116">
        <v>137</v>
      </c>
      <c r="Q1904" s="116">
        <v>132.75</v>
      </c>
      <c r="R1904">
        <v>47135588</v>
      </c>
    </row>
    <row r="1905" spans="1:18" x14ac:dyDescent="0.25">
      <c r="A1905" s="170">
        <v>44810</v>
      </c>
      <c r="B1905" s="116">
        <v>135.5</v>
      </c>
      <c r="C1905" s="116">
        <v>122.95</v>
      </c>
      <c r="D1905" s="116">
        <v>121</v>
      </c>
      <c r="E1905" s="116">
        <v>132.6</v>
      </c>
      <c r="F1905" s="116">
        <v>122.95</v>
      </c>
      <c r="G1905">
        <v>1565850</v>
      </c>
      <c r="H1905" s="116"/>
      <c r="I1905" s="116"/>
      <c r="L1905" s="170">
        <v>44810</v>
      </c>
      <c r="M1905" s="116">
        <v>122.85</v>
      </c>
      <c r="N1905" s="116">
        <v>135.69999999999999</v>
      </c>
      <c r="O1905" s="116">
        <v>121.1</v>
      </c>
      <c r="P1905" s="116">
        <v>132.94999999999999</v>
      </c>
      <c r="Q1905" s="116">
        <v>122.85</v>
      </c>
      <c r="R1905">
        <v>16383310</v>
      </c>
    </row>
    <row r="1906" spans="1:18" x14ac:dyDescent="0.25">
      <c r="A1906" s="170">
        <v>44811</v>
      </c>
      <c r="B1906" s="116">
        <v>127.45</v>
      </c>
      <c r="C1906" s="116">
        <v>125.25</v>
      </c>
      <c r="D1906" s="116">
        <v>121.1</v>
      </c>
      <c r="E1906" s="116">
        <v>122.2</v>
      </c>
      <c r="F1906" s="116">
        <v>125.25</v>
      </c>
      <c r="G1906">
        <v>1626955</v>
      </c>
      <c r="H1906" s="116"/>
      <c r="I1906" s="116"/>
      <c r="L1906" s="170">
        <v>44811</v>
      </c>
      <c r="M1906" s="116">
        <v>125.35</v>
      </c>
      <c r="N1906" s="116">
        <v>128</v>
      </c>
      <c r="O1906" s="116">
        <v>121.55</v>
      </c>
      <c r="P1906" s="116">
        <v>122.5</v>
      </c>
      <c r="Q1906" s="116">
        <v>125.35</v>
      </c>
      <c r="R1906">
        <v>9219705</v>
      </c>
    </row>
    <row r="1907" spans="1:18" x14ac:dyDescent="0.25">
      <c r="A1907" s="170">
        <v>44812</v>
      </c>
      <c r="B1907" s="116">
        <v>128.15</v>
      </c>
      <c r="C1907" s="116">
        <v>123.95</v>
      </c>
      <c r="D1907" s="116">
        <v>123.05</v>
      </c>
      <c r="E1907" s="116">
        <v>127.05</v>
      </c>
      <c r="F1907" s="116">
        <v>123.95</v>
      </c>
      <c r="G1907">
        <v>364160</v>
      </c>
      <c r="H1907" s="116"/>
      <c r="I1907" s="116"/>
      <c r="L1907" s="170">
        <v>44812</v>
      </c>
      <c r="M1907" s="116">
        <v>123.95</v>
      </c>
      <c r="N1907" s="116">
        <v>128.19999999999999</v>
      </c>
      <c r="O1907" s="116">
        <v>123</v>
      </c>
      <c r="P1907" s="116">
        <v>128</v>
      </c>
      <c r="Q1907" s="116">
        <v>123.95</v>
      </c>
      <c r="R1907">
        <v>4351388</v>
      </c>
    </row>
    <row r="1908" spans="1:18" x14ac:dyDescent="0.25">
      <c r="A1908" s="170">
        <v>44813</v>
      </c>
      <c r="B1908" s="116">
        <v>125.25</v>
      </c>
      <c r="C1908" s="116">
        <v>120.3</v>
      </c>
      <c r="D1908" s="116">
        <v>120</v>
      </c>
      <c r="E1908" s="116">
        <v>124.45</v>
      </c>
      <c r="F1908" s="116">
        <v>120.3</v>
      </c>
      <c r="G1908">
        <v>1011642</v>
      </c>
      <c r="H1908" s="116"/>
      <c r="I1908" s="116"/>
      <c r="L1908" s="170">
        <v>44813</v>
      </c>
      <c r="M1908" s="116">
        <v>120.3</v>
      </c>
      <c r="N1908" s="116">
        <v>125.6</v>
      </c>
      <c r="O1908" s="116">
        <v>119.6</v>
      </c>
      <c r="P1908" s="116">
        <v>124.8</v>
      </c>
      <c r="Q1908" s="116">
        <v>120.3</v>
      </c>
      <c r="R1908">
        <v>5036616</v>
      </c>
    </row>
    <row r="1909" spans="1:18" x14ac:dyDescent="0.25">
      <c r="A1909" s="170">
        <v>44816</v>
      </c>
      <c r="B1909" s="116">
        <v>124</v>
      </c>
      <c r="C1909" s="116">
        <v>121.2</v>
      </c>
      <c r="D1909" s="116">
        <v>120.65</v>
      </c>
      <c r="E1909" s="116">
        <v>121.45</v>
      </c>
      <c r="F1909" s="116">
        <v>121.2</v>
      </c>
      <c r="G1909">
        <v>678181</v>
      </c>
      <c r="H1909" s="116"/>
      <c r="I1909" s="116"/>
      <c r="L1909" s="170">
        <v>44816</v>
      </c>
      <c r="M1909" s="116">
        <v>121.25</v>
      </c>
      <c r="N1909" s="116">
        <v>124.2</v>
      </c>
      <c r="O1909" s="116">
        <v>120.6</v>
      </c>
      <c r="P1909" s="116">
        <v>121.5</v>
      </c>
      <c r="Q1909" s="116">
        <v>121.25</v>
      </c>
      <c r="R1909">
        <v>3626705</v>
      </c>
    </row>
    <row r="1910" spans="1:18" x14ac:dyDescent="0.25">
      <c r="A1910" s="170">
        <v>44817</v>
      </c>
      <c r="B1910" s="116">
        <v>122.5</v>
      </c>
      <c r="C1910" s="116">
        <v>117.15</v>
      </c>
      <c r="D1910" s="116">
        <v>115.15</v>
      </c>
      <c r="E1910" s="116">
        <v>121</v>
      </c>
      <c r="F1910" s="116">
        <v>117.15</v>
      </c>
      <c r="G1910">
        <v>357574</v>
      </c>
      <c r="H1910" s="116"/>
      <c r="I1910" s="116"/>
      <c r="L1910" s="170">
        <v>44817</v>
      </c>
      <c r="M1910" s="116">
        <v>116.9</v>
      </c>
      <c r="N1910" s="116">
        <v>121.25</v>
      </c>
      <c r="O1910" s="116">
        <v>116.1</v>
      </c>
      <c r="P1910" s="116">
        <v>120</v>
      </c>
      <c r="Q1910" s="116">
        <v>116.9</v>
      </c>
      <c r="R1910">
        <v>2018423</v>
      </c>
    </row>
    <row r="1911" spans="1:18" x14ac:dyDescent="0.25">
      <c r="A1911" s="170">
        <v>44818</v>
      </c>
      <c r="B1911" s="116">
        <v>123</v>
      </c>
      <c r="C1911" s="116">
        <v>123</v>
      </c>
      <c r="D1911" s="116">
        <v>112.1</v>
      </c>
      <c r="E1911" s="116">
        <v>112.1</v>
      </c>
      <c r="F1911" s="116">
        <v>123</v>
      </c>
      <c r="G1911">
        <v>905689</v>
      </c>
      <c r="H1911" s="116"/>
      <c r="I1911" s="116"/>
      <c r="L1911" s="170">
        <v>44818</v>
      </c>
      <c r="M1911" s="116">
        <v>122.7</v>
      </c>
      <c r="N1911" s="116">
        <v>122.7</v>
      </c>
      <c r="O1911" s="116">
        <v>113</v>
      </c>
      <c r="P1911" s="116">
        <v>114.5</v>
      </c>
      <c r="Q1911" s="116">
        <v>122.7</v>
      </c>
      <c r="R1911">
        <v>1832084</v>
      </c>
    </row>
    <row r="1912" spans="1:18" x14ac:dyDescent="0.25">
      <c r="A1912" s="170">
        <v>44819</v>
      </c>
      <c r="B1912" s="116">
        <v>127</v>
      </c>
      <c r="C1912" s="116">
        <v>121.85</v>
      </c>
      <c r="D1912" s="116">
        <v>121</v>
      </c>
      <c r="E1912" s="116">
        <v>125.9</v>
      </c>
      <c r="F1912" s="116">
        <v>121.85</v>
      </c>
      <c r="G1912">
        <v>495751</v>
      </c>
      <c r="H1912" s="116"/>
      <c r="I1912" s="116"/>
      <c r="L1912" s="170">
        <v>44819</v>
      </c>
      <c r="M1912" s="116">
        <v>122.05</v>
      </c>
      <c r="N1912" s="116">
        <v>127.7</v>
      </c>
      <c r="O1912" s="116">
        <v>121.4</v>
      </c>
      <c r="P1912" s="116">
        <v>125.7</v>
      </c>
      <c r="Q1912" s="116">
        <v>122.05</v>
      </c>
      <c r="R1912">
        <v>2011203</v>
      </c>
    </row>
    <row r="1913" spans="1:18" x14ac:dyDescent="0.25">
      <c r="A1913" s="170">
        <v>44820</v>
      </c>
      <c r="B1913" s="116">
        <v>122</v>
      </c>
      <c r="C1913" s="116">
        <v>118.15</v>
      </c>
      <c r="D1913" s="116">
        <v>117</v>
      </c>
      <c r="E1913" s="116">
        <v>121.8</v>
      </c>
      <c r="F1913" s="116">
        <v>118.15</v>
      </c>
      <c r="G1913">
        <v>177595</v>
      </c>
      <c r="H1913" s="116"/>
      <c r="I1913" s="116"/>
      <c r="L1913" s="170">
        <v>44820</v>
      </c>
      <c r="M1913" s="116">
        <v>118.25</v>
      </c>
      <c r="N1913" s="116">
        <v>121.8</v>
      </c>
      <c r="O1913" s="116">
        <v>116.95</v>
      </c>
      <c r="P1913" s="116">
        <v>121.8</v>
      </c>
      <c r="Q1913" s="116">
        <v>118.25</v>
      </c>
      <c r="R1913">
        <v>1940516</v>
      </c>
    </row>
    <row r="1914" spans="1:18" x14ac:dyDescent="0.25">
      <c r="A1914" s="170">
        <v>44823</v>
      </c>
      <c r="B1914" s="116">
        <v>119</v>
      </c>
      <c r="C1914" s="116">
        <v>113.6</v>
      </c>
      <c r="D1914" s="116">
        <v>113</v>
      </c>
      <c r="E1914" s="116">
        <v>116.55</v>
      </c>
      <c r="F1914" s="116">
        <v>113.6</v>
      </c>
      <c r="G1914">
        <v>1078778</v>
      </c>
      <c r="H1914" s="116"/>
      <c r="I1914" s="116"/>
      <c r="L1914" s="170">
        <v>44823</v>
      </c>
      <c r="M1914" s="116">
        <v>113.75</v>
      </c>
      <c r="N1914" s="116">
        <v>118.25</v>
      </c>
      <c r="O1914" s="116">
        <v>113.5</v>
      </c>
      <c r="P1914" s="116">
        <v>118.25</v>
      </c>
      <c r="Q1914" s="116">
        <v>113.75</v>
      </c>
      <c r="R1914">
        <v>1222132</v>
      </c>
    </row>
    <row r="1915" spans="1:18" x14ac:dyDescent="0.25">
      <c r="A1915" s="170">
        <v>44824</v>
      </c>
      <c r="B1915" s="116">
        <v>116</v>
      </c>
      <c r="C1915" s="116">
        <v>113.5</v>
      </c>
      <c r="D1915" s="116">
        <v>113</v>
      </c>
      <c r="E1915" s="116">
        <v>114</v>
      </c>
      <c r="F1915" s="116">
        <v>113.5</v>
      </c>
      <c r="G1915">
        <v>122020</v>
      </c>
      <c r="H1915" s="116"/>
      <c r="I1915" s="116"/>
      <c r="L1915" s="170">
        <v>44824</v>
      </c>
      <c r="M1915" s="116">
        <v>113.35</v>
      </c>
      <c r="N1915" s="116">
        <v>116</v>
      </c>
      <c r="O1915" s="116">
        <v>113</v>
      </c>
      <c r="P1915" s="116">
        <v>114.8</v>
      </c>
      <c r="Q1915" s="116">
        <v>113.35</v>
      </c>
      <c r="R1915">
        <v>975629</v>
      </c>
    </row>
    <row r="1916" spans="1:18" x14ac:dyDescent="0.25">
      <c r="A1916" s="170">
        <v>44825</v>
      </c>
      <c r="B1916" s="116">
        <v>115</v>
      </c>
      <c r="C1916" s="116">
        <v>109.35</v>
      </c>
      <c r="D1916" s="116">
        <v>108</v>
      </c>
      <c r="E1916" s="116">
        <v>113.8</v>
      </c>
      <c r="F1916" s="116">
        <v>109.35</v>
      </c>
      <c r="G1916">
        <v>402803</v>
      </c>
      <c r="H1916" s="116"/>
      <c r="I1916" s="116"/>
      <c r="L1916" s="170">
        <v>44825</v>
      </c>
      <c r="M1916" s="116">
        <v>109.15</v>
      </c>
      <c r="N1916" s="116">
        <v>113.8</v>
      </c>
      <c r="O1916" s="116">
        <v>108.3</v>
      </c>
      <c r="P1916" s="116">
        <v>113.8</v>
      </c>
      <c r="Q1916" s="116">
        <v>109.15</v>
      </c>
      <c r="R1916">
        <v>1359918</v>
      </c>
    </row>
    <row r="1917" spans="1:18" x14ac:dyDescent="0.25">
      <c r="A1917" s="170">
        <v>44826</v>
      </c>
      <c r="B1917" s="116">
        <v>114.8</v>
      </c>
      <c r="C1917" s="116">
        <v>114.3</v>
      </c>
      <c r="D1917" s="116">
        <v>106.9</v>
      </c>
      <c r="E1917" s="116">
        <v>109</v>
      </c>
      <c r="F1917" s="116">
        <v>114.3</v>
      </c>
      <c r="G1917">
        <v>341813</v>
      </c>
      <c r="H1917" s="116"/>
      <c r="I1917" s="116"/>
      <c r="L1917" s="170">
        <v>44826</v>
      </c>
      <c r="M1917" s="116">
        <v>114.1</v>
      </c>
      <c r="N1917" s="116">
        <v>114.6</v>
      </c>
      <c r="O1917" s="116">
        <v>105.5</v>
      </c>
      <c r="P1917" s="116">
        <v>109.15</v>
      </c>
      <c r="Q1917" s="116">
        <v>114.1</v>
      </c>
      <c r="R1917">
        <v>1443022</v>
      </c>
    </row>
    <row r="1918" spans="1:18" x14ac:dyDescent="0.25">
      <c r="A1918" s="170">
        <v>44827</v>
      </c>
      <c r="B1918" s="116">
        <v>116</v>
      </c>
      <c r="C1918" s="116">
        <v>111.3</v>
      </c>
      <c r="D1918" s="116">
        <v>110</v>
      </c>
      <c r="E1918" s="116">
        <v>114.3</v>
      </c>
      <c r="F1918" s="116">
        <v>111.3</v>
      </c>
      <c r="G1918">
        <v>278775</v>
      </c>
      <c r="H1918" s="116"/>
      <c r="I1918" s="116"/>
      <c r="L1918" s="170">
        <v>44827</v>
      </c>
      <c r="M1918" s="116">
        <v>111.4</v>
      </c>
      <c r="N1918" s="116">
        <v>116.7</v>
      </c>
      <c r="O1918" s="116">
        <v>110.5</v>
      </c>
      <c r="P1918" s="116">
        <v>114</v>
      </c>
      <c r="Q1918" s="116">
        <v>111.4</v>
      </c>
      <c r="R1918">
        <v>1036850</v>
      </c>
    </row>
    <row r="1919" spans="1:18" x14ac:dyDescent="0.25">
      <c r="A1919" s="170">
        <v>44830</v>
      </c>
      <c r="B1919" s="116">
        <v>110.95</v>
      </c>
      <c r="C1919" s="116">
        <v>105.85</v>
      </c>
      <c r="D1919" s="116">
        <v>105.75</v>
      </c>
      <c r="E1919" s="116">
        <v>110.95</v>
      </c>
      <c r="F1919" s="116">
        <v>105.85</v>
      </c>
      <c r="G1919">
        <v>238880</v>
      </c>
      <c r="H1919" s="116"/>
      <c r="I1919" s="116"/>
      <c r="L1919" s="170">
        <v>44830</v>
      </c>
      <c r="M1919" s="116">
        <v>105.95</v>
      </c>
      <c r="N1919" s="116">
        <v>109.85</v>
      </c>
      <c r="O1919" s="116">
        <v>105.85</v>
      </c>
      <c r="P1919" s="116">
        <v>109.7</v>
      </c>
      <c r="Q1919" s="116">
        <v>105.95</v>
      </c>
      <c r="R1919">
        <v>1289764</v>
      </c>
    </row>
    <row r="1920" spans="1:18" x14ac:dyDescent="0.25">
      <c r="A1920" s="170">
        <v>44831</v>
      </c>
      <c r="B1920" s="116">
        <v>107.7</v>
      </c>
      <c r="C1920" s="116">
        <v>103.6</v>
      </c>
      <c r="D1920" s="116">
        <v>102.5</v>
      </c>
      <c r="E1920" s="116">
        <v>107</v>
      </c>
      <c r="F1920" s="116">
        <v>103.6</v>
      </c>
      <c r="G1920">
        <v>168371</v>
      </c>
      <c r="H1920" s="116"/>
      <c r="I1920" s="116"/>
      <c r="L1920" s="170">
        <v>44831</v>
      </c>
      <c r="M1920" s="116">
        <v>103.75</v>
      </c>
      <c r="N1920" s="116">
        <v>107.95</v>
      </c>
      <c r="O1920" s="116">
        <v>101</v>
      </c>
      <c r="P1920" s="116">
        <v>107.7</v>
      </c>
      <c r="Q1920" s="116">
        <v>103.75</v>
      </c>
      <c r="R1920">
        <v>1341128</v>
      </c>
    </row>
    <row r="1921" spans="1:18" x14ac:dyDescent="0.25">
      <c r="A1921" s="170">
        <v>44832</v>
      </c>
      <c r="B1921" s="116">
        <v>108</v>
      </c>
      <c r="C1921" s="116">
        <v>103.45</v>
      </c>
      <c r="D1921" s="116">
        <v>100</v>
      </c>
      <c r="E1921" s="116">
        <v>101.3</v>
      </c>
      <c r="F1921" s="116">
        <v>103.45</v>
      </c>
      <c r="G1921">
        <v>165299</v>
      </c>
      <c r="H1921" s="116"/>
      <c r="I1921" s="116"/>
      <c r="L1921" s="170">
        <v>44832</v>
      </c>
      <c r="M1921" s="116">
        <v>102.65</v>
      </c>
      <c r="N1921" s="116">
        <v>107.7</v>
      </c>
      <c r="O1921" s="116">
        <v>101.1</v>
      </c>
      <c r="P1921" s="116">
        <v>102.5</v>
      </c>
      <c r="Q1921" s="116">
        <v>102.65</v>
      </c>
      <c r="R1921">
        <v>1022377</v>
      </c>
    </row>
    <row r="1922" spans="1:18" x14ac:dyDescent="0.25">
      <c r="A1922" s="170">
        <v>44833</v>
      </c>
      <c r="B1922" s="116">
        <v>107</v>
      </c>
      <c r="C1922" s="116">
        <v>104.05</v>
      </c>
      <c r="D1922" s="116">
        <v>102.05</v>
      </c>
      <c r="E1922" s="116">
        <v>103.5</v>
      </c>
      <c r="F1922" s="116">
        <v>104.05</v>
      </c>
      <c r="G1922">
        <v>217502</v>
      </c>
      <c r="H1922" s="116"/>
      <c r="I1922" s="116"/>
      <c r="L1922" s="170">
        <v>44833</v>
      </c>
      <c r="M1922" s="116">
        <v>104.35</v>
      </c>
      <c r="N1922" s="116">
        <v>107.75</v>
      </c>
      <c r="O1922" s="116">
        <v>102.2</v>
      </c>
      <c r="P1922" s="116">
        <v>104.7</v>
      </c>
      <c r="Q1922" s="116">
        <v>104.35</v>
      </c>
      <c r="R1922">
        <v>730224</v>
      </c>
    </row>
    <row r="1923" spans="1:18" x14ac:dyDescent="0.25">
      <c r="A1923" s="170">
        <v>44834</v>
      </c>
      <c r="B1923" s="116">
        <v>105.5</v>
      </c>
      <c r="C1923" s="116">
        <v>103.45</v>
      </c>
      <c r="D1923" s="116">
        <v>100.05</v>
      </c>
      <c r="E1923" s="116">
        <v>104.05</v>
      </c>
      <c r="F1923" s="116">
        <v>103.45</v>
      </c>
      <c r="G1923">
        <v>130032</v>
      </c>
      <c r="H1923" s="116"/>
      <c r="I1923" s="116"/>
      <c r="L1923" s="170">
        <v>44834</v>
      </c>
      <c r="M1923" s="116">
        <v>103.4</v>
      </c>
      <c r="N1923" s="116">
        <v>105.4</v>
      </c>
      <c r="O1923" s="116">
        <v>101.1</v>
      </c>
      <c r="P1923" s="116">
        <v>104</v>
      </c>
      <c r="Q1923" s="116">
        <v>103.4</v>
      </c>
      <c r="R1923">
        <v>860716</v>
      </c>
    </row>
    <row r="1924" spans="1:18" x14ac:dyDescent="0.25">
      <c r="A1924" s="170">
        <v>44837</v>
      </c>
      <c r="B1924" s="116">
        <v>105</v>
      </c>
      <c r="C1924" s="116">
        <v>102.5</v>
      </c>
      <c r="D1924" s="116">
        <v>101</v>
      </c>
      <c r="E1924" s="116">
        <v>103.45</v>
      </c>
      <c r="F1924" s="116">
        <v>102.5</v>
      </c>
      <c r="G1924">
        <v>1224275</v>
      </c>
      <c r="H1924" s="116"/>
      <c r="I1924" s="116"/>
      <c r="L1924" s="170">
        <v>44837</v>
      </c>
      <c r="M1924" s="116">
        <v>102.7</v>
      </c>
      <c r="N1924" s="116">
        <v>104.9</v>
      </c>
      <c r="O1924" s="116">
        <v>101.8</v>
      </c>
      <c r="P1924" s="116">
        <v>104</v>
      </c>
      <c r="Q1924" s="116">
        <v>102.7</v>
      </c>
      <c r="R1924">
        <v>676214</v>
      </c>
    </row>
    <row r="1925" spans="1:18" x14ac:dyDescent="0.25">
      <c r="A1925" s="170">
        <v>44838</v>
      </c>
      <c r="B1925" s="116">
        <v>105.9</v>
      </c>
      <c r="C1925" s="116">
        <v>103.5</v>
      </c>
      <c r="D1925" s="116">
        <v>102.5</v>
      </c>
      <c r="E1925" s="116">
        <v>103.35</v>
      </c>
      <c r="F1925" s="116">
        <v>103.5</v>
      </c>
      <c r="G1925">
        <v>119152</v>
      </c>
      <c r="H1925" s="116"/>
      <c r="I1925" s="116"/>
      <c r="L1925" s="170">
        <v>44838</v>
      </c>
      <c r="M1925" s="116">
        <v>103.6</v>
      </c>
      <c r="N1925" s="116">
        <v>104.5</v>
      </c>
      <c r="O1925" s="116">
        <v>102</v>
      </c>
      <c r="P1925" s="116">
        <v>104.4</v>
      </c>
      <c r="Q1925" s="116">
        <v>103.6</v>
      </c>
      <c r="R1925">
        <v>650175</v>
      </c>
    </row>
    <row r="1926" spans="1:18" x14ac:dyDescent="0.25">
      <c r="A1926" s="170">
        <v>44840</v>
      </c>
      <c r="B1926" s="116">
        <v>107.5</v>
      </c>
      <c r="C1926" s="116">
        <v>106.3</v>
      </c>
      <c r="D1926" s="116">
        <v>103.55</v>
      </c>
      <c r="E1926" s="116">
        <v>103.55</v>
      </c>
      <c r="F1926" s="116">
        <v>106.3</v>
      </c>
      <c r="G1926">
        <v>157258</v>
      </c>
      <c r="H1926" s="116"/>
      <c r="I1926" s="116"/>
      <c r="L1926" s="170">
        <v>44840</v>
      </c>
      <c r="M1926" s="116">
        <v>106</v>
      </c>
      <c r="N1926" s="116">
        <v>107.55</v>
      </c>
      <c r="O1926" s="116">
        <v>103.85</v>
      </c>
      <c r="P1926" s="116">
        <v>104.4</v>
      </c>
      <c r="Q1926" s="116">
        <v>106</v>
      </c>
      <c r="R1926">
        <v>1013126</v>
      </c>
    </row>
    <row r="1927" spans="1:18" x14ac:dyDescent="0.25">
      <c r="A1927" s="170">
        <v>44841</v>
      </c>
      <c r="B1927" s="116">
        <v>106.8</v>
      </c>
      <c r="C1927" s="116">
        <v>104.25</v>
      </c>
      <c r="D1927" s="116">
        <v>102</v>
      </c>
      <c r="E1927" s="116">
        <v>106</v>
      </c>
      <c r="F1927" s="116">
        <v>104.25</v>
      </c>
      <c r="G1927">
        <v>225392</v>
      </c>
      <c r="H1927" s="116"/>
      <c r="I1927" s="116"/>
      <c r="L1927" s="170">
        <v>44841</v>
      </c>
      <c r="M1927" s="116">
        <v>104.1</v>
      </c>
      <c r="N1927" s="116">
        <v>107.15</v>
      </c>
      <c r="O1927" s="116">
        <v>103</v>
      </c>
      <c r="P1927" s="116">
        <v>105.9</v>
      </c>
      <c r="Q1927" s="116">
        <v>104.1</v>
      </c>
      <c r="R1927">
        <v>819631</v>
      </c>
    </row>
    <row r="1928" spans="1:18" x14ac:dyDescent="0.25">
      <c r="A1928" s="170">
        <v>44844</v>
      </c>
      <c r="B1928" s="116">
        <v>104.15</v>
      </c>
      <c r="C1928" s="116">
        <v>102.55</v>
      </c>
      <c r="D1928" s="116">
        <v>101.1</v>
      </c>
      <c r="E1928" s="116">
        <v>104.15</v>
      </c>
      <c r="F1928" s="116">
        <v>102.55</v>
      </c>
      <c r="G1928">
        <v>233790</v>
      </c>
      <c r="H1928" s="116"/>
      <c r="I1928" s="116"/>
      <c r="L1928" s="170">
        <v>44844</v>
      </c>
      <c r="M1928" s="116">
        <v>102.55</v>
      </c>
      <c r="N1928" s="116">
        <v>104</v>
      </c>
      <c r="O1928" s="116">
        <v>102.15</v>
      </c>
      <c r="P1928" s="116">
        <v>103.5</v>
      </c>
      <c r="Q1928" s="116">
        <v>102.55</v>
      </c>
      <c r="R1928">
        <v>830245</v>
      </c>
    </row>
    <row r="1929" spans="1:18" x14ac:dyDescent="0.25">
      <c r="A1929" s="170">
        <v>44845</v>
      </c>
      <c r="B1929" s="116">
        <v>104</v>
      </c>
      <c r="C1929" s="116">
        <v>100.9</v>
      </c>
      <c r="D1929" s="116">
        <v>98.55</v>
      </c>
      <c r="E1929" s="116">
        <v>102.25</v>
      </c>
      <c r="F1929" s="116">
        <v>100.9</v>
      </c>
      <c r="G1929">
        <v>1787967</v>
      </c>
      <c r="H1929" s="116"/>
      <c r="I1929" s="116"/>
      <c r="L1929" s="170">
        <v>44845</v>
      </c>
      <c r="M1929" s="116">
        <v>100.6</v>
      </c>
      <c r="N1929" s="116">
        <v>103.6</v>
      </c>
      <c r="O1929" s="116">
        <v>100</v>
      </c>
      <c r="P1929" s="116">
        <v>103.3</v>
      </c>
      <c r="Q1929" s="116">
        <v>100.6</v>
      </c>
      <c r="R1929">
        <v>774951</v>
      </c>
    </row>
    <row r="1930" spans="1:18" x14ac:dyDescent="0.25">
      <c r="A1930" s="170">
        <v>44846</v>
      </c>
      <c r="B1930" s="116">
        <v>102.5</v>
      </c>
      <c r="C1930" s="116">
        <v>100.4</v>
      </c>
      <c r="D1930" s="116">
        <v>99.25</v>
      </c>
      <c r="E1930" s="116">
        <v>100.5</v>
      </c>
      <c r="F1930" s="116">
        <v>100.4</v>
      </c>
      <c r="G1930">
        <v>223212</v>
      </c>
      <c r="H1930" s="116"/>
      <c r="I1930" s="116"/>
      <c r="L1930" s="170">
        <v>44846</v>
      </c>
      <c r="M1930" s="116">
        <v>99.8</v>
      </c>
      <c r="N1930" s="116">
        <v>101.95</v>
      </c>
      <c r="O1930" s="116">
        <v>99.3</v>
      </c>
      <c r="P1930" s="116">
        <v>101.75</v>
      </c>
      <c r="Q1930" s="116">
        <v>99.8</v>
      </c>
      <c r="R1930">
        <v>945591</v>
      </c>
    </row>
    <row r="1931" spans="1:18" x14ac:dyDescent="0.25">
      <c r="A1931" s="170">
        <v>44847</v>
      </c>
      <c r="B1931" s="116">
        <v>105.4</v>
      </c>
      <c r="C1931" s="116">
        <v>105.4</v>
      </c>
      <c r="D1931" s="116">
        <v>99</v>
      </c>
      <c r="E1931" s="116">
        <v>100.4</v>
      </c>
      <c r="F1931" s="116">
        <v>105.4</v>
      </c>
      <c r="G1931">
        <v>366113</v>
      </c>
      <c r="H1931" s="116"/>
      <c r="I1931" s="116"/>
      <c r="L1931" s="170">
        <v>44847</v>
      </c>
      <c r="M1931" s="116">
        <v>104.75</v>
      </c>
      <c r="N1931" s="116">
        <v>104.75</v>
      </c>
      <c r="O1931" s="116">
        <v>99</v>
      </c>
      <c r="P1931" s="116">
        <v>100.9</v>
      </c>
      <c r="Q1931" s="116">
        <v>104.75</v>
      </c>
      <c r="R1931">
        <v>915675</v>
      </c>
    </row>
    <row r="1932" spans="1:18" x14ac:dyDescent="0.25">
      <c r="A1932" s="170">
        <v>44848</v>
      </c>
      <c r="B1932" s="116">
        <v>110.65</v>
      </c>
      <c r="C1932" s="116">
        <v>110.65</v>
      </c>
      <c r="D1932" s="116">
        <v>110.65</v>
      </c>
      <c r="E1932" s="116">
        <v>110.65</v>
      </c>
      <c r="F1932" s="116">
        <v>110.65</v>
      </c>
      <c r="G1932">
        <v>547944</v>
      </c>
      <c r="H1932" s="116"/>
      <c r="I1932" s="116"/>
      <c r="L1932" s="170">
        <v>44848</v>
      </c>
      <c r="M1932" s="116">
        <v>109.95</v>
      </c>
      <c r="N1932" s="116">
        <v>109.95</v>
      </c>
      <c r="O1932" s="116">
        <v>109.95</v>
      </c>
      <c r="P1932" s="116">
        <v>109.95</v>
      </c>
      <c r="Q1932" s="116">
        <v>109.95</v>
      </c>
      <c r="R1932">
        <v>571943</v>
      </c>
    </row>
    <row r="1933" spans="1:18" x14ac:dyDescent="0.25">
      <c r="A1933" s="170">
        <v>44851</v>
      </c>
      <c r="B1933" s="116">
        <v>114.25</v>
      </c>
      <c r="C1933" s="116">
        <v>108.75</v>
      </c>
      <c r="D1933" s="116">
        <v>105.65</v>
      </c>
      <c r="E1933" s="116">
        <v>114.25</v>
      </c>
      <c r="F1933" s="116">
        <v>108.75</v>
      </c>
      <c r="G1933">
        <v>775317</v>
      </c>
      <c r="H1933" s="116"/>
      <c r="I1933" s="116"/>
      <c r="L1933" s="170">
        <v>44851</v>
      </c>
      <c r="M1933" s="116">
        <v>108.65</v>
      </c>
      <c r="N1933" s="116">
        <v>114</v>
      </c>
      <c r="O1933" s="116">
        <v>106.25</v>
      </c>
      <c r="P1933" s="116">
        <v>113.45</v>
      </c>
      <c r="Q1933" s="116">
        <v>108.65</v>
      </c>
      <c r="R1933">
        <v>2241645</v>
      </c>
    </row>
    <row r="1934" spans="1:18" x14ac:dyDescent="0.25">
      <c r="A1934" s="170">
        <v>44852</v>
      </c>
      <c r="B1934" s="116">
        <v>111</v>
      </c>
      <c r="C1934" s="116">
        <v>107</v>
      </c>
      <c r="D1934" s="116">
        <v>105.1</v>
      </c>
      <c r="E1934" s="116">
        <v>108.5</v>
      </c>
      <c r="F1934" s="116">
        <v>107</v>
      </c>
      <c r="G1934">
        <v>110711</v>
      </c>
      <c r="H1934" s="116"/>
      <c r="I1934" s="116"/>
      <c r="L1934" s="170">
        <v>44852</v>
      </c>
      <c r="M1934" s="116">
        <v>107.55</v>
      </c>
      <c r="N1934" s="116">
        <v>110</v>
      </c>
      <c r="O1934" s="116">
        <v>104.35</v>
      </c>
      <c r="P1934" s="116">
        <v>109.8</v>
      </c>
      <c r="Q1934" s="116">
        <v>107.55</v>
      </c>
      <c r="R1934">
        <v>933099</v>
      </c>
    </row>
    <row r="1935" spans="1:18" x14ac:dyDescent="0.25">
      <c r="A1935" s="170">
        <v>44853</v>
      </c>
      <c r="B1935" s="116">
        <v>108.9</v>
      </c>
      <c r="C1935" s="116">
        <v>105.15</v>
      </c>
      <c r="D1935" s="116">
        <v>104.5</v>
      </c>
      <c r="E1935" s="116">
        <v>107.9</v>
      </c>
      <c r="F1935" s="116">
        <v>105.15</v>
      </c>
      <c r="G1935">
        <v>100180</v>
      </c>
      <c r="H1935" s="116"/>
      <c r="I1935" s="116"/>
      <c r="L1935" s="170">
        <v>44853</v>
      </c>
      <c r="M1935" s="116">
        <v>105.1</v>
      </c>
      <c r="N1935" s="116">
        <v>107.3</v>
      </c>
      <c r="O1935" s="116">
        <v>104.75</v>
      </c>
      <c r="P1935" s="116">
        <v>107.3</v>
      </c>
      <c r="Q1935" s="116">
        <v>105.1</v>
      </c>
      <c r="R1935">
        <v>608593</v>
      </c>
    </row>
    <row r="1936" spans="1:18" x14ac:dyDescent="0.25">
      <c r="A1936" s="170">
        <v>44854</v>
      </c>
      <c r="B1936" s="116">
        <v>108.95</v>
      </c>
      <c r="C1936" s="116">
        <v>105.35</v>
      </c>
      <c r="D1936" s="116">
        <v>102</v>
      </c>
      <c r="E1936" s="116">
        <v>103</v>
      </c>
      <c r="F1936" s="116">
        <v>105.35</v>
      </c>
      <c r="G1936">
        <v>249146</v>
      </c>
      <c r="H1936" s="116"/>
      <c r="I1936" s="116"/>
      <c r="L1936" s="170">
        <v>44854</v>
      </c>
      <c r="M1936" s="116">
        <v>105.25</v>
      </c>
      <c r="N1936" s="116">
        <v>109</v>
      </c>
      <c r="O1936" s="116">
        <v>102.1</v>
      </c>
      <c r="P1936" s="116">
        <v>104.75</v>
      </c>
      <c r="Q1936" s="116">
        <v>105.25</v>
      </c>
      <c r="R1936">
        <v>751989</v>
      </c>
    </row>
    <row r="1937" spans="1:18" x14ac:dyDescent="0.25">
      <c r="A1937" s="170">
        <v>44855</v>
      </c>
      <c r="B1937" s="116">
        <v>107</v>
      </c>
      <c r="C1937" s="116">
        <v>103.85</v>
      </c>
      <c r="D1937" s="116">
        <v>103</v>
      </c>
      <c r="E1937" s="116">
        <v>105.65</v>
      </c>
      <c r="F1937" s="116">
        <v>103.85</v>
      </c>
      <c r="G1937">
        <v>134270</v>
      </c>
      <c r="H1937" s="116"/>
      <c r="I1937" s="116"/>
      <c r="L1937" s="170">
        <v>44855</v>
      </c>
      <c r="M1937" s="116">
        <v>103.5</v>
      </c>
      <c r="N1937" s="116">
        <v>107.1</v>
      </c>
      <c r="O1937" s="116">
        <v>102.95</v>
      </c>
      <c r="P1937" s="116">
        <v>106.9</v>
      </c>
      <c r="Q1937" s="116">
        <v>103.5</v>
      </c>
      <c r="R1937">
        <v>548810</v>
      </c>
    </row>
    <row r="1938" spans="1:18" x14ac:dyDescent="0.25">
      <c r="A1938" s="170">
        <v>44858</v>
      </c>
      <c r="B1938" s="116">
        <v>106</v>
      </c>
      <c r="C1938" s="116">
        <v>104.05</v>
      </c>
      <c r="D1938" s="116">
        <v>102</v>
      </c>
      <c r="E1938" s="116">
        <v>104.1</v>
      </c>
      <c r="F1938" s="116">
        <v>104.05</v>
      </c>
      <c r="G1938">
        <v>112105</v>
      </c>
      <c r="H1938" s="116"/>
      <c r="I1938" s="116"/>
      <c r="L1938" s="170">
        <v>44858</v>
      </c>
      <c r="M1938" s="116">
        <v>104.2</v>
      </c>
      <c r="N1938" s="116">
        <v>105.9</v>
      </c>
      <c r="O1938" s="116">
        <v>103</v>
      </c>
      <c r="P1938" s="116">
        <v>104.8</v>
      </c>
      <c r="Q1938" s="116">
        <v>104.2</v>
      </c>
      <c r="R1938">
        <v>306437</v>
      </c>
    </row>
    <row r="1939" spans="1:18" x14ac:dyDescent="0.25">
      <c r="A1939" s="170">
        <v>44859</v>
      </c>
      <c r="B1939" s="116">
        <v>104.5</v>
      </c>
      <c r="C1939" s="116">
        <v>103.15</v>
      </c>
      <c r="D1939" s="116">
        <v>102.2</v>
      </c>
      <c r="E1939" s="116">
        <v>104.2</v>
      </c>
      <c r="F1939" s="116">
        <v>103.15</v>
      </c>
      <c r="G1939">
        <v>62457</v>
      </c>
      <c r="H1939" s="116"/>
      <c r="I1939" s="116"/>
      <c r="L1939" s="170">
        <v>44859</v>
      </c>
      <c r="M1939" s="116">
        <v>103</v>
      </c>
      <c r="N1939" s="116">
        <v>105</v>
      </c>
      <c r="O1939" s="116">
        <v>102.5</v>
      </c>
      <c r="P1939" s="116">
        <v>104.5</v>
      </c>
      <c r="Q1939" s="116">
        <v>103</v>
      </c>
      <c r="R1939">
        <v>521961</v>
      </c>
    </row>
    <row r="1940" spans="1:18" x14ac:dyDescent="0.25">
      <c r="A1940" s="170">
        <v>44861</v>
      </c>
      <c r="B1940" s="116">
        <v>104</v>
      </c>
      <c r="C1940" s="116">
        <v>103.1</v>
      </c>
      <c r="D1940" s="116">
        <v>102.05</v>
      </c>
      <c r="E1940" s="116">
        <v>102.05</v>
      </c>
      <c r="F1940" s="116">
        <v>103.1</v>
      </c>
      <c r="G1940">
        <v>151125</v>
      </c>
      <c r="H1940" s="116"/>
      <c r="I1940" s="116"/>
      <c r="L1940" s="170">
        <v>44861</v>
      </c>
      <c r="M1940" s="116">
        <v>103.05</v>
      </c>
      <c r="N1940" s="116">
        <v>104.3</v>
      </c>
      <c r="O1940" s="116">
        <v>103</v>
      </c>
      <c r="P1940" s="116">
        <v>103.05</v>
      </c>
      <c r="Q1940" s="116">
        <v>103.05</v>
      </c>
      <c r="R1940">
        <v>519945</v>
      </c>
    </row>
    <row r="1941" spans="1:18" x14ac:dyDescent="0.25">
      <c r="A1941" s="170">
        <v>44862</v>
      </c>
      <c r="B1941" s="116">
        <v>103.85</v>
      </c>
      <c r="C1941" s="116">
        <v>102.25</v>
      </c>
      <c r="D1941" s="116">
        <v>101.9</v>
      </c>
      <c r="E1941" s="116">
        <v>102.7</v>
      </c>
      <c r="F1941" s="116">
        <v>102.25</v>
      </c>
      <c r="G1941">
        <v>154921</v>
      </c>
      <c r="H1941" s="116"/>
      <c r="I1941" s="116"/>
      <c r="L1941" s="170">
        <v>44862</v>
      </c>
      <c r="M1941" s="116">
        <v>102.35</v>
      </c>
      <c r="N1941" s="116">
        <v>104.5</v>
      </c>
      <c r="O1941" s="116">
        <v>101.55</v>
      </c>
      <c r="P1941" s="116">
        <v>103.85</v>
      </c>
      <c r="Q1941" s="116">
        <v>102.35</v>
      </c>
      <c r="R1941">
        <v>480294</v>
      </c>
    </row>
    <row r="1942" spans="1:18" x14ac:dyDescent="0.25">
      <c r="A1942" s="170">
        <v>44865</v>
      </c>
      <c r="B1942" s="116">
        <v>104</v>
      </c>
      <c r="C1942" s="116">
        <v>101.8</v>
      </c>
      <c r="D1942" s="116">
        <v>101.5</v>
      </c>
      <c r="E1942" s="116">
        <v>102.25</v>
      </c>
      <c r="F1942" s="116">
        <v>101.8</v>
      </c>
      <c r="G1942">
        <v>111661</v>
      </c>
      <c r="H1942" s="116"/>
      <c r="I1942" s="116"/>
      <c r="L1942" s="170">
        <v>44865</v>
      </c>
      <c r="M1942" s="116">
        <v>101.95</v>
      </c>
      <c r="N1942" s="116">
        <v>103.5</v>
      </c>
      <c r="O1942" s="116">
        <v>101.65</v>
      </c>
      <c r="P1942" s="116">
        <v>102.35</v>
      </c>
      <c r="Q1942" s="116">
        <v>101.95</v>
      </c>
      <c r="R1942">
        <v>526991</v>
      </c>
    </row>
    <row r="1943" spans="1:18" x14ac:dyDescent="0.25">
      <c r="A1943" s="170">
        <v>44866</v>
      </c>
      <c r="B1943" s="116">
        <v>105</v>
      </c>
      <c r="C1943" s="116">
        <v>103.5</v>
      </c>
      <c r="D1943" s="116">
        <v>101.2</v>
      </c>
      <c r="E1943" s="116">
        <v>101.2</v>
      </c>
      <c r="F1943" s="116">
        <v>103.5</v>
      </c>
      <c r="G1943">
        <v>109864</v>
      </c>
      <c r="H1943" s="116"/>
      <c r="I1943" s="116"/>
      <c r="L1943" s="170">
        <v>44866</v>
      </c>
      <c r="M1943" s="116">
        <v>103.35</v>
      </c>
      <c r="N1943" s="116">
        <v>104.95</v>
      </c>
      <c r="O1943" s="116">
        <v>101.6</v>
      </c>
      <c r="P1943" s="116">
        <v>102</v>
      </c>
      <c r="Q1943" s="116">
        <v>103.35</v>
      </c>
      <c r="R1943">
        <v>865698</v>
      </c>
    </row>
    <row r="1944" spans="1:18" x14ac:dyDescent="0.25">
      <c r="A1944" s="170">
        <v>44867</v>
      </c>
      <c r="B1944" s="116">
        <v>103.5</v>
      </c>
      <c r="C1944" s="116">
        <v>102.25</v>
      </c>
      <c r="D1944" s="116">
        <v>102</v>
      </c>
      <c r="E1944" s="116">
        <v>103</v>
      </c>
      <c r="F1944" s="116">
        <v>102.25</v>
      </c>
      <c r="G1944">
        <v>156222</v>
      </c>
      <c r="H1944" s="116"/>
      <c r="I1944" s="116"/>
      <c r="L1944" s="170">
        <v>44867</v>
      </c>
      <c r="M1944" s="116">
        <v>102.25</v>
      </c>
      <c r="N1944" s="116">
        <v>103.85</v>
      </c>
      <c r="O1944" s="116">
        <v>102</v>
      </c>
      <c r="P1944" s="116">
        <v>103</v>
      </c>
      <c r="Q1944" s="116">
        <v>102.25</v>
      </c>
      <c r="R1944">
        <v>470567</v>
      </c>
    </row>
    <row r="1945" spans="1:18" x14ac:dyDescent="0.25">
      <c r="A1945" s="170">
        <v>44868</v>
      </c>
      <c r="B1945" s="116">
        <v>107.35</v>
      </c>
      <c r="C1945" s="116">
        <v>102.3</v>
      </c>
      <c r="D1945" s="116">
        <v>101.1</v>
      </c>
      <c r="E1945" s="116">
        <v>101.5</v>
      </c>
      <c r="F1945" s="116">
        <v>102.3</v>
      </c>
      <c r="G1945">
        <v>190594</v>
      </c>
      <c r="H1945" s="116"/>
      <c r="I1945" s="116"/>
      <c r="L1945" s="170">
        <v>44868</v>
      </c>
      <c r="M1945" s="116">
        <v>102.2</v>
      </c>
      <c r="N1945" s="116">
        <v>104.9</v>
      </c>
      <c r="O1945" s="116">
        <v>101</v>
      </c>
      <c r="P1945" s="116">
        <v>102</v>
      </c>
      <c r="Q1945" s="116">
        <v>102.2</v>
      </c>
      <c r="R1945">
        <v>555645</v>
      </c>
    </row>
    <row r="1946" spans="1:18" x14ac:dyDescent="0.25">
      <c r="A1946" s="170">
        <v>44869</v>
      </c>
      <c r="B1946" s="116">
        <v>103.8</v>
      </c>
      <c r="C1946" s="116">
        <v>102.8</v>
      </c>
      <c r="D1946" s="116">
        <v>101.1</v>
      </c>
      <c r="E1946" s="116">
        <v>103.8</v>
      </c>
      <c r="F1946" s="116">
        <v>102.8</v>
      </c>
      <c r="G1946">
        <v>203105</v>
      </c>
      <c r="H1946" s="116"/>
      <c r="I1946" s="116"/>
      <c r="L1946" s="170">
        <v>44869</v>
      </c>
      <c r="M1946" s="116">
        <v>102.7</v>
      </c>
      <c r="N1946" s="116">
        <v>103.8</v>
      </c>
      <c r="O1946" s="116">
        <v>101.05</v>
      </c>
      <c r="P1946" s="116">
        <v>103.05</v>
      </c>
      <c r="Q1946" s="116">
        <v>102.7</v>
      </c>
      <c r="R1946">
        <v>647567</v>
      </c>
    </row>
    <row r="1947" spans="1:18" x14ac:dyDescent="0.25">
      <c r="A1947" s="170">
        <v>44872</v>
      </c>
      <c r="B1947" s="116">
        <v>104.9</v>
      </c>
      <c r="C1947" s="116">
        <v>102.1</v>
      </c>
      <c r="D1947" s="116">
        <v>101</v>
      </c>
      <c r="E1947" s="116">
        <v>102.5</v>
      </c>
      <c r="F1947" s="116">
        <v>102.1</v>
      </c>
      <c r="G1947">
        <v>283572</v>
      </c>
      <c r="H1947" s="116"/>
      <c r="I1947" s="116"/>
      <c r="L1947" s="170">
        <v>44872</v>
      </c>
      <c r="M1947" s="116">
        <v>102.15</v>
      </c>
      <c r="N1947" s="116">
        <v>103.75</v>
      </c>
      <c r="O1947" s="116">
        <v>101.8</v>
      </c>
      <c r="P1947" s="116">
        <v>102.7</v>
      </c>
      <c r="Q1947" s="116">
        <v>102.15</v>
      </c>
      <c r="R1947">
        <v>873954</v>
      </c>
    </row>
    <row r="1948" spans="1:18" x14ac:dyDescent="0.25">
      <c r="A1948" s="170">
        <v>44874</v>
      </c>
      <c r="B1948" s="116">
        <v>102.9</v>
      </c>
      <c r="C1948" s="116">
        <v>101.2</v>
      </c>
      <c r="D1948" s="116">
        <v>101</v>
      </c>
      <c r="E1948" s="116">
        <v>102.1</v>
      </c>
      <c r="F1948" s="116">
        <v>101.2</v>
      </c>
      <c r="G1948">
        <v>159837</v>
      </c>
      <c r="H1948" s="116"/>
      <c r="I1948" s="116"/>
      <c r="L1948" s="170">
        <v>44874</v>
      </c>
      <c r="M1948" s="116">
        <v>101.2</v>
      </c>
      <c r="N1948" s="116">
        <v>102.7</v>
      </c>
      <c r="O1948" s="116">
        <v>101</v>
      </c>
      <c r="P1948" s="116">
        <v>101.7</v>
      </c>
      <c r="Q1948" s="116">
        <v>101.2</v>
      </c>
      <c r="R1948">
        <v>1092676</v>
      </c>
    </row>
    <row r="1949" spans="1:18" x14ac:dyDescent="0.25">
      <c r="A1949" s="170">
        <v>44875</v>
      </c>
      <c r="B1949" s="116">
        <v>102</v>
      </c>
      <c r="C1949" s="116">
        <v>100.55</v>
      </c>
      <c r="D1949" s="116">
        <v>100</v>
      </c>
      <c r="E1949" s="116">
        <v>100.1</v>
      </c>
      <c r="F1949" s="116">
        <v>100.55</v>
      </c>
      <c r="G1949">
        <v>185755</v>
      </c>
      <c r="H1949" s="116"/>
      <c r="I1949" s="116"/>
      <c r="L1949" s="170">
        <v>44875</v>
      </c>
      <c r="M1949" s="116">
        <v>100.55</v>
      </c>
      <c r="N1949" s="116">
        <v>101.5</v>
      </c>
      <c r="O1949" s="116">
        <v>100</v>
      </c>
      <c r="P1949" s="116">
        <v>101.2</v>
      </c>
      <c r="Q1949" s="116">
        <v>100.55</v>
      </c>
      <c r="R1949">
        <v>715420</v>
      </c>
    </row>
    <row r="1950" spans="1:18" x14ac:dyDescent="0.25">
      <c r="A1950" s="170">
        <v>44876</v>
      </c>
      <c r="B1950" s="116">
        <v>102</v>
      </c>
      <c r="C1950" s="116">
        <v>100.2</v>
      </c>
      <c r="D1950" s="116">
        <v>97.8</v>
      </c>
      <c r="E1950" s="116">
        <v>99.05</v>
      </c>
      <c r="F1950" s="116">
        <v>100.2</v>
      </c>
      <c r="G1950">
        <v>478567</v>
      </c>
      <c r="H1950" s="116"/>
      <c r="I1950" s="116"/>
      <c r="L1950" s="170">
        <v>44876</v>
      </c>
      <c r="M1950" s="116">
        <v>100.3</v>
      </c>
      <c r="N1950" s="116">
        <v>102</v>
      </c>
      <c r="O1950" s="116">
        <v>99</v>
      </c>
      <c r="P1950" s="116">
        <v>100.1</v>
      </c>
      <c r="Q1950" s="116">
        <v>100.3</v>
      </c>
      <c r="R1950">
        <v>1119017</v>
      </c>
    </row>
    <row r="1951" spans="1:18" x14ac:dyDescent="0.25">
      <c r="A1951" s="170">
        <v>44879</v>
      </c>
      <c r="B1951" s="116">
        <v>100.95</v>
      </c>
      <c r="C1951" s="116">
        <v>99.8</v>
      </c>
      <c r="D1951" s="116">
        <v>98.7</v>
      </c>
      <c r="E1951" s="116">
        <v>100.95</v>
      </c>
      <c r="F1951" s="116">
        <v>99.8</v>
      </c>
      <c r="G1951">
        <v>124041</v>
      </c>
      <c r="H1951" s="116"/>
      <c r="I1951" s="116"/>
      <c r="L1951" s="170">
        <v>44879</v>
      </c>
      <c r="M1951" s="116">
        <v>99.75</v>
      </c>
      <c r="N1951" s="116">
        <v>101</v>
      </c>
      <c r="O1951" s="116">
        <v>98</v>
      </c>
      <c r="P1951" s="116">
        <v>100.3</v>
      </c>
      <c r="Q1951" s="116">
        <v>99.75</v>
      </c>
      <c r="R1951">
        <v>941410</v>
      </c>
    </row>
    <row r="1952" spans="1:18" x14ac:dyDescent="0.25">
      <c r="A1952" s="170">
        <v>44880</v>
      </c>
      <c r="B1952" s="116">
        <v>100.45</v>
      </c>
      <c r="C1952" s="116">
        <v>98.9</v>
      </c>
      <c r="D1952" s="116">
        <v>98.5</v>
      </c>
      <c r="E1952" s="116">
        <v>99.75</v>
      </c>
      <c r="F1952" s="116">
        <v>98.9</v>
      </c>
      <c r="G1952">
        <v>192676</v>
      </c>
      <c r="H1952" s="116"/>
      <c r="I1952" s="116"/>
      <c r="L1952" s="170">
        <v>44880</v>
      </c>
      <c r="M1952" s="116">
        <v>99.1</v>
      </c>
      <c r="N1952" s="116">
        <v>100.5</v>
      </c>
      <c r="O1952" s="116">
        <v>98</v>
      </c>
      <c r="P1952" s="116">
        <v>100.1</v>
      </c>
      <c r="Q1952" s="116">
        <v>99.1</v>
      </c>
      <c r="R1952">
        <v>661143</v>
      </c>
    </row>
    <row r="1953" spans="1:18" x14ac:dyDescent="0.25">
      <c r="A1953" s="170">
        <v>44881</v>
      </c>
      <c r="B1953" s="116">
        <v>99.65</v>
      </c>
      <c r="C1953" s="116">
        <v>98</v>
      </c>
      <c r="D1953" s="116">
        <v>97</v>
      </c>
      <c r="E1953" s="116">
        <v>98.5</v>
      </c>
      <c r="F1953" s="116">
        <v>98</v>
      </c>
      <c r="G1953">
        <v>158469</v>
      </c>
      <c r="H1953" s="116"/>
      <c r="I1953" s="116"/>
      <c r="L1953" s="170">
        <v>44881</v>
      </c>
      <c r="M1953" s="116">
        <v>97.35</v>
      </c>
      <c r="N1953" s="116">
        <v>99.9</v>
      </c>
      <c r="O1953" s="116">
        <v>97</v>
      </c>
      <c r="P1953" s="116">
        <v>99.3</v>
      </c>
      <c r="Q1953" s="116">
        <v>97.35</v>
      </c>
      <c r="R1953">
        <v>1270749</v>
      </c>
    </row>
    <row r="1954" spans="1:18" x14ac:dyDescent="0.25">
      <c r="A1954" s="170">
        <v>44882</v>
      </c>
      <c r="B1954" s="116">
        <v>102.9</v>
      </c>
      <c r="C1954" s="116">
        <v>102.9</v>
      </c>
      <c r="D1954" s="116">
        <v>97</v>
      </c>
      <c r="E1954" s="116">
        <v>97.1</v>
      </c>
      <c r="F1954" s="116">
        <v>102.9</v>
      </c>
      <c r="G1954">
        <v>831305</v>
      </c>
      <c r="H1954" s="116"/>
      <c r="I1954" s="116"/>
      <c r="L1954" s="170">
        <v>44882</v>
      </c>
      <c r="M1954" s="116">
        <v>102.2</v>
      </c>
      <c r="N1954" s="116">
        <v>102.2</v>
      </c>
      <c r="O1954" s="116">
        <v>97.35</v>
      </c>
      <c r="P1954" s="116">
        <v>97.9</v>
      </c>
      <c r="Q1954" s="116">
        <v>102.2</v>
      </c>
      <c r="R1954">
        <v>989479</v>
      </c>
    </row>
    <row r="1955" spans="1:18" x14ac:dyDescent="0.25">
      <c r="A1955" s="170">
        <v>44883</v>
      </c>
      <c r="B1955" s="116">
        <v>105</v>
      </c>
      <c r="C1955" s="116">
        <v>101.25</v>
      </c>
      <c r="D1955" s="116">
        <v>100</v>
      </c>
      <c r="E1955" s="116">
        <v>104.5</v>
      </c>
      <c r="F1955" s="116">
        <v>101.25</v>
      </c>
      <c r="G1955">
        <v>322072</v>
      </c>
      <c r="H1955" s="116"/>
      <c r="I1955" s="116"/>
      <c r="L1955" s="170">
        <v>44883</v>
      </c>
      <c r="M1955" s="116">
        <v>101.3</v>
      </c>
      <c r="N1955" s="116">
        <v>106.7</v>
      </c>
      <c r="O1955" s="116">
        <v>100.5</v>
      </c>
      <c r="P1955" s="116">
        <v>104.2</v>
      </c>
      <c r="Q1955" s="116">
        <v>101.3</v>
      </c>
      <c r="R1955">
        <v>1457544</v>
      </c>
    </row>
    <row r="1956" spans="1:18" x14ac:dyDescent="0.25">
      <c r="A1956" s="170">
        <v>44886</v>
      </c>
      <c r="B1956" s="116">
        <v>101</v>
      </c>
      <c r="C1956" s="116">
        <v>99.25</v>
      </c>
      <c r="D1956" s="116">
        <v>98.6</v>
      </c>
      <c r="E1956" s="116">
        <v>101</v>
      </c>
      <c r="F1956" s="116">
        <v>99.25</v>
      </c>
      <c r="G1956">
        <v>81273</v>
      </c>
      <c r="H1956" s="116"/>
      <c r="I1956" s="116"/>
      <c r="L1956" s="170">
        <v>44886</v>
      </c>
      <c r="M1956" s="116">
        <v>99.15</v>
      </c>
      <c r="N1956" s="116">
        <v>101.3</v>
      </c>
      <c r="O1956" s="116">
        <v>98.4</v>
      </c>
      <c r="P1956" s="116">
        <v>101.25</v>
      </c>
      <c r="Q1956" s="116">
        <v>99.15</v>
      </c>
      <c r="R1956">
        <v>580825</v>
      </c>
    </row>
    <row r="1957" spans="1:18" x14ac:dyDescent="0.25">
      <c r="A1957" s="170">
        <v>44887</v>
      </c>
      <c r="B1957" s="116">
        <v>101</v>
      </c>
      <c r="C1957" s="116">
        <v>98.3</v>
      </c>
      <c r="D1957" s="116">
        <v>97</v>
      </c>
      <c r="E1957" s="116">
        <v>100.9</v>
      </c>
      <c r="F1957" s="116">
        <v>98.3</v>
      </c>
      <c r="G1957">
        <v>260490</v>
      </c>
      <c r="H1957" s="116"/>
      <c r="I1957" s="116"/>
      <c r="L1957" s="170">
        <v>44887</v>
      </c>
      <c r="M1957" s="116">
        <v>98.55</v>
      </c>
      <c r="N1957" s="116">
        <v>100</v>
      </c>
      <c r="O1957" s="116">
        <v>98</v>
      </c>
      <c r="P1957" s="116">
        <v>99.5</v>
      </c>
      <c r="Q1957" s="116">
        <v>98.55</v>
      </c>
      <c r="R1957">
        <v>645386</v>
      </c>
    </row>
    <row r="1958" spans="1:18" x14ac:dyDescent="0.25">
      <c r="A1958" s="170">
        <v>44888</v>
      </c>
      <c r="B1958" s="116">
        <v>103.2</v>
      </c>
      <c r="C1958" s="116">
        <v>99.25</v>
      </c>
      <c r="D1958" s="116">
        <v>97.2</v>
      </c>
      <c r="E1958" s="116">
        <v>97.2</v>
      </c>
      <c r="F1958" s="116">
        <v>99.25</v>
      </c>
      <c r="G1958">
        <v>154339</v>
      </c>
      <c r="H1958" s="116"/>
      <c r="I1958" s="116"/>
      <c r="L1958" s="170">
        <v>44888</v>
      </c>
      <c r="M1958" s="116">
        <v>99.35</v>
      </c>
      <c r="N1958" s="116">
        <v>102.95</v>
      </c>
      <c r="O1958" s="116">
        <v>97.5</v>
      </c>
      <c r="P1958" s="116">
        <v>98.55</v>
      </c>
      <c r="Q1958" s="116">
        <v>99.35</v>
      </c>
      <c r="R1958">
        <v>957157</v>
      </c>
    </row>
    <row r="1959" spans="1:18" x14ac:dyDescent="0.25">
      <c r="A1959" s="170">
        <v>44889</v>
      </c>
      <c r="B1959" s="116">
        <v>100.85</v>
      </c>
      <c r="C1959" s="116">
        <v>98.85</v>
      </c>
      <c r="D1959" s="116">
        <v>98.35</v>
      </c>
      <c r="E1959" s="116">
        <v>99.25</v>
      </c>
      <c r="F1959" s="116">
        <v>98.85</v>
      </c>
      <c r="G1959">
        <v>77006</v>
      </c>
      <c r="H1959" s="116"/>
      <c r="I1959" s="116"/>
      <c r="L1959" s="170">
        <v>44889</v>
      </c>
      <c r="M1959" s="116">
        <v>98.95</v>
      </c>
      <c r="N1959" s="116">
        <v>100</v>
      </c>
      <c r="O1959" s="116">
        <v>98.5</v>
      </c>
      <c r="P1959" s="116">
        <v>100</v>
      </c>
      <c r="Q1959" s="116">
        <v>98.95</v>
      </c>
      <c r="R1959">
        <v>568426</v>
      </c>
    </row>
    <row r="1960" spans="1:18" x14ac:dyDescent="0.25">
      <c r="A1960" s="170">
        <v>44890</v>
      </c>
      <c r="B1960" s="116">
        <v>102.4</v>
      </c>
      <c r="C1960" s="116">
        <v>100.25</v>
      </c>
      <c r="D1960" s="116">
        <v>98.05</v>
      </c>
      <c r="E1960" s="116">
        <v>98.7</v>
      </c>
      <c r="F1960" s="116">
        <v>100.25</v>
      </c>
      <c r="G1960">
        <v>111025</v>
      </c>
      <c r="H1960" s="116"/>
      <c r="I1960" s="116"/>
      <c r="L1960" s="170">
        <v>44890</v>
      </c>
      <c r="M1960" s="116">
        <v>100.3</v>
      </c>
      <c r="N1960" s="116">
        <v>102.1</v>
      </c>
      <c r="O1960" s="116">
        <v>98.2</v>
      </c>
      <c r="P1960" s="116">
        <v>99.95</v>
      </c>
      <c r="Q1960" s="116">
        <v>100.3</v>
      </c>
      <c r="R1960">
        <v>1034071</v>
      </c>
    </row>
    <row r="1961" spans="1:18" x14ac:dyDescent="0.25">
      <c r="A1961" s="170">
        <v>44893</v>
      </c>
      <c r="B1961" s="116">
        <v>101.4</v>
      </c>
      <c r="C1961" s="116">
        <v>99.65</v>
      </c>
      <c r="D1961" s="116">
        <v>99.05</v>
      </c>
      <c r="E1961" s="116">
        <v>99.25</v>
      </c>
      <c r="F1961" s="116">
        <v>99.65</v>
      </c>
      <c r="G1961">
        <v>99702</v>
      </c>
      <c r="H1961" s="116"/>
      <c r="I1961" s="116"/>
      <c r="L1961" s="170">
        <v>44893</v>
      </c>
      <c r="M1961" s="116">
        <v>99.8</v>
      </c>
      <c r="N1961" s="116">
        <v>101.5</v>
      </c>
      <c r="O1961" s="116">
        <v>99.25</v>
      </c>
      <c r="P1961" s="116">
        <v>100.3</v>
      </c>
      <c r="Q1961" s="116">
        <v>99.8</v>
      </c>
      <c r="R1961">
        <v>1141387</v>
      </c>
    </row>
    <row r="1962" spans="1:18" x14ac:dyDescent="0.25">
      <c r="A1962" s="170">
        <v>44894</v>
      </c>
      <c r="B1962" s="116">
        <v>100</v>
      </c>
      <c r="C1962" s="116">
        <v>99.1</v>
      </c>
      <c r="D1962" s="116">
        <v>99</v>
      </c>
      <c r="E1962" s="116">
        <v>99.1</v>
      </c>
      <c r="F1962" s="116">
        <v>99.1</v>
      </c>
      <c r="G1962">
        <v>69397</v>
      </c>
      <c r="H1962" s="116"/>
      <c r="I1962" s="116"/>
      <c r="L1962" s="170">
        <v>44894</v>
      </c>
      <c r="M1962" s="116">
        <v>99.15</v>
      </c>
      <c r="N1962" s="116">
        <v>100.25</v>
      </c>
      <c r="O1962" s="116">
        <v>99.1</v>
      </c>
      <c r="P1962" s="116">
        <v>100</v>
      </c>
      <c r="Q1962" s="116">
        <v>99.15</v>
      </c>
      <c r="R1962">
        <v>547711</v>
      </c>
    </row>
    <row r="1963" spans="1:18" x14ac:dyDescent="0.25">
      <c r="A1963" s="170">
        <v>44895</v>
      </c>
      <c r="B1963" s="116">
        <v>104.05</v>
      </c>
      <c r="C1963" s="116">
        <v>102.2</v>
      </c>
      <c r="D1963" s="116">
        <v>98</v>
      </c>
      <c r="E1963" s="116">
        <v>99</v>
      </c>
      <c r="F1963" s="116">
        <v>102.2</v>
      </c>
      <c r="G1963">
        <v>254523</v>
      </c>
      <c r="H1963" s="116"/>
      <c r="I1963" s="116"/>
      <c r="L1963" s="170">
        <v>44895</v>
      </c>
      <c r="M1963" s="116">
        <v>102.05</v>
      </c>
      <c r="N1963" s="116">
        <v>104.1</v>
      </c>
      <c r="O1963" s="116">
        <v>98.6</v>
      </c>
      <c r="P1963" s="116">
        <v>99</v>
      </c>
      <c r="Q1963" s="116">
        <v>102.05</v>
      </c>
      <c r="R1963">
        <v>1821197</v>
      </c>
    </row>
    <row r="1964" spans="1:18" x14ac:dyDescent="0.25">
      <c r="A1964" s="170">
        <v>44896</v>
      </c>
      <c r="B1964" s="116">
        <v>102.95</v>
      </c>
      <c r="C1964" s="116">
        <v>100.55</v>
      </c>
      <c r="D1964" s="116">
        <v>99</v>
      </c>
      <c r="E1964" s="116">
        <v>102.2</v>
      </c>
      <c r="F1964" s="116">
        <v>100.55</v>
      </c>
      <c r="G1964">
        <v>335684</v>
      </c>
      <c r="H1964" s="116"/>
      <c r="I1964" s="116"/>
      <c r="L1964" s="170">
        <v>44896</v>
      </c>
      <c r="M1964" s="116">
        <v>100.6</v>
      </c>
      <c r="N1964" s="116">
        <v>102.75</v>
      </c>
      <c r="O1964" s="116">
        <v>100.1</v>
      </c>
      <c r="P1964" s="116">
        <v>102.05</v>
      </c>
      <c r="Q1964" s="116">
        <v>100.6</v>
      </c>
      <c r="R1964">
        <v>1073523</v>
      </c>
    </row>
    <row r="1965" spans="1:18" x14ac:dyDescent="0.25">
      <c r="A1965" s="170">
        <v>44897</v>
      </c>
      <c r="B1965" s="116">
        <v>103.4</v>
      </c>
      <c r="C1965" s="116">
        <v>101.2</v>
      </c>
      <c r="D1965" s="116">
        <v>99.5</v>
      </c>
      <c r="E1965" s="116">
        <v>101.1</v>
      </c>
      <c r="F1965" s="116">
        <v>101.2</v>
      </c>
      <c r="G1965">
        <v>152592</v>
      </c>
      <c r="H1965" s="116"/>
      <c r="I1965" s="116"/>
      <c r="L1965" s="170">
        <v>44897</v>
      </c>
      <c r="M1965" s="116">
        <v>101.05</v>
      </c>
      <c r="N1965" s="116">
        <v>102.9</v>
      </c>
      <c r="O1965" s="116">
        <v>99.4</v>
      </c>
      <c r="P1965" s="116">
        <v>101.05</v>
      </c>
      <c r="Q1965" s="116">
        <v>101.05</v>
      </c>
      <c r="R1965">
        <v>1190179</v>
      </c>
    </row>
    <row r="1966" spans="1:18" x14ac:dyDescent="0.25">
      <c r="A1966" s="170">
        <v>44900</v>
      </c>
      <c r="B1966" s="116">
        <v>103</v>
      </c>
      <c r="C1966" s="116">
        <v>100.3</v>
      </c>
      <c r="D1966" s="116">
        <v>99.8</v>
      </c>
      <c r="E1966" s="116">
        <v>101</v>
      </c>
      <c r="F1966" s="116">
        <v>100.3</v>
      </c>
      <c r="G1966">
        <v>296570</v>
      </c>
      <c r="H1966" s="116"/>
      <c r="I1966" s="116"/>
      <c r="L1966" s="170">
        <v>44900</v>
      </c>
      <c r="M1966" s="116">
        <v>100.3</v>
      </c>
      <c r="N1966" s="116">
        <v>102.3</v>
      </c>
      <c r="O1966" s="116">
        <v>100</v>
      </c>
      <c r="P1966" s="116">
        <v>101.8</v>
      </c>
      <c r="Q1966" s="116">
        <v>100.3</v>
      </c>
      <c r="R1966">
        <v>831085</v>
      </c>
    </row>
    <row r="1967" spans="1:18" x14ac:dyDescent="0.25">
      <c r="A1967" s="170">
        <v>44901</v>
      </c>
      <c r="B1967" s="116">
        <v>101.6</v>
      </c>
      <c r="C1967" s="116">
        <v>99.55</v>
      </c>
      <c r="D1967" s="116">
        <v>99</v>
      </c>
      <c r="E1967" s="116">
        <v>100.25</v>
      </c>
      <c r="F1967" s="116">
        <v>99.55</v>
      </c>
      <c r="G1967">
        <v>300485</v>
      </c>
      <c r="H1967" s="116"/>
      <c r="I1967" s="116"/>
      <c r="L1967" s="170">
        <v>44901</v>
      </c>
      <c r="M1967" s="116">
        <v>99.55</v>
      </c>
      <c r="N1967" s="116">
        <v>101.65</v>
      </c>
      <c r="O1967" s="116">
        <v>98.8</v>
      </c>
      <c r="P1967" s="116">
        <v>100.6</v>
      </c>
      <c r="Q1967" s="116">
        <v>99.55</v>
      </c>
      <c r="R1967">
        <v>1170475</v>
      </c>
    </row>
    <row r="1968" spans="1:18" x14ac:dyDescent="0.25">
      <c r="A1968" s="170">
        <v>44902</v>
      </c>
      <c r="B1968" s="116">
        <v>103.55</v>
      </c>
      <c r="C1968" s="116">
        <v>101.3</v>
      </c>
      <c r="D1968" s="116">
        <v>98.3</v>
      </c>
      <c r="E1968" s="116">
        <v>99.6</v>
      </c>
      <c r="F1968" s="116">
        <v>101.3</v>
      </c>
      <c r="G1968">
        <v>842945</v>
      </c>
      <c r="H1968" s="116"/>
      <c r="I1968" s="116"/>
      <c r="L1968" s="170">
        <v>44902</v>
      </c>
      <c r="M1968" s="116">
        <v>101.25</v>
      </c>
      <c r="N1968" s="116">
        <v>103.7</v>
      </c>
      <c r="O1968" s="116">
        <v>98.3</v>
      </c>
      <c r="P1968" s="116">
        <v>100.45</v>
      </c>
      <c r="Q1968" s="116">
        <v>101.25</v>
      </c>
      <c r="R1968">
        <v>4628102</v>
      </c>
    </row>
    <row r="1969" spans="1:18" x14ac:dyDescent="0.25">
      <c r="A1969" s="170">
        <v>44903</v>
      </c>
      <c r="B1969" s="116">
        <v>101.95</v>
      </c>
      <c r="C1969" s="116">
        <v>99.65</v>
      </c>
      <c r="D1969" s="116">
        <v>99</v>
      </c>
      <c r="E1969" s="116">
        <v>101.5</v>
      </c>
      <c r="F1969" s="116">
        <v>99.65</v>
      </c>
      <c r="G1969">
        <v>317734</v>
      </c>
      <c r="H1969" s="116"/>
      <c r="I1969" s="116"/>
      <c r="L1969" s="170">
        <v>44903</v>
      </c>
      <c r="M1969" s="116">
        <v>99.6</v>
      </c>
      <c r="N1969" s="116">
        <v>102</v>
      </c>
      <c r="O1969" s="116">
        <v>99.5</v>
      </c>
      <c r="P1969" s="116">
        <v>101.5</v>
      </c>
      <c r="Q1969" s="116">
        <v>99.6</v>
      </c>
      <c r="R1969">
        <v>1486281</v>
      </c>
    </row>
    <row r="1970" spans="1:18" x14ac:dyDescent="0.25">
      <c r="A1970" s="170">
        <v>44904</v>
      </c>
      <c r="B1970" s="116">
        <v>101.4</v>
      </c>
      <c r="C1970" s="116">
        <v>98.7</v>
      </c>
      <c r="D1970" s="116">
        <v>98.1</v>
      </c>
      <c r="E1970" s="116">
        <v>100.2</v>
      </c>
      <c r="F1970" s="116">
        <v>98.7</v>
      </c>
      <c r="G1970">
        <v>390752</v>
      </c>
      <c r="H1970" s="116"/>
      <c r="I1970" s="116"/>
      <c r="L1970" s="170">
        <v>44904</v>
      </c>
      <c r="M1970" s="116">
        <v>98.7</v>
      </c>
      <c r="N1970" s="116">
        <v>101</v>
      </c>
      <c r="O1970" s="116">
        <v>98.05</v>
      </c>
      <c r="P1970" s="116">
        <v>100.35</v>
      </c>
      <c r="Q1970" s="116">
        <v>98.7</v>
      </c>
      <c r="R1970">
        <v>1396964</v>
      </c>
    </row>
    <row r="1971" spans="1:18" x14ac:dyDescent="0.25">
      <c r="A1971" s="170">
        <v>44907</v>
      </c>
      <c r="B1971" s="116">
        <v>98.7</v>
      </c>
      <c r="C1971" s="116">
        <v>97.8</v>
      </c>
      <c r="D1971" s="116">
        <v>97.5</v>
      </c>
      <c r="E1971" s="116">
        <v>98.5</v>
      </c>
      <c r="F1971" s="116">
        <v>97.8</v>
      </c>
      <c r="G1971">
        <v>264278</v>
      </c>
      <c r="H1971" s="116"/>
      <c r="I1971" s="116"/>
      <c r="L1971" s="170">
        <v>44907</v>
      </c>
      <c r="M1971" s="116">
        <v>97.75</v>
      </c>
      <c r="N1971" s="116">
        <v>98.8</v>
      </c>
      <c r="O1971" s="116">
        <v>97.5</v>
      </c>
      <c r="P1971" s="116">
        <v>98.75</v>
      </c>
      <c r="Q1971" s="116">
        <v>97.75</v>
      </c>
      <c r="R1971">
        <v>974802</v>
      </c>
    </row>
    <row r="1972" spans="1:18" x14ac:dyDescent="0.25">
      <c r="A1972" s="170">
        <v>44908</v>
      </c>
      <c r="B1972" s="116">
        <v>100.5</v>
      </c>
      <c r="C1972" s="116">
        <v>98.3</v>
      </c>
      <c r="D1972" s="116">
        <v>97.6</v>
      </c>
      <c r="E1972" s="116">
        <v>97.8</v>
      </c>
      <c r="F1972" s="116">
        <v>98.3</v>
      </c>
      <c r="G1972">
        <v>499956</v>
      </c>
      <c r="H1972" s="116"/>
      <c r="I1972" s="116"/>
      <c r="L1972" s="170">
        <v>44908</v>
      </c>
      <c r="M1972" s="116">
        <v>98.3</v>
      </c>
      <c r="N1972" s="116">
        <v>100.55</v>
      </c>
      <c r="O1972" s="116">
        <v>97.6</v>
      </c>
      <c r="P1972" s="116">
        <v>97.9</v>
      </c>
      <c r="Q1972" s="116">
        <v>98.3</v>
      </c>
      <c r="R1972">
        <v>2446511</v>
      </c>
    </row>
    <row r="1973" spans="1:18" x14ac:dyDescent="0.25">
      <c r="A1973" s="170">
        <v>44909</v>
      </c>
      <c r="B1973" s="116">
        <v>102</v>
      </c>
      <c r="C1973" s="116">
        <v>98.8</v>
      </c>
      <c r="D1973" s="116">
        <v>97.8</v>
      </c>
      <c r="E1973" s="116">
        <v>98.3</v>
      </c>
      <c r="F1973" s="116">
        <v>98.8</v>
      </c>
      <c r="G1973">
        <v>584391</v>
      </c>
      <c r="H1973" s="116"/>
      <c r="I1973" s="116"/>
      <c r="L1973" s="170">
        <v>44909</v>
      </c>
      <c r="M1973" s="116">
        <v>98.75</v>
      </c>
      <c r="N1973" s="116">
        <v>102.1</v>
      </c>
      <c r="O1973" s="116">
        <v>97.85</v>
      </c>
      <c r="P1973" s="116">
        <v>98.3</v>
      </c>
      <c r="Q1973" s="116">
        <v>98.75</v>
      </c>
      <c r="R1973">
        <v>2768648</v>
      </c>
    </row>
    <row r="1974" spans="1:18" x14ac:dyDescent="0.25">
      <c r="A1974" s="170">
        <v>44910</v>
      </c>
      <c r="B1974" s="116">
        <v>101.6</v>
      </c>
      <c r="C1974" s="116">
        <v>98.7</v>
      </c>
      <c r="D1974" s="116">
        <v>98.35</v>
      </c>
      <c r="E1974" s="116">
        <v>99</v>
      </c>
      <c r="F1974" s="116">
        <v>98.7</v>
      </c>
      <c r="G1974">
        <v>580717</v>
      </c>
      <c r="H1974" s="116"/>
      <c r="I1974" s="116"/>
      <c r="L1974" s="170">
        <v>44910</v>
      </c>
      <c r="M1974" s="116">
        <v>98.7</v>
      </c>
      <c r="N1974" s="116">
        <v>101.7</v>
      </c>
      <c r="O1974" s="116">
        <v>98.35</v>
      </c>
      <c r="P1974" s="116">
        <v>99.25</v>
      </c>
      <c r="Q1974" s="116">
        <v>98.7</v>
      </c>
      <c r="R1974">
        <v>3325838</v>
      </c>
    </row>
    <row r="1975" spans="1:18" x14ac:dyDescent="0.25">
      <c r="A1975" s="170">
        <v>44911</v>
      </c>
      <c r="B1975" s="116">
        <v>99.3</v>
      </c>
      <c r="C1975" s="116">
        <v>98.05</v>
      </c>
      <c r="D1975" s="116">
        <v>97.5</v>
      </c>
      <c r="E1975" s="116">
        <v>98.55</v>
      </c>
      <c r="F1975" s="116">
        <v>98.05</v>
      </c>
      <c r="G1975">
        <v>401219</v>
      </c>
      <c r="H1975" s="116"/>
      <c r="I1975" s="116"/>
      <c r="L1975" s="170">
        <v>44911</v>
      </c>
      <c r="M1975" s="116">
        <v>97.85</v>
      </c>
      <c r="N1975" s="116">
        <v>99.35</v>
      </c>
      <c r="O1975" s="116">
        <v>97.25</v>
      </c>
      <c r="P1975" s="116">
        <v>98.65</v>
      </c>
      <c r="Q1975" s="116">
        <v>97.85</v>
      </c>
      <c r="R1975">
        <v>1583091</v>
      </c>
    </row>
    <row r="1976" spans="1:18" x14ac:dyDescent="0.25">
      <c r="A1976" s="170">
        <v>44914</v>
      </c>
      <c r="B1976" s="116">
        <v>98.5</v>
      </c>
      <c r="C1976" s="116">
        <v>95.05</v>
      </c>
      <c r="D1976" s="116">
        <v>94.5</v>
      </c>
      <c r="E1976" s="116">
        <v>97.55</v>
      </c>
      <c r="F1976" s="116">
        <v>95.05</v>
      </c>
      <c r="G1976">
        <v>626911</v>
      </c>
      <c r="H1976" s="116"/>
      <c r="I1976" s="116"/>
      <c r="L1976" s="170">
        <v>44914</v>
      </c>
      <c r="M1976" s="116">
        <v>95.05</v>
      </c>
      <c r="N1976" s="116">
        <v>98.25</v>
      </c>
      <c r="O1976" s="116">
        <v>94.55</v>
      </c>
      <c r="P1976" s="116">
        <v>98.05</v>
      </c>
      <c r="Q1976" s="116">
        <v>95.05</v>
      </c>
      <c r="R1976">
        <v>2924250</v>
      </c>
    </row>
    <row r="1977" spans="1:18" x14ac:dyDescent="0.25">
      <c r="A1977" s="170">
        <v>44915</v>
      </c>
      <c r="B1977" s="116">
        <v>96.75</v>
      </c>
      <c r="C1977" s="116">
        <v>93.85</v>
      </c>
      <c r="D1977" s="116">
        <v>93.55</v>
      </c>
      <c r="E1977" s="116">
        <v>96.75</v>
      </c>
      <c r="F1977" s="116">
        <v>93.85</v>
      </c>
      <c r="G1977">
        <v>413977</v>
      </c>
      <c r="H1977" s="116"/>
      <c r="I1977" s="116"/>
      <c r="L1977" s="170">
        <v>44915</v>
      </c>
      <c r="M1977" s="116">
        <v>93.85</v>
      </c>
      <c r="N1977" s="116">
        <v>96.45</v>
      </c>
      <c r="O1977" s="116">
        <v>93.5</v>
      </c>
      <c r="P1977" s="116">
        <v>96.05</v>
      </c>
      <c r="Q1977" s="116">
        <v>93.85</v>
      </c>
      <c r="R1977">
        <v>1547128</v>
      </c>
    </row>
    <row r="1978" spans="1:18" x14ac:dyDescent="0.25">
      <c r="A1978" s="170">
        <v>44916</v>
      </c>
      <c r="B1978" s="116">
        <v>95.75</v>
      </c>
      <c r="C1978" s="116">
        <v>91.8</v>
      </c>
      <c r="D1978" s="116">
        <v>91.15</v>
      </c>
      <c r="E1978" s="116">
        <v>94.2</v>
      </c>
      <c r="F1978" s="116">
        <v>91.8</v>
      </c>
      <c r="G1978">
        <v>587501</v>
      </c>
      <c r="H1978" s="116"/>
      <c r="I1978" s="116"/>
      <c r="L1978" s="170">
        <v>44916</v>
      </c>
      <c r="M1978" s="116">
        <v>91.85</v>
      </c>
      <c r="N1978" s="116">
        <v>95.85</v>
      </c>
      <c r="O1978" s="116">
        <v>91.05</v>
      </c>
      <c r="P1978" s="116">
        <v>94.5</v>
      </c>
      <c r="Q1978" s="116">
        <v>91.85</v>
      </c>
      <c r="R1978">
        <v>1730726</v>
      </c>
    </row>
    <row r="1979" spans="1:18" x14ac:dyDescent="0.25">
      <c r="A1979" s="170">
        <v>44917</v>
      </c>
      <c r="B1979" s="116">
        <v>93.15</v>
      </c>
      <c r="C1979" s="116">
        <v>87.25</v>
      </c>
      <c r="D1979" s="116">
        <v>87.25</v>
      </c>
      <c r="E1979" s="116">
        <v>91.5</v>
      </c>
      <c r="F1979" s="116">
        <v>87.25</v>
      </c>
      <c r="G1979">
        <v>923656</v>
      </c>
      <c r="H1979" s="116"/>
      <c r="I1979" s="116"/>
      <c r="L1979" s="170">
        <v>44917</v>
      </c>
      <c r="M1979" s="116">
        <v>87.3</v>
      </c>
      <c r="N1979" s="116">
        <v>93.3</v>
      </c>
      <c r="O1979" s="116">
        <v>87.3</v>
      </c>
      <c r="P1979" s="116">
        <v>91.9</v>
      </c>
      <c r="Q1979" s="116">
        <v>87.3</v>
      </c>
      <c r="R1979">
        <v>4808221</v>
      </c>
    </row>
    <row r="1980" spans="1:18" x14ac:dyDescent="0.25">
      <c r="A1980" s="170">
        <v>44918</v>
      </c>
      <c r="B1980" s="116">
        <v>84.8</v>
      </c>
      <c r="C1980" s="116">
        <v>82.9</v>
      </c>
      <c r="D1980" s="116">
        <v>82.9</v>
      </c>
      <c r="E1980" s="116">
        <v>84.45</v>
      </c>
      <c r="F1980" s="116">
        <v>82.9</v>
      </c>
      <c r="G1980">
        <v>547816</v>
      </c>
      <c r="H1980" s="116"/>
      <c r="I1980" s="116"/>
      <c r="L1980" s="170">
        <v>44918</v>
      </c>
      <c r="M1980" s="116">
        <v>82.95</v>
      </c>
      <c r="N1980" s="116">
        <v>84.7</v>
      </c>
      <c r="O1980" s="116">
        <v>82.95</v>
      </c>
      <c r="P1980" s="116">
        <v>84.7</v>
      </c>
      <c r="Q1980" s="116">
        <v>82.95</v>
      </c>
      <c r="R1980">
        <v>3102789</v>
      </c>
    </row>
    <row r="1981" spans="1:18" x14ac:dyDescent="0.25">
      <c r="A1981" s="170">
        <v>44921</v>
      </c>
      <c r="B1981" s="116">
        <v>87</v>
      </c>
      <c r="C1981" s="116">
        <v>83.15</v>
      </c>
      <c r="D1981" s="116">
        <v>78.8</v>
      </c>
      <c r="E1981" s="116">
        <v>79.099999999999994</v>
      </c>
      <c r="F1981" s="116">
        <v>83.15</v>
      </c>
      <c r="G1981">
        <v>1069077</v>
      </c>
      <c r="H1981" s="116"/>
      <c r="I1981" s="116"/>
      <c r="L1981" s="170">
        <v>44921</v>
      </c>
      <c r="M1981" s="116">
        <v>83.15</v>
      </c>
      <c r="N1981" s="116">
        <v>87</v>
      </c>
      <c r="O1981" s="116">
        <v>78.849999999999994</v>
      </c>
      <c r="P1981" s="116">
        <v>80</v>
      </c>
      <c r="Q1981" s="116">
        <v>83.15</v>
      </c>
      <c r="R1981">
        <v>6762105</v>
      </c>
    </row>
    <row r="1982" spans="1:18" x14ac:dyDescent="0.25">
      <c r="A1982" s="170">
        <v>44922</v>
      </c>
      <c r="B1982" s="116">
        <v>87.3</v>
      </c>
      <c r="C1982" s="116">
        <v>87.3</v>
      </c>
      <c r="D1982" s="116">
        <v>83.75</v>
      </c>
      <c r="E1982" s="116">
        <v>86</v>
      </c>
      <c r="F1982" s="116">
        <v>87.3</v>
      </c>
      <c r="G1982">
        <v>530025</v>
      </c>
      <c r="H1982" s="116"/>
      <c r="I1982" s="116"/>
      <c r="L1982" s="170">
        <v>44922</v>
      </c>
      <c r="M1982" s="116">
        <v>87.3</v>
      </c>
      <c r="N1982" s="116">
        <v>87.3</v>
      </c>
      <c r="O1982" s="116">
        <v>83.65</v>
      </c>
      <c r="P1982" s="116">
        <v>85.8</v>
      </c>
      <c r="Q1982" s="116">
        <v>87.3</v>
      </c>
      <c r="R1982">
        <v>2077068</v>
      </c>
    </row>
    <row r="1983" spans="1:18" x14ac:dyDescent="0.25">
      <c r="A1983" s="170">
        <v>44923</v>
      </c>
      <c r="B1983" s="116">
        <v>91.65</v>
      </c>
      <c r="C1983" s="116">
        <v>91.65</v>
      </c>
      <c r="D1983" s="116">
        <v>89.4</v>
      </c>
      <c r="E1983" s="116">
        <v>89.8</v>
      </c>
      <c r="F1983" s="116">
        <v>91.65</v>
      </c>
      <c r="G1983">
        <v>191775</v>
      </c>
      <c r="H1983" s="116"/>
      <c r="I1983" s="116"/>
      <c r="L1983" s="170">
        <v>44923</v>
      </c>
      <c r="M1983" s="116">
        <v>91.65</v>
      </c>
      <c r="N1983" s="116">
        <v>91.65</v>
      </c>
      <c r="O1983" s="116">
        <v>89.2</v>
      </c>
      <c r="P1983" s="116">
        <v>89.5</v>
      </c>
      <c r="Q1983" s="116">
        <v>91.65</v>
      </c>
      <c r="R1983">
        <v>1005878</v>
      </c>
    </row>
    <row r="1984" spans="1:18" x14ac:dyDescent="0.25">
      <c r="A1984" s="170">
        <v>44924</v>
      </c>
      <c r="B1984" s="116">
        <v>96.2</v>
      </c>
      <c r="C1984" s="116">
        <v>93.3</v>
      </c>
      <c r="D1984" s="116">
        <v>92</v>
      </c>
      <c r="E1984" s="116">
        <v>96.2</v>
      </c>
      <c r="F1984" s="116">
        <v>93.3</v>
      </c>
      <c r="G1984">
        <v>1579994</v>
      </c>
      <c r="H1984" s="116"/>
      <c r="I1984" s="116"/>
      <c r="L1984" s="170">
        <v>44924</v>
      </c>
      <c r="M1984" s="116">
        <v>93.25</v>
      </c>
      <c r="N1984" s="116">
        <v>96.2</v>
      </c>
      <c r="O1984" s="116">
        <v>92.05</v>
      </c>
      <c r="P1984" s="116">
        <v>96.2</v>
      </c>
      <c r="Q1984" s="116">
        <v>93.25</v>
      </c>
      <c r="R1984">
        <v>7946840</v>
      </c>
    </row>
    <row r="1985" spans="1:18" x14ac:dyDescent="0.25">
      <c r="A1985" s="170">
        <v>44925</v>
      </c>
      <c r="B1985" s="116">
        <v>95</v>
      </c>
      <c r="C1985" s="116">
        <v>92.7</v>
      </c>
      <c r="D1985" s="116">
        <v>92.45</v>
      </c>
      <c r="E1985" s="116">
        <v>95</v>
      </c>
      <c r="F1985" s="116">
        <v>92.7</v>
      </c>
      <c r="G1985">
        <v>371644</v>
      </c>
      <c r="H1985" s="116"/>
      <c r="I1985" s="116"/>
      <c r="L1985" s="170">
        <v>44925</v>
      </c>
      <c r="M1985" s="116">
        <v>92.75</v>
      </c>
      <c r="N1985" s="116">
        <v>94.85</v>
      </c>
      <c r="O1985" s="116">
        <v>92.5</v>
      </c>
      <c r="P1985" s="116">
        <v>94.45</v>
      </c>
      <c r="Q1985" s="116">
        <v>92.75</v>
      </c>
      <c r="R1985">
        <v>1245401</v>
      </c>
    </row>
    <row r="1986" spans="1:18" x14ac:dyDescent="0.25">
      <c r="A1986" s="170">
        <v>44928</v>
      </c>
      <c r="B1986" s="116">
        <v>93.65</v>
      </c>
      <c r="C1986" s="116">
        <v>91.8</v>
      </c>
      <c r="D1986" s="116">
        <v>91.2</v>
      </c>
      <c r="E1986" s="116">
        <v>92.7</v>
      </c>
      <c r="F1986" s="116">
        <v>91.8</v>
      </c>
      <c r="G1986">
        <v>177616</v>
      </c>
      <c r="H1986" s="116"/>
      <c r="I1986" s="116"/>
      <c r="L1986" s="170">
        <v>44928</v>
      </c>
      <c r="M1986" s="116">
        <v>91.8</v>
      </c>
      <c r="N1986" s="116">
        <v>93.8</v>
      </c>
      <c r="O1986" s="116">
        <v>91.15</v>
      </c>
      <c r="P1986" s="116">
        <v>92.85</v>
      </c>
      <c r="Q1986" s="116">
        <v>91.8</v>
      </c>
      <c r="R1986">
        <v>1453404</v>
      </c>
    </row>
    <row r="1987" spans="1:18" x14ac:dyDescent="0.25">
      <c r="A1987" s="170">
        <v>44929</v>
      </c>
      <c r="B1987" s="116">
        <v>93.6</v>
      </c>
      <c r="C1987" s="116">
        <v>91.7</v>
      </c>
      <c r="D1987" s="116">
        <v>91.15</v>
      </c>
      <c r="E1987" s="116">
        <v>91.15</v>
      </c>
      <c r="F1987" s="116">
        <v>91.7</v>
      </c>
      <c r="G1987">
        <v>165202</v>
      </c>
      <c r="H1987" s="116"/>
      <c r="I1987" s="116"/>
      <c r="L1987" s="170">
        <v>44929</v>
      </c>
      <c r="M1987" s="116">
        <v>91.65</v>
      </c>
      <c r="N1987" s="116">
        <v>93.6</v>
      </c>
      <c r="O1987" s="116">
        <v>91.15</v>
      </c>
      <c r="P1987" s="116">
        <v>91.8</v>
      </c>
      <c r="Q1987" s="116">
        <v>91.65</v>
      </c>
      <c r="R1987">
        <v>1176762</v>
      </c>
    </row>
    <row r="1988" spans="1:18" x14ac:dyDescent="0.25">
      <c r="A1988" s="170">
        <v>44930</v>
      </c>
      <c r="B1988" s="116">
        <v>92.2</v>
      </c>
      <c r="C1988" s="116">
        <v>89.65</v>
      </c>
      <c r="D1988" s="116">
        <v>89.4</v>
      </c>
      <c r="E1988" s="116">
        <v>92.2</v>
      </c>
      <c r="F1988" s="116">
        <v>89.65</v>
      </c>
      <c r="G1988">
        <v>305476</v>
      </c>
      <c r="H1988" s="116"/>
      <c r="I1988" s="116"/>
      <c r="L1988" s="170">
        <v>44930</v>
      </c>
      <c r="M1988" s="116">
        <v>89.65</v>
      </c>
      <c r="N1988" s="116">
        <v>92</v>
      </c>
      <c r="O1988" s="116">
        <v>89.45</v>
      </c>
      <c r="P1988" s="116">
        <v>92</v>
      </c>
      <c r="Q1988" s="116">
        <v>89.65</v>
      </c>
      <c r="R1988">
        <v>969518</v>
      </c>
    </row>
    <row r="1989" spans="1:18" x14ac:dyDescent="0.25">
      <c r="A1989" s="170">
        <v>44931</v>
      </c>
      <c r="B1989" s="116">
        <v>90.5</v>
      </c>
      <c r="C1989" s="116">
        <v>88.55</v>
      </c>
      <c r="D1989" s="116">
        <v>87.9</v>
      </c>
      <c r="E1989" s="116">
        <v>89.55</v>
      </c>
      <c r="F1989" s="116">
        <v>88.55</v>
      </c>
      <c r="G1989">
        <v>307074</v>
      </c>
      <c r="H1989" s="116"/>
      <c r="I1989" s="116"/>
      <c r="L1989" s="170">
        <v>44931</v>
      </c>
      <c r="M1989" s="116">
        <v>88.9</v>
      </c>
      <c r="N1989" s="116">
        <v>90.4</v>
      </c>
      <c r="O1989" s="116">
        <v>87.85</v>
      </c>
      <c r="P1989" s="116">
        <v>89.8</v>
      </c>
      <c r="Q1989" s="116">
        <v>88.9</v>
      </c>
      <c r="R1989">
        <v>953353</v>
      </c>
    </row>
    <row r="1990" spans="1:18" x14ac:dyDescent="0.25">
      <c r="A1990" s="170">
        <v>44932</v>
      </c>
      <c r="B1990" s="116">
        <v>89.35</v>
      </c>
      <c r="C1990" s="116">
        <v>87.35</v>
      </c>
      <c r="D1990" s="116">
        <v>86.65</v>
      </c>
      <c r="E1990" s="116">
        <v>89.15</v>
      </c>
      <c r="F1990" s="116">
        <v>87.35</v>
      </c>
      <c r="G1990">
        <v>167995</v>
      </c>
      <c r="H1990" s="116"/>
      <c r="I1990" s="116"/>
      <c r="L1990" s="170">
        <v>44932</v>
      </c>
      <c r="M1990" s="116">
        <v>87.3</v>
      </c>
      <c r="N1990" s="116">
        <v>89.45</v>
      </c>
      <c r="O1990" s="116">
        <v>86.5</v>
      </c>
      <c r="P1990" s="116">
        <v>89.45</v>
      </c>
      <c r="Q1990" s="116">
        <v>87.3</v>
      </c>
      <c r="R1990">
        <v>1320023</v>
      </c>
    </row>
    <row r="1991" spans="1:18" x14ac:dyDescent="0.25">
      <c r="A1991" s="170">
        <v>44935</v>
      </c>
      <c r="B1991" s="116">
        <v>88.8</v>
      </c>
      <c r="C1991" s="116">
        <v>86.55</v>
      </c>
      <c r="D1991" s="116">
        <v>85.95</v>
      </c>
      <c r="E1991" s="116">
        <v>88.3</v>
      </c>
      <c r="F1991" s="116">
        <v>86.55</v>
      </c>
      <c r="G1991">
        <v>316840</v>
      </c>
      <c r="H1991" s="116"/>
      <c r="I1991" s="116"/>
      <c r="L1991" s="170">
        <v>44935</v>
      </c>
      <c r="M1991" s="116">
        <v>86.55</v>
      </c>
      <c r="N1991" s="116">
        <v>88.8</v>
      </c>
      <c r="O1991" s="116">
        <v>86</v>
      </c>
      <c r="P1991" s="116">
        <v>88</v>
      </c>
      <c r="Q1991" s="116">
        <v>86.55</v>
      </c>
      <c r="R1991">
        <v>1077246</v>
      </c>
    </row>
    <row r="1992" spans="1:18" x14ac:dyDescent="0.25">
      <c r="A1992" s="170">
        <v>44936</v>
      </c>
      <c r="B1992" s="116">
        <v>88.1</v>
      </c>
      <c r="C1992" s="116">
        <v>86.5</v>
      </c>
      <c r="D1992" s="116">
        <v>85.15</v>
      </c>
      <c r="E1992" s="116">
        <v>86.55</v>
      </c>
      <c r="F1992" s="116">
        <v>86.5</v>
      </c>
      <c r="G1992">
        <v>362628</v>
      </c>
      <c r="H1992" s="116"/>
      <c r="I1992" s="116"/>
      <c r="L1992" s="170">
        <v>44936</v>
      </c>
      <c r="M1992" s="116">
        <v>86.55</v>
      </c>
      <c r="N1992" s="116">
        <v>88.2</v>
      </c>
      <c r="O1992" s="116">
        <v>85.2</v>
      </c>
      <c r="P1992" s="116">
        <v>87</v>
      </c>
      <c r="Q1992" s="116">
        <v>86.55</v>
      </c>
      <c r="R1992">
        <v>1479568</v>
      </c>
    </row>
    <row r="1993" spans="1:18" x14ac:dyDescent="0.25">
      <c r="A1993" s="170">
        <v>44937</v>
      </c>
      <c r="B1993" s="116">
        <v>87.85</v>
      </c>
      <c r="C1993" s="116">
        <v>85.55</v>
      </c>
      <c r="D1993" s="116">
        <v>85.25</v>
      </c>
      <c r="E1993" s="116">
        <v>85.9</v>
      </c>
      <c r="F1993" s="116">
        <v>85.55</v>
      </c>
      <c r="G1993">
        <v>150208</v>
      </c>
      <c r="H1993" s="116"/>
      <c r="I1993" s="116"/>
      <c r="L1993" s="170">
        <v>44937</v>
      </c>
      <c r="M1993" s="116">
        <v>85.55</v>
      </c>
      <c r="N1993" s="116">
        <v>87.8</v>
      </c>
      <c r="O1993" s="116">
        <v>85.3</v>
      </c>
      <c r="P1993" s="116">
        <v>86.5</v>
      </c>
      <c r="Q1993" s="116">
        <v>85.55</v>
      </c>
      <c r="R1993">
        <v>1120866</v>
      </c>
    </row>
    <row r="1994" spans="1:18" x14ac:dyDescent="0.25">
      <c r="A1994" s="170">
        <v>44938</v>
      </c>
      <c r="B1994" s="116">
        <v>86.1</v>
      </c>
      <c r="C1994" s="116">
        <v>85</v>
      </c>
      <c r="D1994" s="116">
        <v>84.85</v>
      </c>
      <c r="E1994" s="116">
        <v>85.55</v>
      </c>
      <c r="F1994" s="116">
        <v>85</v>
      </c>
      <c r="G1994">
        <v>218291</v>
      </c>
      <c r="H1994" s="116"/>
      <c r="I1994" s="116"/>
      <c r="L1994" s="170">
        <v>44938</v>
      </c>
      <c r="M1994" s="116">
        <v>85.05</v>
      </c>
      <c r="N1994" s="116">
        <v>86.15</v>
      </c>
      <c r="O1994" s="116">
        <v>84.85</v>
      </c>
      <c r="P1994" s="116">
        <v>85.55</v>
      </c>
      <c r="Q1994" s="116">
        <v>85.05</v>
      </c>
      <c r="R1994">
        <v>801554</v>
      </c>
    </row>
    <row r="1995" spans="1:18" x14ac:dyDescent="0.25">
      <c r="A1995" s="170">
        <v>44939</v>
      </c>
      <c r="B1995" s="116">
        <v>86.85</v>
      </c>
      <c r="C1995" s="116">
        <v>85.25</v>
      </c>
      <c r="D1995" s="116">
        <v>84.85</v>
      </c>
      <c r="E1995" s="116">
        <v>85</v>
      </c>
      <c r="F1995" s="116">
        <v>85.25</v>
      </c>
      <c r="G1995">
        <v>142881</v>
      </c>
      <c r="H1995" s="116"/>
      <c r="I1995" s="116"/>
      <c r="L1995" s="170">
        <v>44939</v>
      </c>
      <c r="M1995" s="116">
        <v>85.3</v>
      </c>
      <c r="N1995" s="116">
        <v>87</v>
      </c>
      <c r="O1995" s="116">
        <v>84.95</v>
      </c>
      <c r="P1995" s="116">
        <v>84.95</v>
      </c>
      <c r="Q1995" s="116">
        <v>85.3</v>
      </c>
      <c r="R1995">
        <v>1131121</v>
      </c>
    </row>
    <row r="1996" spans="1:18" x14ac:dyDescent="0.25">
      <c r="A1996" s="170">
        <v>44942</v>
      </c>
      <c r="B1996" s="116">
        <v>85.9</v>
      </c>
      <c r="C1996" s="116">
        <v>84.55</v>
      </c>
      <c r="D1996" s="116">
        <v>84.4</v>
      </c>
      <c r="E1996" s="116">
        <v>85.35</v>
      </c>
      <c r="F1996" s="116">
        <v>84.55</v>
      </c>
      <c r="G1996">
        <v>93413</v>
      </c>
      <c r="H1996" s="116"/>
      <c r="I1996" s="116"/>
      <c r="L1996" s="170">
        <v>44942</v>
      </c>
      <c r="M1996" s="116">
        <v>84.5</v>
      </c>
      <c r="N1996" s="116">
        <v>85.85</v>
      </c>
      <c r="O1996" s="116">
        <v>84.4</v>
      </c>
      <c r="P1996" s="116">
        <v>85.8</v>
      </c>
      <c r="Q1996" s="116">
        <v>84.5</v>
      </c>
      <c r="R1996">
        <v>955572</v>
      </c>
    </row>
    <row r="1997" spans="1:18" x14ac:dyDescent="0.25">
      <c r="A1997" s="170">
        <v>44943</v>
      </c>
      <c r="B1997" s="116">
        <v>84.75</v>
      </c>
      <c r="C1997" s="116">
        <v>83.3</v>
      </c>
      <c r="D1997" s="116">
        <v>82.5</v>
      </c>
      <c r="E1997" s="116">
        <v>84.55</v>
      </c>
      <c r="F1997" s="116">
        <v>83.3</v>
      </c>
      <c r="G1997">
        <v>274072</v>
      </c>
      <c r="H1997" s="116"/>
      <c r="I1997" s="116"/>
      <c r="L1997" s="170">
        <v>44943</v>
      </c>
      <c r="M1997" s="116">
        <v>83.25</v>
      </c>
      <c r="N1997" s="116">
        <v>84.7</v>
      </c>
      <c r="O1997" s="116">
        <v>82.45</v>
      </c>
      <c r="P1997" s="116">
        <v>84.45</v>
      </c>
      <c r="Q1997" s="116">
        <v>83.25</v>
      </c>
      <c r="R1997">
        <v>1040811</v>
      </c>
    </row>
    <row r="1998" spans="1:18" x14ac:dyDescent="0.25">
      <c r="A1998" s="170">
        <v>44944</v>
      </c>
      <c r="B1998" s="116">
        <v>87.45</v>
      </c>
      <c r="C1998" s="116">
        <v>87.45</v>
      </c>
      <c r="D1998" s="116">
        <v>82.3</v>
      </c>
      <c r="E1998" s="116">
        <v>83.25</v>
      </c>
      <c r="F1998" s="116">
        <v>87.45</v>
      </c>
      <c r="G1998">
        <v>1159796</v>
      </c>
      <c r="H1998" s="116"/>
      <c r="I1998" s="116"/>
      <c r="L1998" s="170">
        <v>44944</v>
      </c>
      <c r="M1998" s="116">
        <v>87.4</v>
      </c>
      <c r="N1998" s="116">
        <v>87.4</v>
      </c>
      <c r="O1998" s="116">
        <v>82.15</v>
      </c>
      <c r="P1998" s="116">
        <v>82.8</v>
      </c>
      <c r="Q1998" s="116">
        <v>87.4</v>
      </c>
      <c r="R1998">
        <v>4160533</v>
      </c>
    </row>
    <row r="1999" spans="1:18" x14ac:dyDescent="0.25">
      <c r="A1999" s="170">
        <v>44945</v>
      </c>
      <c r="B1999" s="116">
        <v>89.4</v>
      </c>
      <c r="C1999" s="116">
        <v>86.35</v>
      </c>
      <c r="D1999" s="116">
        <v>86</v>
      </c>
      <c r="E1999" s="116">
        <v>87.9</v>
      </c>
      <c r="F1999" s="116">
        <v>86.35</v>
      </c>
      <c r="G1999">
        <v>485952</v>
      </c>
      <c r="H1999" s="116"/>
      <c r="I1999" s="116"/>
      <c r="L1999" s="170">
        <v>44945</v>
      </c>
      <c r="M1999" s="116">
        <v>86.3</v>
      </c>
      <c r="N1999" s="116">
        <v>89.4</v>
      </c>
      <c r="O1999" s="116">
        <v>86</v>
      </c>
      <c r="P1999" s="116">
        <v>87.4</v>
      </c>
      <c r="Q1999" s="116">
        <v>86.3</v>
      </c>
      <c r="R1999">
        <v>1633024</v>
      </c>
    </row>
    <row r="2000" spans="1:18" x14ac:dyDescent="0.25">
      <c r="A2000" s="170">
        <v>44946</v>
      </c>
      <c r="B2000" s="116">
        <v>87</v>
      </c>
      <c r="C2000" s="116">
        <v>84.65</v>
      </c>
      <c r="D2000" s="116">
        <v>84.5</v>
      </c>
      <c r="E2000" s="116">
        <v>87</v>
      </c>
      <c r="F2000" s="116">
        <v>84.65</v>
      </c>
      <c r="G2000">
        <v>216729</v>
      </c>
      <c r="H2000" s="116"/>
      <c r="I2000" s="116"/>
      <c r="L2000" s="170">
        <v>44946</v>
      </c>
      <c r="M2000" s="116">
        <v>84.65</v>
      </c>
      <c r="N2000" s="116">
        <v>87.2</v>
      </c>
      <c r="O2000" s="116">
        <v>84.5</v>
      </c>
      <c r="P2000" s="116">
        <v>87.2</v>
      </c>
      <c r="Q2000" s="116">
        <v>84.65</v>
      </c>
      <c r="R2000">
        <v>686063</v>
      </c>
    </row>
    <row r="2001" spans="1:18" x14ac:dyDescent="0.25">
      <c r="A2001" s="170">
        <v>44949</v>
      </c>
      <c r="B2001" s="116">
        <v>85.5</v>
      </c>
      <c r="C2001" s="116">
        <v>83</v>
      </c>
      <c r="D2001" s="116">
        <v>82.5</v>
      </c>
      <c r="E2001" s="116">
        <v>85.2</v>
      </c>
      <c r="F2001" s="116">
        <v>83</v>
      </c>
      <c r="G2001">
        <v>258307</v>
      </c>
      <c r="H2001" s="116"/>
      <c r="I2001" s="116"/>
      <c r="L2001" s="170">
        <v>44949</v>
      </c>
      <c r="M2001" s="116">
        <v>83</v>
      </c>
      <c r="N2001" s="116">
        <v>85.6</v>
      </c>
      <c r="O2001" s="116">
        <v>82.3</v>
      </c>
      <c r="P2001" s="116">
        <v>85.5</v>
      </c>
      <c r="Q2001" s="116">
        <v>83</v>
      </c>
      <c r="R2001">
        <v>967078</v>
      </c>
    </row>
    <row r="2002" spans="1:18" x14ac:dyDescent="0.25">
      <c r="A2002" s="170">
        <v>44950</v>
      </c>
      <c r="B2002" s="116">
        <v>83.95</v>
      </c>
      <c r="C2002" s="116">
        <v>82.9</v>
      </c>
      <c r="D2002" s="116">
        <v>82.7</v>
      </c>
      <c r="E2002" s="116">
        <v>83.25</v>
      </c>
      <c r="F2002" s="116">
        <v>82.9</v>
      </c>
      <c r="G2002">
        <v>194061</v>
      </c>
      <c r="H2002" s="116"/>
      <c r="I2002" s="116"/>
      <c r="L2002" s="170">
        <v>44950</v>
      </c>
      <c r="M2002" s="116">
        <v>82.9</v>
      </c>
      <c r="N2002" s="116">
        <v>83.95</v>
      </c>
      <c r="O2002" s="116">
        <v>82.7</v>
      </c>
      <c r="P2002" s="116">
        <v>83.75</v>
      </c>
      <c r="Q2002" s="116">
        <v>82.9</v>
      </c>
      <c r="R2002">
        <v>747563</v>
      </c>
    </row>
    <row r="2003" spans="1:18" x14ac:dyDescent="0.25">
      <c r="A2003" s="170">
        <v>44951</v>
      </c>
      <c r="B2003" s="116">
        <v>82.9</v>
      </c>
      <c r="C2003" s="116">
        <v>81.150000000000006</v>
      </c>
      <c r="D2003" s="116">
        <v>79.8</v>
      </c>
      <c r="E2003" s="116">
        <v>82.3</v>
      </c>
      <c r="F2003" s="116">
        <v>81.150000000000006</v>
      </c>
      <c r="G2003">
        <v>413216</v>
      </c>
      <c r="H2003" s="116"/>
      <c r="I2003" s="116"/>
      <c r="L2003" s="170">
        <v>44951</v>
      </c>
      <c r="M2003" s="116">
        <v>81.099999999999994</v>
      </c>
      <c r="N2003" s="116">
        <v>82.85</v>
      </c>
      <c r="O2003" s="116">
        <v>79.7</v>
      </c>
      <c r="P2003" s="116">
        <v>82.85</v>
      </c>
      <c r="Q2003" s="116">
        <v>81.099999999999994</v>
      </c>
      <c r="R2003">
        <v>1365359</v>
      </c>
    </row>
    <row r="2004" spans="1:18" x14ac:dyDescent="0.25">
      <c r="A2004" s="170">
        <v>44953</v>
      </c>
      <c r="B2004" s="116">
        <v>81.099999999999994</v>
      </c>
      <c r="C2004" s="116">
        <v>77.75</v>
      </c>
      <c r="D2004" s="116">
        <v>77.099999999999994</v>
      </c>
      <c r="E2004" s="116">
        <v>80.599999999999994</v>
      </c>
      <c r="F2004" s="116">
        <v>77.75</v>
      </c>
      <c r="G2004">
        <v>771371</v>
      </c>
      <c r="H2004" s="116"/>
      <c r="I2004" s="116"/>
      <c r="L2004" s="170">
        <v>44953</v>
      </c>
      <c r="M2004" s="116">
        <v>77.650000000000006</v>
      </c>
      <c r="N2004" s="116">
        <v>81.150000000000006</v>
      </c>
      <c r="O2004" s="116">
        <v>77.05</v>
      </c>
      <c r="P2004" s="116">
        <v>81</v>
      </c>
      <c r="Q2004" s="116">
        <v>77.650000000000006</v>
      </c>
      <c r="R2004">
        <v>2134434</v>
      </c>
    </row>
    <row r="2005" spans="1:18" x14ac:dyDescent="0.25">
      <c r="A2005" s="170">
        <v>44956</v>
      </c>
      <c r="B2005" s="116">
        <v>79.75</v>
      </c>
      <c r="C2005" s="116">
        <v>75.599999999999994</v>
      </c>
      <c r="D2005" s="116">
        <v>75</v>
      </c>
      <c r="E2005" s="116">
        <v>76.2</v>
      </c>
      <c r="F2005" s="116">
        <v>75.599999999999994</v>
      </c>
      <c r="G2005">
        <v>565937</v>
      </c>
      <c r="H2005" s="116"/>
      <c r="I2005" s="116"/>
      <c r="L2005" s="170">
        <v>44956</v>
      </c>
      <c r="M2005" s="116">
        <v>75.5</v>
      </c>
      <c r="N2005" s="116">
        <v>79.75</v>
      </c>
      <c r="O2005" s="116">
        <v>75</v>
      </c>
      <c r="P2005" s="116">
        <v>77.75</v>
      </c>
      <c r="Q2005" s="116">
        <v>75.5</v>
      </c>
      <c r="R2005">
        <v>1480899</v>
      </c>
    </row>
    <row r="2006" spans="1:18" x14ac:dyDescent="0.25">
      <c r="A2006" s="170">
        <v>44957</v>
      </c>
      <c r="B2006" s="116">
        <v>79.349999999999994</v>
      </c>
      <c r="C2006" s="116">
        <v>79.349999999999994</v>
      </c>
      <c r="D2006" s="116">
        <v>73.5</v>
      </c>
      <c r="E2006" s="116">
        <v>73.8</v>
      </c>
      <c r="F2006" s="116">
        <v>79.349999999999994</v>
      </c>
      <c r="G2006">
        <v>527450</v>
      </c>
      <c r="H2006" s="116"/>
      <c r="I2006" s="116"/>
      <c r="L2006" s="170">
        <v>44957</v>
      </c>
      <c r="M2006" s="116">
        <v>79.25</v>
      </c>
      <c r="N2006" s="116">
        <v>79.25</v>
      </c>
      <c r="O2006" s="116">
        <v>73</v>
      </c>
      <c r="P2006" s="116">
        <v>73</v>
      </c>
      <c r="Q2006" s="116">
        <v>79.25</v>
      </c>
      <c r="R2006">
        <v>1918856</v>
      </c>
    </row>
    <row r="2007" spans="1:18" x14ac:dyDescent="0.25">
      <c r="A2007" s="170">
        <v>44958</v>
      </c>
      <c r="B2007" s="116">
        <v>83.3</v>
      </c>
      <c r="C2007" s="116">
        <v>80.05</v>
      </c>
      <c r="D2007" s="116">
        <v>77.150000000000006</v>
      </c>
      <c r="E2007" s="116">
        <v>81.3</v>
      </c>
      <c r="F2007" s="116">
        <v>80.05</v>
      </c>
      <c r="G2007">
        <v>1166651</v>
      </c>
      <c r="H2007" s="116"/>
      <c r="I2007" s="116"/>
      <c r="L2007" s="170">
        <v>44958</v>
      </c>
      <c r="M2007" s="116">
        <v>80.2</v>
      </c>
      <c r="N2007" s="116">
        <v>83.2</v>
      </c>
      <c r="O2007" s="116">
        <v>77.099999999999994</v>
      </c>
      <c r="P2007" s="116">
        <v>80.849999999999994</v>
      </c>
      <c r="Q2007" s="116">
        <v>80.2</v>
      </c>
      <c r="R2007">
        <v>3490144</v>
      </c>
    </row>
    <row r="2008" spans="1:18" x14ac:dyDescent="0.25">
      <c r="A2008" s="170">
        <v>44959</v>
      </c>
      <c r="B2008" s="116">
        <v>82.45</v>
      </c>
      <c r="C2008" s="116">
        <v>77.349999999999994</v>
      </c>
      <c r="D2008" s="116">
        <v>76.8</v>
      </c>
      <c r="E2008" s="116">
        <v>80.25</v>
      </c>
      <c r="F2008" s="116">
        <v>77.349999999999994</v>
      </c>
      <c r="G2008">
        <v>394619</v>
      </c>
      <c r="H2008" s="116"/>
      <c r="I2008" s="116"/>
      <c r="L2008" s="170">
        <v>44959</v>
      </c>
      <c r="M2008" s="116">
        <v>77.45</v>
      </c>
      <c r="N2008" s="116">
        <v>82.4</v>
      </c>
      <c r="O2008" s="116">
        <v>77</v>
      </c>
      <c r="P2008" s="116">
        <v>81</v>
      </c>
      <c r="Q2008" s="116">
        <v>77.45</v>
      </c>
      <c r="R2008">
        <v>1758997</v>
      </c>
    </row>
    <row r="2009" spans="1:18" x14ac:dyDescent="0.25">
      <c r="A2009" s="170">
        <v>44960</v>
      </c>
      <c r="B2009" s="116">
        <v>78.5</v>
      </c>
      <c r="C2009" s="116">
        <v>77.5</v>
      </c>
      <c r="D2009" s="116">
        <v>74.3</v>
      </c>
      <c r="E2009" s="116">
        <v>78.25</v>
      </c>
      <c r="F2009" s="116">
        <v>77.5</v>
      </c>
      <c r="G2009">
        <v>349066</v>
      </c>
      <c r="H2009" s="116"/>
      <c r="I2009" s="116"/>
      <c r="L2009" s="170">
        <v>44960</v>
      </c>
      <c r="M2009" s="116">
        <v>77.599999999999994</v>
      </c>
      <c r="N2009" s="116">
        <v>78.7</v>
      </c>
      <c r="O2009" s="116">
        <v>74.25</v>
      </c>
      <c r="P2009" s="116">
        <v>78.7</v>
      </c>
      <c r="Q2009" s="116">
        <v>77.599999999999994</v>
      </c>
      <c r="R2009">
        <v>2299957</v>
      </c>
    </row>
    <row r="2010" spans="1:18" x14ac:dyDescent="0.25">
      <c r="A2010" s="170">
        <v>44963</v>
      </c>
      <c r="B2010" s="116">
        <v>79.400000000000006</v>
      </c>
      <c r="C2010" s="116">
        <v>77.650000000000006</v>
      </c>
      <c r="D2010" s="116">
        <v>77.3</v>
      </c>
      <c r="E2010" s="116">
        <v>77.650000000000006</v>
      </c>
      <c r="F2010" s="116">
        <v>77.650000000000006</v>
      </c>
      <c r="G2010">
        <v>180801</v>
      </c>
      <c r="H2010" s="116"/>
      <c r="I2010" s="116"/>
      <c r="L2010" s="170">
        <v>44963</v>
      </c>
      <c r="M2010" s="116">
        <v>77.599999999999994</v>
      </c>
      <c r="N2010" s="116">
        <v>79.5</v>
      </c>
      <c r="O2010" s="116">
        <v>77.25</v>
      </c>
      <c r="P2010" s="116">
        <v>78</v>
      </c>
      <c r="Q2010" s="116">
        <v>77.599999999999994</v>
      </c>
      <c r="R2010">
        <v>1109737</v>
      </c>
    </row>
    <row r="2011" spans="1:18" x14ac:dyDescent="0.25">
      <c r="A2011" s="170">
        <v>44964</v>
      </c>
      <c r="B2011" s="116">
        <v>78.400000000000006</v>
      </c>
      <c r="C2011" s="116">
        <v>74.599999999999994</v>
      </c>
      <c r="D2011" s="116">
        <v>73.75</v>
      </c>
      <c r="E2011" s="116">
        <v>78.05</v>
      </c>
      <c r="F2011" s="116">
        <v>74.599999999999994</v>
      </c>
      <c r="G2011">
        <v>678124</v>
      </c>
      <c r="H2011" s="116"/>
      <c r="I2011" s="116"/>
      <c r="L2011" s="170">
        <v>44964</v>
      </c>
      <c r="M2011" s="116">
        <v>74.599999999999994</v>
      </c>
      <c r="N2011" s="116">
        <v>78.599999999999994</v>
      </c>
      <c r="O2011" s="116">
        <v>73</v>
      </c>
      <c r="P2011" s="116">
        <v>78.400000000000006</v>
      </c>
      <c r="Q2011" s="116">
        <v>74.599999999999994</v>
      </c>
      <c r="R2011">
        <v>2103218</v>
      </c>
    </row>
    <row r="2012" spans="1:18" x14ac:dyDescent="0.25">
      <c r="A2012" s="170">
        <v>44965</v>
      </c>
      <c r="B2012" s="116">
        <v>74.599999999999994</v>
      </c>
      <c r="C2012" s="116">
        <v>71.3</v>
      </c>
      <c r="D2012" s="116">
        <v>70.95</v>
      </c>
      <c r="E2012" s="116">
        <v>74.3</v>
      </c>
      <c r="F2012" s="116">
        <v>71.3</v>
      </c>
      <c r="G2012">
        <v>1173760</v>
      </c>
      <c r="H2012" s="116"/>
      <c r="I2012" s="116"/>
      <c r="L2012" s="170">
        <v>44965</v>
      </c>
      <c r="M2012" s="116">
        <v>71.25</v>
      </c>
      <c r="N2012" s="116">
        <v>74.75</v>
      </c>
      <c r="O2012" s="116">
        <v>70.8</v>
      </c>
      <c r="P2012" s="116">
        <v>74.55</v>
      </c>
      <c r="Q2012" s="116">
        <v>71.25</v>
      </c>
      <c r="R2012">
        <v>3348496</v>
      </c>
    </row>
    <row r="2013" spans="1:18" x14ac:dyDescent="0.25">
      <c r="A2013" s="170">
        <v>44966</v>
      </c>
      <c r="B2013" s="116">
        <v>73.45</v>
      </c>
      <c r="C2013" s="116">
        <v>69.25</v>
      </c>
      <c r="D2013" s="116">
        <v>68.75</v>
      </c>
      <c r="E2013" s="116">
        <v>70.900000000000006</v>
      </c>
      <c r="F2013" s="116">
        <v>69.25</v>
      </c>
      <c r="G2013">
        <v>1028400</v>
      </c>
      <c r="H2013" s="116"/>
      <c r="I2013" s="116"/>
      <c r="L2013" s="170">
        <v>44966</v>
      </c>
      <c r="M2013" s="116">
        <v>69.25</v>
      </c>
      <c r="N2013" s="116">
        <v>73.400000000000006</v>
      </c>
      <c r="O2013" s="116">
        <v>68.7</v>
      </c>
      <c r="P2013" s="116">
        <v>71.25</v>
      </c>
      <c r="Q2013" s="116">
        <v>69.25</v>
      </c>
      <c r="R2013">
        <v>3913139</v>
      </c>
    </row>
    <row r="2014" spans="1:18" x14ac:dyDescent="0.25">
      <c r="A2014" s="170">
        <v>44967</v>
      </c>
      <c r="B2014" s="116">
        <v>69.3</v>
      </c>
      <c r="C2014" s="116">
        <v>66.400000000000006</v>
      </c>
      <c r="D2014" s="116">
        <v>64.7</v>
      </c>
      <c r="E2014" s="116">
        <v>69.2</v>
      </c>
      <c r="F2014" s="116">
        <v>66.400000000000006</v>
      </c>
      <c r="G2014">
        <v>1653506</v>
      </c>
      <c r="H2014" s="116"/>
      <c r="I2014" s="116"/>
      <c r="L2014" s="170">
        <v>44967</v>
      </c>
      <c r="M2014" s="116">
        <v>66.400000000000006</v>
      </c>
      <c r="N2014" s="116">
        <v>70</v>
      </c>
      <c r="O2014" s="116">
        <v>64.7</v>
      </c>
      <c r="P2014" s="116">
        <v>69.05</v>
      </c>
      <c r="Q2014" s="116">
        <v>66.400000000000006</v>
      </c>
      <c r="R2014">
        <v>4975666</v>
      </c>
    </row>
    <row r="2015" spans="1:18" x14ac:dyDescent="0.25">
      <c r="A2015" s="170">
        <v>44970</v>
      </c>
      <c r="B2015" s="116">
        <v>72</v>
      </c>
      <c r="C2015" s="116">
        <v>69.8</v>
      </c>
      <c r="D2015" s="116">
        <v>64.8</v>
      </c>
      <c r="E2015" s="116">
        <v>65</v>
      </c>
      <c r="F2015" s="116">
        <v>69.8</v>
      </c>
      <c r="G2015">
        <v>1227102</v>
      </c>
      <c r="H2015" s="116"/>
      <c r="I2015" s="116"/>
      <c r="L2015" s="170">
        <v>44970</v>
      </c>
      <c r="M2015" s="116">
        <v>69.8</v>
      </c>
      <c r="N2015" s="116">
        <v>72.2</v>
      </c>
      <c r="O2015" s="116">
        <v>64.75</v>
      </c>
      <c r="P2015" s="116">
        <v>64.8</v>
      </c>
      <c r="Q2015" s="116">
        <v>69.8</v>
      </c>
      <c r="R2015">
        <v>4815187</v>
      </c>
    </row>
    <row r="2016" spans="1:18" x14ac:dyDescent="0.25">
      <c r="A2016" s="170">
        <v>44971</v>
      </c>
      <c r="B2016" s="116">
        <v>72.900000000000006</v>
      </c>
      <c r="C2016" s="116">
        <v>67.3</v>
      </c>
      <c r="D2016" s="116">
        <v>67</v>
      </c>
      <c r="E2016" s="116">
        <v>70.8</v>
      </c>
      <c r="F2016" s="116">
        <v>67.3</v>
      </c>
      <c r="G2016">
        <v>818591</v>
      </c>
      <c r="H2016" s="116"/>
      <c r="I2016" s="116"/>
      <c r="L2016" s="170">
        <v>44971</v>
      </c>
      <c r="M2016" s="116">
        <v>67.349999999999994</v>
      </c>
      <c r="N2016" s="116">
        <v>72.849999999999994</v>
      </c>
      <c r="O2016" s="116">
        <v>67</v>
      </c>
      <c r="P2016" s="116">
        <v>70.55</v>
      </c>
      <c r="Q2016" s="116">
        <v>67.349999999999994</v>
      </c>
      <c r="R2016">
        <v>2692465</v>
      </c>
    </row>
    <row r="2017" spans="1:18" x14ac:dyDescent="0.25">
      <c r="A2017" s="170">
        <v>44972</v>
      </c>
      <c r="B2017" s="116">
        <v>67.3</v>
      </c>
      <c r="C2017" s="116">
        <v>66.400000000000006</v>
      </c>
      <c r="D2017" s="116">
        <v>65</v>
      </c>
      <c r="E2017" s="116">
        <v>66.650000000000006</v>
      </c>
      <c r="F2017" s="116">
        <v>66.400000000000006</v>
      </c>
      <c r="G2017">
        <v>355355</v>
      </c>
      <c r="H2017" s="116"/>
      <c r="I2017" s="116"/>
      <c r="L2017" s="170">
        <v>44972</v>
      </c>
      <c r="M2017" s="116">
        <v>66.349999999999994</v>
      </c>
      <c r="N2017" s="116">
        <v>67.349999999999994</v>
      </c>
      <c r="O2017" s="116">
        <v>65</v>
      </c>
      <c r="P2017" s="116">
        <v>66.8</v>
      </c>
      <c r="Q2017" s="116">
        <v>66.349999999999994</v>
      </c>
      <c r="R2017">
        <v>2413143</v>
      </c>
    </row>
    <row r="2018" spans="1:18" x14ac:dyDescent="0.25">
      <c r="A2018" s="170">
        <v>44973</v>
      </c>
      <c r="B2018" s="116">
        <v>68.75</v>
      </c>
      <c r="C2018" s="116">
        <v>67</v>
      </c>
      <c r="D2018" s="116">
        <v>66.400000000000006</v>
      </c>
      <c r="E2018" s="116">
        <v>66.8</v>
      </c>
      <c r="F2018" s="116">
        <v>67</v>
      </c>
      <c r="G2018">
        <v>563873</v>
      </c>
      <c r="H2018" s="116"/>
      <c r="I2018" s="116"/>
      <c r="L2018" s="170">
        <v>44973</v>
      </c>
      <c r="M2018" s="116">
        <v>67</v>
      </c>
      <c r="N2018" s="116">
        <v>68.7</v>
      </c>
      <c r="O2018" s="116">
        <v>66.5</v>
      </c>
      <c r="P2018" s="116">
        <v>67</v>
      </c>
      <c r="Q2018" s="116">
        <v>67</v>
      </c>
      <c r="R2018">
        <v>1723527</v>
      </c>
    </row>
    <row r="2019" spans="1:18" x14ac:dyDescent="0.25">
      <c r="A2019" s="170">
        <v>44974</v>
      </c>
      <c r="B2019" s="116">
        <v>68.25</v>
      </c>
      <c r="C2019" s="116">
        <v>66</v>
      </c>
      <c r="D2019" s="116">
        <v>65.650000000000006</v>
      </c>
      <c r="E2019" s="116">
        <v>67</v>
      </c>
      <c r="F2019" s="116">
        <v>66</v>
      </c>
      <c r="G2019">
        <v>439894</v>
      </c>
      <c r="H2019" s="116"/>
      <c r="I2019" s="116"/>
      <c r="L2019" s="170">
        <v>44974</v>
      </c>
      <c r="M2019" s="116">
        <v>66.099999999999994</v>
      </c>
      <c r="N2019" s="116">
        <v>68.2</v>
      </c>
      <c r="O2019" s="116">
        <v>65.599999999999994</v>
      </c>
      <c r="P2019" s="116">
        <v>67</v>
      </c>
      <c r="Q2019" s="116">
        <v>66.099999999999994</v>
      </c>
      <c r="R2019">
        <v>1710945</v>
      </c>
    </row>
    <row r="2020" spans="1:18" x14ac:dyDescent="0.25">
      <c r="A2020" s="170">
        <v>44977</v>
      </c>
      <c r="B2020" s="116">
        <v>66.55</v>
      </c>
      <c r="C2020" s="116">
        <v>63.8</v>
      </c>
      <c r="D2020" s="116">
        <v>63.55</v>
      </c>
      <c r="E2020" s="116">
        <v>66.55</v>
      </c>
      <c r="F2020" s="116">
        <v>63.8</v>
      </c>
      <c r="G2020">
        <v>407561</v>
      </c>
      <c r="H2020" s="116"/>
      <c r="I2020" s="116"/>
      <c r="L2020" s="170">
        <v>44977</v>
      </c>
      <c r="M2020" s="116">
        <v>63.8</v>
      </c>
      <c r="N2020" s="116">
        <v>66.5</v>
      </c>
      <c r="O2020" s="116">
        <v>63.55</v>
      </c>
      <c r="P2020" s="116">
        <v>66.45</v>
      </c>
      <c r="Q2020" s="116">
        <v>63.8</v>
      </c>
      <c r="R2020">
        <v>2332993</v>
      </c>
    </row>
    <row r="2021" spans="1:18" x14ac:dyDescent="0.25">
      <c r="A2021" s="170">
        <v>44978</v>
      </c>
      <c r="B2021" s="116">
        <v>64.55</v>
      </c>
      <c r="C2021" s="116">
        <v>59.75</v>
      </c>
      <c r="D2021" s="116">
        <v>59.3</v>
      </c>
      <c r="E2021" s="116">
        <v>63.9</v>
      </c>
      <c r="F2021" s="116">
        <v>59.75</v>
      </c>
      <c r="G2021">
        <v>1529570</v>
      </c>
      <c r="H2021" s="116"/>
      <c r="I2021" s="116"/>
      <c r="L2021" s="170">
        <v>44978</v>
      </c>
      <c r="M2021" s="116">
        <v>59.7</v>
      </c>
      <c r="N2021" s="116">
        <v>64.5</v>
      </c>
      <c r="O2021" s="116">
        <v>59.05</v>
      </c>
      <c r="P2021" s="116">
        <v>64.05</v>
      </c>
      <c r="Q2021" s="116">
        <v>59.7</v>
      </c>
      <c r="R2021">
        <v>5525302</v>
      </c>
    </row>
    <row r="2022" spans="1:18" x14ac:dyDescent="0.25">
      <c r="A2022" s="170">
        <v>44979</v>
      </c>
      <c r="B2022" s="116">
        <v>62.7</v>
      </c>
      <c r="C2022" s="116">
        <v>57.3</v>
      </c>
      <c r="D2022" s="116">
        <v>56.3</v>
      </c>
      <c r="E2022" s="116">
        <v>59.6</v>
      </c>
      <c r="F2022" s="116">
        <v>57.3</v>
      </c>
      <c r="G2022">
        <v>2667359</v>
      </c>
      <c r="H2022" s="116"/>
      <c r="I2022" s="116"/>
      <c r="L2022" s="170">
        <v>44979</v>
      </c>
      <c r="M2022" s="116">
        <v>57.3</v>
      </c>
      <c r="N2022" s="116">
        <v>62.75</v>
      </c>
      <c r="O2022" s="116">
        <v>56.25</v>
      </c>
      <c r="P2022" s="116">
        <v>59.7</v>
      </c>
      <c r="Q2022" s="116">
        <v>57.3</v>
      </c>
      <c r="R2022">
        <v>9366911</v>
      </c>
    </row>
    <row r="2023" spans="1:18" x14ac:dyDescent="0.25">
      <c r="A2023" s="170">
        <v>44980</v>
      </c>
      <c r="B2023" s="116">
        <v>62.9</v>
      </c>
      <c r="C2023" s="116">
        <v>59.05</v>
      </c>
      <c r="D2023" s="116">
        <v>52.8</v>
      </c>
      <c r="E2023" s="116">
        <v>57.2</v>
      </c>
      <c r="F2023" s="116">
        <v>59.05</v>
      </c>
      <c r="G2023">
        <v>4254885</v>
      </c>
      <c r="H2023" s="116"/>
      <c r="I2023" s="116"/>
      <c r="L2023" s="170">
        <v>44980</v>
      </c>
      <c r="M2023" s="116">
        <v>59</v>
      </c>
      <c r="N2023" s="116">
        <v>63</v>
      </c>
      <c r="O2023" s="116">
        <v>52.6</v>
      </c>
      <c r="P2023" s="116">
        <v>57.25</v>
      </c>
      <c r="Q2023" s="116">
        <v>59</v>
      </c>
      <c r="R2023">
        <v>19164087</v>
      </c>
    </row>
    <row r="2024" spans="1:18" x14ac:dyDescent="0.25">
      <c r="A2024" s="170">
        <v>44981</v>
      </c>
      <c r="B2024" s="116">
        <v>60.7</v>
      </c>
      <c r="C2024" s="116">
        <v>57.5</v>
      </c>
      <c r="D2024" s="116">
        <v>56.3</v>
      </c>
      <c r="E2024" s="116">
        <v>59.25</v>
      </c>
      <c r="F2024" s="116">
        <v>57.5</v>
      </c>
      <c r="G2024">
        <v>3764219</v>
      </c>
      <c r="H2024" s="116"/>
      <c r="I2024" s="116"/>
      <c r="L2024" s="170">
        <v>44981</v>
      </c>
      <c r="M2024" s="116">
        <v>57.55</v>
      </c>
      <c r="N2024" s="116">
        <v>60.65</v>
      </c>
      <c r="O2024" s="116">
        <v>56.3</v>
      </c>
      <c r="P2024" s="116">
        <v>59.5</v>
      </c>
      <c r="Q2024" s="116">
        <v>57.55</v>
      </c>
      <c r="R2024">
        <v>11962653</v>
      </c>
    </row>
    <row r="2025" spans="1:18" x14ac:dyDescent="0.25">
      <c r="A2025" s="170">
        <v>44984</v>
      </c>
      <c r="B2025" s="116">
        <v>57.5</v>
      </c>
      <c r="C2025" s="116">
        <v>53.55</v>
      </c>
      <c r="D2025" s="116">
        <v>52.65</v>
      </c>
      <c r="E2025" s="116">
        <v>56.4</v>
      </c>
      <c r="F2025" s="116">
        <v>53.55</v>
      </c>
      <c r="G2025">
        <v>1853522</v>
      </c>
      <c r="H2025" s="116"/>
      <c r="I2025" s="116"/>
      <c r="L2025" s="170">
        <v>44984</v>
      </c>
      <c r="M2025" s="116">
        <v>53.5</v>
      </c>
      <c r="N2025" s="116">
        <v>57.45</v>
      </c>
      <c r="O2025" s="116">
        <v>52.1</v>
      </c>
      <c r="P2025" s="116">
        <v>56.4</v>
      </c>
      <c r="Q2025" s="116">
        <v>53.5</v>
      </c>
      <c r="R2025">
        <v>7752691</v>
      </c>
    </row>
    <row r="2026" spans="1:18" x14ac:dyDescent="0.25">
      <c r="A2026" s="170">
        <v>44985</v>
      </c>
      <c r="B2026" s="116">
        <v>56.2</v>
      </c>
      <c r="C2026" s="116">
        <v>56.1</v>
      </c>
      <c r="D2026" s="116">
        <v>52.55</v>
      </c>
      <c r="E2026" s="116">
        <v>53.75</v>
      </c>
      <c r="F2026" s="116">
        <v>56.1</v>
      </c>
      <c r="G2026">
        <v>2240466</v>
      </c>
      <c r="H2026" s="116"/>
      <c r="I2026" s="116"/>
      <c r="L2026" s="170">
        <v>44985</v>
      </c>
      <c r="M2026" s="116">
        <v>56.05</v>
      </c>
      <c r="N2026" s="116">
        <v>56.15</v>
      </c>
      <c r="O2026" s="116">
        <v>52.5</v>
      </c>
      <c r="P2026" s="116">
        <v>54</v>
      </c>
      <c r="Q2026" s="116">
        <v>56.05</v>
      </c>
      <c r="R2026">
        <v>8044125</v>
      </c>
    </row>
    <row r="2027" spans="1:18" x14ac:dyDescent="0.25">
      <c r="A2027" s="170">
        <v>44986</v>
      </c>
      <c r="B2027" s="116">
        <v>58.9</v>
      </c>
      <c r="C2027" s="116">
        <v>58.9</v>
      </c>
      <c r="D2027" s="116">
        <v>56.32</v>
      </c>
      <c r="E2027" s="116">
        <v>57</v>
      </c>
      <c r="F2027" s="116">
        <v>58.9</v>
      </c>
      <c r="G2027">
        <v>1820351</v>
      </c>
      <c r="H2027" s="116"/>
      <c r="I2027" s="116"/>
      <c r="L2027" s="170">
        <v>44986</v>
      </c>
      <c r="M2027" s="116">
        <v>58.85</v>
      </c>
      <c r="N2027" s="116">
        <v>58.85</v>
      </c>
      <c r="O2027" s="116">
        <v>56.3</v>
      </c>
      <c r="P2027" s="116">
        <v>56.8</v>
      </c>
      <c r="Q2027" s="116">
        <v>58.85</v>
      </c>
      <c r="R2027">
        <v>5334663</v>
      </c>
    </row>
    <row r="2028" spans="1:18" x14ac:dyDescent="0.25">
      <c r="A2028" s="170">
        <v>44987</v>
      </c>
      <c r="B2028" s="116">
        <v>61.84</v>
      </c>
      <c r="C2028" s="116">
        <v>61.84</v>
      </c>
      <c r="D2028" s="116">
        <v>60.24</v>
      </c>
      <c r="E2028" s="116">
        <v>60.85</v>
      </c>
      <c r="F2028" s="116">
        <v>61.84</v>
      </c>
      <c r="G2028">
        <v>372041</v>
      </c>
      <c r="H2028" s="116"/>
      <c r="I2028" s="116"/>
      <c r="L2028" s="170">
        <v>44987</v>
      </c>
      <c r="M2028" s="116">
        <v>61.75</v>
      </c>
      <c r="N2028" s="116">
        <v>61.75</v>
      </c>
      <c r="O2028" s="116">
        <v>60.1</v>
      </c>
      <c r="P2028" s="116">
        <v>60.5</v>
      </c>
      <c r="Q2028" s="116">
        <v>61.75</v>
      </c>
      <c r="R2028">
        <v>940416</v>
      </c>
    </row>
    <row r="2029" spans="1:18" x14ac:dyDescent="0.25">
      <c r="A2029" s="170">
        <v>44988</v>
      </c>
      <c r="B2029" s="116">
        <v>64.930000000000007</v>
      </c>
      <c r="C2029" s="116">
        <v>64.930000000000007</v>
      </c>
      <c r="D2029" s="116">
        <v>64</v>
      </c>
      <c r="E2029" s="116">
        <v>64.930000000000007</v>
      </c>
      <c r="F2029" s="116">
        <v>64.930000000000007</v>
      </c>
      <c r="G2029">
        <v>513264</v>
      </c>
      <c r="H2029" s="116"/>
      <c r="I2029" s="116"/>
      <c r="L2029" s="170">
        <v>44988</v>
      </c>
      <c r="M2029" s="116">
        <v>64.8</v>
      </c>
      <c r="N2029" s="116">
        <v>64.8</v>
      </c>
      <c r="O2029" s="116">
        <v>64</v>
      </c>
      <c r="P2029" s="116">
        <v>64.5</v>
      </c>
      <c r="Q2029" s="116">
        <v>64.8</v>
      </c>
      <c r="R2029">
        <v>1646386</v>
      </c>
    </row>
    <row r="2030" spans="1:18" x14ac:dyDescent="0.25">
      <c r="A2030" s="170">
        <v>44991</v>
      </c>
      <c r="B2030" s="116">
        <v>68.17</v>
      </c>
      <c r="C2030" s="116">
        <v>68.17</v>
      </c>
      <c r="D2030" s="116">
        <v>68.17</v>
      </c>
      <c r="E2030" s="116">
        <v>68.17</v>
      </c>
      <c r="F2030" s="116">
        <v>68.17</v>
      </c>
      <c r="G2030">
        <v>280399</v>
      </c>
      <c r="H2030" s="116"/>
      <c r="I2030" s="116"/>
      <c r="L2030" s="170">
        <v>44991</v>
      </c>
      <c r="M2030" s="116">
        <v>68</v>
      </c>
      <c r="N2030" s="116">
        <v>68</v>
      </c>
      <c r="O2030" s="116">
        <v>68</v>
      </c>
      <c r="P2030" s="116">
        <v>68</v>
      </c>
      <c r="Q2030" s="116">
        <v>68</v>
      </c>
      <c r="R2030">
        <v>381219</v>
      </c>
    </row>
    <row r="2031" spans="1:18" x14ac:dyDescent="0.25">
      <c r="A2031" s="170">
        <v>44993</v>
      </c>
      <c r="B2031" s="116">
        <v>70.7</v>
      </c>
      <c r="C2031" s="116">
        <v>68.53</v>
      </c>
      <c r="D2031" s="116">
        <v>66.2</v>
      </c>
      <c r="E2031" s="116">
        <v>70.400000000000006</v>
      </c>
      <c r="F2031" s="116">
        <v>68.53</v>
      </c>
      <c r="G2031">
        <v>1739425</v>
      </c>
      <c r="H2031" s="116"/>
      <c r="I2031" s="116"/>
      <c r="L2031" s="170">
        <v>44993</v>
      </c>
      <c r="M2031" s="116">
        <v>68.55</v>
      </c>
      <c r="N2031" s="116">
        <v>70.95</v>
      </c>
      <c r="O2031" s="116">
        <v>66.150000000000006</v>
      </c>
      <c r="P2031" s="116">
        <v>70.95</v>
      </c>
      <c r="Q2031" s="116">
        <v>68.55</v>
      </c>
      <c r="R2031">
        <v>7454715</v>
      </c>
    </row>
    <row r="2032" spans="1:18" x14ac:dyDescent="0.25">
      <c r="A2032" s="170">
        <v>44994</v>
      </c>
      <c r="B2032" s="116">
        <v>69.599999999999994</v>
      </c>
      <c r="C2032" s="116">
        <v>65.11</v>
      </c>
      <c r="D2032" s="116">
        <v>65.11</v>
      </c>
      <c r="E2032" s="116">
        <v>69.08</v>
      </c>
      <c r="F2032" s="116">
        <v>65.11</v>
      </c>
      <c r="G2032">
        <v>364081</v>
      </c>
      <c r="H2032" s="116"/>
      <c r="I2032" s="116"/>
      <c r="L2032" s="170">
        <v>44994</v>
      </c>
      <c r="M2032" s="116">
        <v>65.150000000000006</v>
      </c>
      <c r="N2032" s="116">
        <v>69.5</v>
      </c>
      <c r="O2032" s="116">
        <v>65.150000000000006</v>
      </c>
      <c r="P2032" s="116">
        <v>69.45</v>
      </c>
      <c r="Q2032" s="116">
        <v>65.150000000000006</v>
      </c>
      <c r="R2032">
        <v>3258183</v>
      </c>
    </row>
    <row r="2033" spans="1:18" x14ac:dyDescent="0.25">
      <c r="A2033" s="170">
        <v>44995</v>
      </c>
      <c r="B2033" s="116">
        <v>64</v>
      </c>
      <c r="C2033" s="116">
        <v>62.49</v>
      </c>
      <c r="D2033" s="116">
        <v>62</v>
      </c>
      <c r="E2033" s="116">
        <v>62.39</v>
      </c>
      <c r="F2033" s="116">
        <v>62.49</v>
      </c>
      <c r="G2033">
        <v>418872</v>
      </c>
      <c r="H2033" s="116"/>
      <c r="I2033" s="116"/>
      <c r="L2033" s="170">
        <v>44995</v>
      </c>
      <c r="M2033" s="116">
        <v>62.45</v>
      </c>
      <c r="N2033" s="116">
        <v>64</v>
      </c>
      <c r="O2033" s="116">
        <v>61.9</v>
      </c>
      <c r="P2033" s="116">
        <v>62.1</v>
      </c>
      <c r="Q2033" s="116">
        <v>62.45</v>
      </c>
      <c r="R2033">
        <v>2962572</v>
      </c>
    </row>
    <row r="2034" spans="1:18" x14ac:dyDescent="0.25">
      <c r="A2034" s="170">
        <v>44998</v>
      </c>
      <c r="B2034" s="116">
        <v>62.48</v>
      </c>
      <c r="C2034" s="116">
        <v>59.39</v>
      </c>
      <c r="D2034" s="116">
        <v>59.37</v>
      </c>
      <c r="E2034" s="116">
        <v>62</v>
      </c>
      <c r="F2034" s="116">
        <v>59.39</v>
      </c>
      <c r="G2034">
        <v>730438</v>
      </c>
      <c r="H2034" s="116"/>
      <c r="I2034" s="116"/>
      <c r="L2034" s="170">
        <v>44998</v>
      </c>
      <c r="M2034" s="116">
        <v>59.4</v>
      </c>
      <c r="N2034" s="116">
        <v>62.3</v>
      </c>
      <c r="O2034" s="116">
        <v>59.35</v>
      </c>
      <c r="P2034" s="116">
        <v>62</v>
      </c>
      <c r="Q2034" s="116">
        <v>59.4</v>
      </c>
      <c r="R2034">
        <v>2412799</v>
      </c>
    </row>
    <row r="2035" spans="1:18" x14ac:dyDescent="0.25">
      <c r="A2035" s="170">
        <v>44999</v>
      </c>
      <c r="B2035" s="116">
        <v>60.86</v>
      </c>
      <c r="C2035" s="116">
        <v>59.13</v>
      </c>
      <c r="D2035" s="116">
        <v>58.4</v>
      </c>
      <c r="E2035" s="116">
        <v>59.02</v>
      </c>
      <c r="F2035" s="116">
        <v>59.13</v>
      </c>
      <c r="G2035">
        <v>282666</v>
      </c>
      <c r="H2035" s="116"/>
      <c r="I2035" s="116"/>
      <c r="L2035" s="170">
        <v>44999</v>
      </c>
      <c r="M2035" s="116">
        <v>59.1</v>
      </c>
      <c r="N2035" s="116">
        <v>60.8</v>
      </c>
      <c r="O2035" s="116">
        <v>58.65</v>
      </c>
      <c r="P2035" s="116">
        <v>59.3</v>
      </c>
      <c r="Q2035" s="116">
        <v>59.1</v>
      </c>
      <c r="R2035">
        <v>1939451</v>
      </c>
    </row>
    <row r="2036" spans="1:18" x14ac:dyDescent="0.25">
      <c r="A2036" s="170">
        <v>45000</v>
      </c>
      <c r="B2036" s="116">
        <v>62.08</v>
      </c>
      <c r="C2036" s="116">
        <v>60.83</v>
      </c>
      <c r="D2036" s="116">
        <v>59.25</v>
      </c>
      <c r="E2036" s="116">
        <v>60.24</v>
      </c>
      <c r="F2036" s="116">
        <v>60.83</v>
      </c>
      <c r="G2036">
        <v>833708</v>
      </c>
      <c r="H2036" s="116"/>
      <c r="I2036" s="116"/>
      <c r="L2036" s="170">
        <v>45000</v>
      </c>
      <c r="M2036" s="116">
        <v>60.85</v>
      </c>
      <c r="N2036" s="116">
        <v>62.05</v>
      </c>
      <c r="O2036" s="116">
        <v>59.2</v>
      </c>
      <c r="P2036" s="116">
        <v>59.35</v>
      </c>
      <c r="Q2036" s="116">
        <v>60.85</v>
      </c>
      <c r="R2036">
        <v>4020641</v>
      </c>
    </row>
    <row r="2037" spans="1:18" x14ac:dyDescent="0.25">
      <c r="A2037" s="170">
        <v>45001</v>
      </c>
      <c r="B2037" s="116">
        <v>60.84</v>
      </c>
      <c r="C2037" s="116">
        <v>58.71</v>
      </c>
      <c r="D2037" s="116">
        <v>58.21</v>
      </c>
      <c r="E2037" s="116">
        <v>60.83</v>
      </c>
      <c r="F2037" s="116">
        <v>58.71</v>
      </c>
      <c r="G2037">
        <v>160901</v>
      </c>
      <c r="H2037" s="116"/>
      <c r="I2037" s="116"/>
      <c r="L2037" s="170">
        <v>45001</v>
      </c>
      <c r="M2037" s="116">
        <v>58.7</v>
      </c>
      <c r="N2037" s="116">
        <v>61</v>
      </c>
      <c r="O2037" s="116">
        <v>58.1</v>
      </c>
      <c r="P2037" s="116">
        <v>60.8</v>
      </c>
      <c r="Q2037" s="116">
        <v>58.7</v>
      </c>
      <c r="R2037">
        <v>1680671</v>
      </c>
    </row>
    <row r="2038" spans="1:18" x14ac:dyDescent="0.25">
      <c r="A2038" s="170">
        <v>45002</v>
      </c>
      <c r="B2038" s="116">
        <v>60.7</v>
      </c>
      <c r="C2038" s="116">
        <v>58.62</v>
      </c>
      <c r="D2038" s="116">
        <v>58</v>
      </c>
      <c r="E2038" s="116">
        <v>59.14</v>
      </c>
      <c r="F2038" s="116">
        <v>58.62</v>
      </c>
      <c r="G2038">
        <v>292096</v>
      </c>
      <c r="H2038" s="116"/>
      <c r="I2038" s="116"/>
      <c r="L2038" s="170">
        <v>45002</v>
      </c>
      <c r="M2038" s="116">
        <v>58.65</v>
      </c>
      <c r="N2038" s="116">
        <v>60.9</v>
      </c>
      <c r="O2038" s="116">
        <v>58</v>
      </c>
      <c r="P2038" s="116">
        <v>59.45</v>
      </c>
      <c r="Q2038" s="116">
        <v>58.65</v>
      </c>
      <c r="R2038">
        <v>1874964</v>
      </c>
    </row>
    <row r="2039" spans="1:18" x14ac:dyDescent="0.25">
      <c r="A2039" s="170">
        <v>45005</v>
      </c>
      <c r="B2039" s="116">
        <v>58.45</v>
      </c>
      <c r="C2039" s="116">
        <v>56.59</v>
      </c>
      <c r="D2039" s="116">
        <v>55.98</v>
      </c>
      <c r="E2039" s="116">
        <v>58.45</v>
      </c>
      <c r="F2039" s="116">
        <v>56.59</v>
      </c>
      <c r="G2039">
        <v>263718</v>
      </c>
      <c r="H2039" s="116"/>
      <c r="I2039" s="116"/>
      <c r="L2039" s="170">
        <v>45005</v>
      </c>
      <c r="M2039" s="116">
        <v>56.6</v>
      </c>
      <c r="N2039" s="116">
        <v>58.4</v>
      </c>
      <c r="O2039" s="116">
        <v>56</v>
      </c>
      <c r="P2039" s="116">
        <v>58.4</v>
      </c>
      <c r="Q2039" s="116">
        <v>56.6</v>
      </c>
      <c r="R2039">
        <v>1752390</v>
      </c>
    </row>
    <row r="2040" spans="1:18" x14ac:dyDescent="0.25">
      <c r="A2040" s="170">
        <v>45006</v>
      </c>
      <c r="B2040" s="116">
        <v>57.57</v>
      </c>
      <c r="C2040" s="116">
        <v>56.66</v>
      </c>
      <c r="D2040" s="116">
        <v>56.33</v>
      </c>
      <c r="E2040" s="116">
        <v>57.01</v>
      </c>
      <c r="F2040" s="116">
        <v>56.66</v>
      </c>
      <c r="G2040">
        <v>201516</v>
      </c>
      <c r="H2040" s="116"/>
      <c r="I2040" s="116"/>
      <c r="L2040" s="170">
        <v>45006</v>
      </c>
      <c r="M2040" s="116">
        <v>56.65</v>
      </c>
      <c r="N2040" s="116">
        <v>57.65</v>
      </c>
      <c r="O2040" s="116">
        <v>56.2</v>
      </c>
      <c r="P2040" s="116">
        <v>57.2</v>
      </c>
      <c r="Q2040" s="116">
        <v>56.65</v>
      </c>
      <c r="R2040">
        <v>1337764</v>
      </c>
    </row>
    <row r="2041" spans="1:18" x14ac:dyDescent="0.25">
      <c r="A2041" s="170">
        <v>45007</v>
      </c>
      <c r="B2041" s="116">
        <v>58.83</v>
      </c>
      <c r="C2041" s="116">
        <v>57.25</v>
      </c>
      <c r="D2041" s="116">
        <v>56.79</v>
      </c>
      <c r="E2041" s="116">
        <v>56.79</v>
      </c>
      <c r="F2041" s="116">
        <v>57.25</v>
      </c>
      <c r="G2041">
        <v>352962</v>
      </c>
      <c r="H2041" s="116"/>
      <c r="I2041" s="116"/>
      <c r="L2041" s="170">
        <v>45007</v>
      </c>
      <c r="M2041" s="116">
        <v>57.3</v>
      </c>
      <c r="N2041" s="116">
        <v>58.8</v>
      </c>
      <c r="O2041" s="116">
        <v>56.9</v>
      </c>
      <c r="P2041" s="116">
        <v>57</v>
      </c>
      <c r="Q2041" s="116">
        <v>57.3</v>
      </c>
      <c r="R2041">
        <v>1381100</v>
      </c>
    </row>
    <row r="2042" spans="1:18" x14ac:dyDescent="0.25">
      <c r="A2042" s="170">
        <v>45008</v>
      </c>
      <c r="B2042" s="116">
        <v>57.97</v>
      </c>
      <c r="C2042" s="116">
        <v>56.53</v>
      </c>
      <c r="D2042" s="116">
        <v>56.31</v>
      </c>
      <c r="E2042" s="116">
        <v>57.3</v>
      </c>
      <c r="F2042" s="116">
        <v>56.53</v>
      </c>
      <c r="G2042">
        <v>207175</v>
      </c>
      <c r="H2042" s="116"/>
      <c r="I2042" s="116"/>
      <c r="L2042" s="170">
        <v>45008</v>
      </c>
      <c r="M2042" s="116">
        <v>56.55</v>
      </c>
      <c r="N2042" s="116">
        <v>57.95</v>
      </c>
      <c r="O2042" s="116">
        <v>56.25</v>
      </c>
      <c r="P2042" s="116">
        <v>57.6</v>
      </c>
      <c r="Q2042" s="116">
        <v>56.55</v>
      </c>
      <c r="R2042">
        <v>1482482</v>
      </c>
    </row>
    <row r="2043" spans="1:18" x14ac:dyDescent="0.25">
      <c r="A2043" s="170">
        <v>45009</v>
      </c>
      <c r="B2043" s="116">
        <v>57.95</v>
      </c>
      <c r="C2043" s="116">
        <v>55.24</v>
      </c>
      <c r="D2043" s="116">
        <v>55.05</v>
      </c>
      <c r="E2043" s="116">
        <v>57.95</v>
      </c>
      <c r="F2043" s="116">
        <v>55.24</v>
      </c>
      <c r="G2043">
        <v>196885</v>
      </c>
      <c r="H2043" s="116"/>
      <c r="I2043" s="116"/>
      <c r="L2043" s="170">
        <v>45009</v>
      </c>
      <c r="M2043" s="116">
        <v>55.25</v>
      </c>
      <c r="N2043" s="116">
        <v>58.05</v>
      </c>
      <c r="O2043" s="116">
        <v>55.05</v>
      </c>
      <c r="P2043" s="116">
        <v>58.05</v>
      </c>
      <c r="Q2043" s="116">
        <v>55.25</v>
      </c>
      <c r="R2043">
        <v>1726534</v>
      </c>
    </row>
    <row r="2044" spans="1:18" x14ac:dyDescent="0.25">
      <c r="A2044" s="170">
        <v>45012</v>
      </c>
      <c r="B2044" s="116">
        <v>55.7</v>
      </c>
      <c r="C2044" s="116">
        <v>52.86</v>
      </c>
      <c r="D2044" s="116">
        <v>52.51</v>
      </c>
      <c r="E2044" s="116">
        <v>55.25</v>
      </c>
      <c r="F2044" s="116">
        <v>52.86</v>
      </c>
      <c r="G2044">
        <v>287590</v>
      </c>
      <c r="H2044" s="116"/>
      <c r="I2044" s="116"/>
      <c r="L2044" s="170">
        <v>45012</v>
      </c>
      <c r="M2044" s="116">
        <v>52.8</v>
      </c>
      <c r="N2044" s="116">
        <v>55.95</v>
      </c>
      <c r="O2044" s="116">
        <v>52.5</v>
      </c>
      <c r="P2044" s="116">
        <v>55.95</v>
      </c>
      <c r="Q2044" s="116">
        <v>52.8</v>
      </c>
      <c r="R2044">
        <v>2333712</v>
      </c>
    </row>
    <row r="2045" spans="1:18" x14ac:dyDescent="0.25">
      <c r="A2045" s="170">
        <v>45013</v>
      </c>
      <c r="B2045" s="116">
        <v>53.33</v>
      </c>
      <c r="C2045" s="116">
        <v>50.34</v>
      </c>
      <c r="D2045" s="116">
        <v>50.22</v>
      </c>
      <c r="E2045" s="116">
        <v>52.8</v>
      </c>
      <c r="F2045" s="116">
        <v>50.34</v>
      </c>
      <c r="G2045">
        <v>567404</v>
      </c>
      <c r="H2045" s="116"/>
      <c r="I2045" s="116"/>
      <c r="L2045" s="170">
        <v>45013</v>
      </c>
      <c r="M2045" s="116">
        <v>50.35</v>
      </c>
      <c r="N2045" s="116">
        <v>53.4</v>
      </c>
      <c r="O2045" s="116">
        <v>50.2</v>
      </c>
      <c r="P2045" s="116">
        <v>52.8</v>
      </c>
      <c r="Q2045" s="116">
        <v>50.35</v>
      </c>
      <c r="R2045">
        <v>2459107</v>
      </c>
    </row>
    <row r="2046" spans="1:18" x14ac:dyDescent="0.25">
      <c r="A2046" s="170">
        <v>45014</v>
      </c>
      <c r="B2046" s="116">
        <v>52.85</v>
      </c>
      <c r="C2046" s="116">
        <v>52.85</v>
      </c>
      <c r="D2046" s="116">
        <v>49.8</v>
      </c>
      <c r="E2046" s="116">
        <v>49.81</v>
      </c>
      <c r="F2046" s="116">
        <v>52.85</v>
      </c>
      <c r="G2046">
        <v>253840</v>
      </c>
      <c r="H2046" s="116"/>
      <c r="I2046" s="116"/>
      <c r="L2046" s="170">
        <v>45014</v>
      </c>
      <c r="M2046" s="116">
        <v>52.85</v>
      </c>
      <c r="N2046" s="116">
        <v>52.85</v>
      </c>
      <c r="O2046" s="116">
        <v>49.65</v>
      </c>
      <c r="P2046" s="116">
        <v>50.05</v>
      </c>
      <c r="Q2046" s="116">
        <v>52.85</v>
      </c>
      <c r="R2046">
        <v>2041879</v>
      </c>
    </row>
    <row r="2047" spans="1:18" x14ac:dyDescent="0.25">
      <c r="A2047" s="170">
        <v>45016</v>
      </c>
      <c r="B2047" s="116">
        <v>55.49</v>
      </c>
      <c r="C2047" s="116">
        <v>55.49</v>
      </c>
      <c r="D2047" s="116">
        <v>55.49</v>
      </c>
      <c r="E2047" s="116">
        <v>55.49</v>
      </c>
      <c r="F2047" s="116">
        <v>55.49</v>
      </c>
      <c r="G2047">
        <v>286813</v>
      </c>
      <c r="H2047" s="116"/>
      <c r="I2047" s="116"/>
      <c r="L2047" s="170">
        <v>45016</v>
      </c>
      <c r="M2047" s="116">
        <v>55.45</v>
      </c>
      <c r="N2047" s="116">
        <v>55.45</v>
      </c>
      <c r="O2047" s="116">
        <v>55.45</v>
      </c>
      <c r="P2047" s="116">
        <v>55.45</v>
      </c>
      <c r="Q2047" s="116">
        <v>55.45</v>
      </c>
      <c r="R2047">
        <v>691697</v>
      </c>
    </row>
    <row r="2048" spans="1:18" x14ac:dyDescent="0.25">
      <c r="A2048" s="170">
        <v>45019</v>
      </c>
      <c r="B2048" s="116">
        <v>58.26</v>
      </c>
      <c r="C2048" s="116">
        <v>58.26</v>
      </c>
      <c r="D2048" s="116">
        <v>53.54</v>
      </c>
      <c r="E2048" s="116">
        <v>55.2</v>
      </c>
      <c r="F2048" s="116">
        <v>58.26</v>
      </c>
      <c r="G2048">
        <v>793010</v>
      </c>
      <c r="H2048" s="116"/>
      <c r="I2048" s="116"/>
      <c r="L2048" s="170">
        <v>45019</v>
      </c>
      <c r="M2048" s="116">
        <v>58.2</v>
      </c>
      <c r="N2048" s="116">
        <v>58.2</v>
      </c>
      <c r="O2048" s="116">
        <v>53.6</v>
      </c>
      <c r="P2048" s="116">
        <v>54.95</v>
      </c>
      <c r="Q2048" s="116">
        <v>58.2</v>
      </c>
      <c r="R2048">
        <v>3585051</v>
      </c>
    </row>
    <row r="2049" spans="1:18" x14ac:dyDescent="0.25">
      <c r="A2049" s="170">
        <v>45021</v>
      </c>
      <c r="B2049" s="116">
        <v>61.17</v>
      </c>
      <c r="C2049" s="116">
        <v>61.17</v>
      </c>
      <c r="D2049" s="116">
        <v>58.99</v>
      </c>
      <c r="E2049" s="116">
        <v>59.4</v>
      </c>
      <c r="F2049" s="116">
        <v>61.17</v>
      </c>
      <c r="G2049">
        <v>354055</v>
      </c>
      <c r="H2049" s="116"/>
      <c r="I2049" s="116"/>
      <c r="L2049" s="170">
        <v>45021</v>
      </c>
      <c r="M2049" s="116">
        <v>61.1</v>
      </c>
      <c r="N2049" s="116">
        <v>61.1</v>
      </c>
      <c r="O2049" s="116">
        <v>58.8</v>
      </c>
      <c r="P2049" s="116">
        <v>59.65</v>
      </c>
      <c r="Q2049" s="116">
        <v>61.1</v>
      </c>
      <c r="R2049">
        <v>1424356</v>
      </c>
    </row>
    <row r="2050" spans="1:18" x14ac:dyDescent="0.25">
      <c r="A2050" s="170">
        <v>45022</v>
      </c>
      <c r="B2050" s="116">
        <v>64.22</v>
      </c>
      <c r="C2050" s="116">
        <v>64.22</v>
      </c>
      <c r="D2050" s="116">
        <v>64.22</v>
      </c>
      <c r="E2050" s="116">
        <v>64.22</v>
      </c>
      <c r="F2050" s="116">
        <v>64.22</v>
      </c>
      <c r="G2050">
        <v>263127</v>
      </c>
      <c r="H2050" s="116"/>
      <c r="I2050" s="116"/>
      <c r="L2050" s="170">
        <v>45022</v>
      </c>
      <c r="M2050" s="116">
        <v>64.150000000000006</v>
      </c>
      <c r="N2050" s="116">
        <v>64.150000000000006</v>
      </c>
      <c r="O2050" s="116">
        <v>64.150000000000006</v>
      </c>
      <c r="P2050" s="116">
        <v>64.150000000000006</v>
      </c>
      <c r="Q2050" s="116">
        <v>64.150000000000006</v>
      </c>
      <c r="R2050">
        <v>346211</v>
      </c>
    </row>
    <row r="2051" spans="1:18" x14ac:dyDescent="0.25">
      <c r="A2051" s="170">
        <v>45026</v>
      </c>
      <c r="B2051" s="116">
        <v>67.430000000000007</v>
      </c>
      <c r="C2051" s="116">
        <v>61.01</v>
      </c>
      <c r="D2051" s="116">
        <v>61.01</v>
      </c>
      <c r="E2051" s="116">
        <v>67.430000000000007</v>
      </c>
      <c r="F2051" s="116">
        <v>61.01</v>
      </c>
      <c r="G2051">
        <v>2724523</v>
      </c>
      <c r="H2051" s="116"/>
      <c r="I2051" s="116"/>
      <c r="L2051" s="170">
        <v>45026</v>
      </c>
      <c r="M2051" s="116">
        <v>60.95</v>
      </c>
      <c r="N2051" s="116">
        <v>67.349999999999994</v>
      </c>
      <c r="O2051" s="116">
        <v>60.95</v>
      </c>
      <c r="P2051" s="116">
        <v>67.349999999999994</v>
      </c>
      <c r="Q2051" s="116">
        <v>60.95</v>
      </c>
      <c r="R2051">
        <v>11447733</v>
      </c>
    </row>
    <row r="2052" spans="1:18" x14ac:dyDescent="0.25">
      <c r="A2052" s="170">
        <v>45027</v>
      </c>
      <c r="B2052" s="116">
        <v>63.28</v>
      </c>
      <c r="C2052" s="116">
        <v>62.47</v>
      </c>
      <c r="D2052" s="116">
        <v>61</v>
      </c>
      <c r="E2052" s="116">
        <v>61</v>
      </c>
      <c r="F2052" s="116">
        <v>62.47</v>
      </c>
      <c r="G2052">
        <v>853145</v>
      </c>
      <c r="H2052" s="116"/>
      <c r="I2052" s="116"/>
      <c r="L2052" s="170">
        <v>45027</v>
      </c>
      <c r="M2052" s="116">
        <v>62.45</v>
      </c>
      <c r="N2052" s="116">
        <v>63.3</v>
      </c>
      <c r="O2052" s="116">
        <v>61</v>
      </c>
      <c r="P2052" s="116">
        <v>61.3</v>
      </c>
      <c r="Q2052" s="116">
        <v>62.45</v>
      </c>
      <c r="R2052">
        <v>3434451</v>
      </c>
    </row>
    <row r="2053" spans="1:18" x14ac:dyDescent="0.25">
      <c r="A2053" s="170">
        <v>45028</v>
      </c>
      <c r="B2053" s="116">
        <v>65.11</v>
      </c>
      <c r="C2053" s="116">
        <v>62.83</v>
      </c>
      <c r="D2053" s="116">
        <v>61.53</v>
      </c>
      <c r="E2053" s="116">
        <v>62.51</v>
      </c>
      <c r="F2053" s="116">
        <v>62.83</v>
      </c>
      <c r="G2053">
        <v>626363</v>
      </c>
      <c r="H2053" s="116"/>
      <c r="I2053" s="116"/>
      <c r="L2053" s="170">
        <v>45028</v>
      </c>
      <c r="M2053" s="116">
        <v>62.85</v>
      </c>
      <c r="N2053" s="116">
        <v>65.2</v>
      </c>
      <c r="O2053" s="116">
        <v>61.5</v>
      </c>
      <c r="P2053" s="116">
        <v>63</v>
      </c>
      <c r="Q2053" s="116">
        <v>62.85</v>
      </c>
      <c r="R2053">
        <v>2823333</v>
      </c>
    </row>
    <row r="2054" spans="1:18" x14ac:dyDescent="0.25">
      <c r="A2054" s="170">
        <v>45029</v>
      </c>
      <c r="B2054" s="116">
        <v>63.96</v>
      </c>
      <c r="C2054" s="116">
        <v>62.31</v>
      </c>
      <c r="D2054" s="116">
        <v>61.67</v>
      </c>
      <c r="E2054" s="116">
        <v>63.96</v>
      </c>
      <c r="F2054" s="116">
        <v>62.31</v>
      </c>
      <c r="G2054">
        <v>154063</v>
      </c>
      <c r="H2054" s="116"/>
      <c r="I2054" s="116"/>
      <c r="L2054" s="170">
        <v>45029</v>
      </c>
      <c r="M2054" s="116">
        <v>62.3</v>
      </c>
      <c r="N2054" s="116">
        <v>63.9</v>
      </c>
      <c r="O2054" s="116">
        <v>61.65</v>
      </c>
      <c r="P2054" s="116">
        <v>63.5</v>
      </c>
      <c r="Q2054" s="116">
        <v>62.3</v>
      </c>
      <c r="R2054">
        <v>1529830</v>
      </c>
    </row>
    <row r="2055" spans="1:18" x14ac:dyDescent="0.25">
      <c r="A2055" s="170">
        <v>45033</v>
      </c>
      <c r="B2055" s="116">
        <v>63.74</v>
      </c>
      <c r="C2055" s="116">
        <v>62.59</v>
      </c>
      <c r="D2055" s="116">
        <v>61.26</v>
      </c>
      <c r="E2055" s="116">
        <v>61.26</v>
      </c>
      <c r="F2055" s="116">
        <v>62.59</v>
      </c>
      <c r="G2055">
        <v>414921</v>
      </c>
      <c r="H2055" s="116"/>
      <c r="I2055" s="116"/>
      <c r="L2055" s="170">
        <v>45033</v>
      </c>
      <c r="M2055" s="116">
        <v>62.5</v>
      </c>
      <c r="N2055" s="116">
        <v>63.7</v>
      </c>
      <c r="O2055" s="116">
        <v>61.25</v>
      </c>
      <c r="P2055" s="116">
        <v>61.5</v>
      </c>
      <c r="Q2055" s="116">
        <v>62.5</v>
      </c>
      <c r="R2055">
        <v>1994635</v>
      </c>
    </row>
    <row r="2056" spans="1:18" x14ac:dyDescent="0.25">
      <c r="A2056" s="170">
        <v>45034</v>
      </c>
      <c r="B2056" s="116">
        <v>64.48</v>
      </c>
      <c r="C2056" s="116">
        <v>62.38</v>
      </c>
      <c r="D2056" s="116">
        <v>62.1</v>
      </c>
      <c r="E2056" s="116">
        <v>62.13</v>
      </c>
      <c r="F2056" s="116">
        <v>62.38</v>
      </c>
      <c r="G2056">
        <v>494298</v>
      </c>
      <c r="H2056" s="116"/>
      <c r="I2056" s="116"/>
      <c r="L2056" s="170">
        <v>45034</v>
      </c>
      <c r="M2056" s="116">
        <v>62.35</v>
      </c>
      <c r="N2056" s="116">
        <v>64.5</v>
      </c>
      <c r="O2056" s="116">
        <v>62.15</v>
      </c>
      <c r="P2056" s="116">
        <v>62.9</v>
      </c>
      <c r="Q2056" s="116">
        <v>62.35</v>
      </c>
      <c r="R2056">
        <v>2004210</v>
      </c>
    </row>
    <row r="2057" spans="1:18" x14ac:dyDescent="0.25">
      <c r="A2057" s="170">
        <v>45035</v>
      </c>
      <c r="B2057" s="116">
        <v>62.78</v>
      </c>
      <c r="C2057" s="116">
        <v>61.54</v>
      </c>
      <c r="D2057" s="116">
        <v>61.19</v>
      </c>
      <c r="E2057" s="116">
        <v>62.41</v>
      </c>
      <c r="F2057" s="116">
        <v>61.54</v>
      </c>
      <c r="G2057">
        <v>256340</v>
      </c>
      <c r="H2057" s="116"/>
      <c r="I2057" s="116"/>
      <c r="L2057" s="170">
        <v>45035</v>
      </c>
      <c r="M2057" s="116">
        <v>61.45</v>
      </c>
      <c r="N2057" s="116">
        <v>62.85</v>
      </c>
      <c r="O2057" s="116">
        <v>61.1</v>
      </c>
      <c r="P2057" s="116">
        <v>62.7</v>
      </c>
      <c r="Q2057" s="116">
        <v>61.45</v>
      </c>
      <c r="R2057">
        <v>1410214</v>
      </c>
    </row>
    <row r="2058" spans="1:18" x14ac:dyDescent="0.25">
      <c r="A2058" s="170">
        <v>45036</v>
      </c>
      <c r="B2058" s="116">
        <v>62.5</v>
      </c>
      <c r="C2058" s="116">
        <v>60.71</v>
      </c>
      <c r="D2058" s="116">
        <v>59.85</v>
      </c>
      <c r="E2058" s="116">
        <v>61.56</v>
      </c>
      <c r="F2058" s="116">
        <v>60.71</v>
      </c>
      <c r="G2058">
        <v>344146</v>
      </c>
      <c r="H2058" s="116"/>
      <c r="I2058" s="116"/>
      <c r="L2058" s="170">
        <v>45036</v>
      </c>
      <c r="M2058" s="116">
        <v>60.65</v>
      </c>
      <c r="N2058" s="116">
        <v>62.6</v>
      </c>
      <c r="O2058" s="116">
        <v>59.5</v>
      </c>
      <c r="P2058" s="116">
        <v>62</v>
      </c>
      <c r="Q2058" s="116">
        <v>60.65</v>
      </c>
      <c r="R2058">
        <v>1392830</v>
      </c>
    </row>
    <row r="2059" spans="1:18" x14ac:dyDescent="0.25">
      <c r="A2059" s="170">
        <v>45037</v>
      </c>
      <c r="B2059" s="116">
        <v>65</v>
      </c>
      <c r="C2059" s="116">
        <v>62.45</v>
      </c>
      <c r="D2059" s="116">
        <v>60.63</v>
      </c>
      <c r="E2059" s="116">
        <v>60.71</v>
      </c>
      <c r="F2059" s="116">
        <v>62.45</v>
      </c>
      <c r="G2059">
        <v>978610</v>
      </c>
      <c r="H2059" s="116"/>
      <c r="I2059" s="116"/>
      <c r="L2059" s="170">
        <v>45037</v>
      </c>
      <c r="M2059" s="116">
        <v>62.4</v>
      </c>
      <c r="N2059" s="116">
        <v>65.25</v>
      </c>
      <c r="O2059" s="116">
        <v>60.7</v>
      </c>
      <c r="P2059" s="116">
        <v>60.7</v>
      </c>
      <c r="Q2059" s="116">
        <v>62.4</v>
      </c>
      <c r="R2059">
        <v>4690865</v>
      </c>
    </row>
    <row r="2060" spans="1:18" x14ac:dyDescent="0.25">
      <c r="A2060" s="170">
        <v>45040</v>
      </c>
      <c r="B2060" s="116">
        <v>64</v>
      </c>
      <c r="C2060" s="116">
        <v>62.74</v>
      </c>
      <c r="D2060" s="116">
        <v>62.26</v>
      </c>
      <c r="E2060" s="116">
        <v>62.61</v>
      </c>
      <c r="F2060" s="116">
        <v>62.74</v>
      </c>
      <c r="G2060">
        <v>416434</v>
      </c>
      <c r="H2060" s="116"/>
      <c r="I2060" s="116"/>
      <c r="L2060" s="170">
        <v>45040</v>
      </c>
      <c r="M2060" s="116">
        <v>62.75</v>
      </c>
      <c r="N2060" s="116">
        <v>64</v>
      </c>
      <c r="O2060" s="116">
        <v>62.25</v>
      </c>
      <c r="P2060" s="116">
        <v>62.85</v>
      </c>
      <c r="Q2060" s="116">
        <v>62.75</v>
      </c>
      <c r="R2060">
        <v>1515924</v>
      </c>
    </row>
    <row r="2061" spans="1:18" x14ac:dyDescent="0.25">
      <c r="A2061" s="170">
        <v>45041</v>
      </c>
      <c r="B2061" s="116">
        <v>63.5</v>
      </c>
      <c r="C2061" s="116">
        <v>61.14</v>
      </c>
      <c r="D2061" s="116">
        <v>60.49</v>
      </c>
      <c r="E2061" s="116">
        <v>63</v>
      </c>
      <c r="F2061" s="116">
        <v>61.14</v>
      </c>
      <c r="G2061">
        <v>467908</v>
      </c>
      <c r="H2061" s="116"/>
      <c r="I2061" s="116"/>
      <c r="L2061" s="170">
        <v>45041</v>
      </c>
      <c r="M2061" s="116">
        <v>61.15</v>
      </c>
      <c r="N2061" s="116">
        <v>63.45</v>
      </c>
      <c r="O2061" s="116">
        <v>60.3</v>
      </c>
      <c r="P2061" s="116">
        <v>63.1</v>
      </c>
      <c r="Q2061" s="116">
        <v>61.15</v>
      </c>
      <c r="R2061">
        <v>3666857</v>
      </c>
    </row>
    <row r="2062" spans="1:18" x14ac:dyDescent="0.25">
      <c r="A2062" s="170">
        <v>45042</v>
      </c>
      <c r="B2062" s="116">
        <v>62.23</v>
      </c>
      <c r="C2062" s="116">
        <v>60.8</v>
      </c>
      <c r="D2062" s="116">
        <v>60.55</v>
      </c>
      <c r="E2062" s="116">
        <v>61.02</v>
      </c>
      <c r="F2062" s="116">
        <v>60.8</v>
      </c>
      <c r="G2062">
        <v>231256</v>
      </c>
      <c r="H2062" s="116"/>
      <c r="I2062" s="116"/>
      <c r="L2062" s="170">
        <v>45042</v>
      </c>
      <c r="M2062" s="116">
        <v>60.75</v>
      </c>
      <c r="N2062" s="116">
        <v>62.25</v>
      </c>
      <c r="O2062" s="116">
        <v>60.5</v>
      </c>
      <c r="P2062" s="116">
        <v>61.5</v>
      </c>
      <c r="Q2062" s="116">
        <v>60.75</v>
      </c>
      <c r="R2062">
        <v>2017087</v>
      </c>
    </row>
    <row r="2063" spans="1:18" x14ac:dyDescent="0.25">
      <c r="A2063" s="170">
        <v>45043</v>
      </c>
      <c r="B2063" s="116">
        <v>61.38</v>
      </c>
      <c r="C2063" s="116">
        <v>60.03</v>
      </c>
      <c r="D2063" s="116">
        <v>59.8</v>
      </c>
      <c r="E2063" s="116">
        <v>60.91</v>
      </c>
      <c r="F2063" s="116">
        <v>60.03</v>
      </c>
      <c r="G2063">
        <v>368628</v>
      </c>
      <c r="H2063" s="116"/>
      <c r="I2063" s="116"/>
      <c r="L2063" s="170">
        <v>45043</v>
      </c>
      <c r="M2063" s="116">
        <v>60.1</v>
      </c>
      <c r="N2063" s="116">
        <v>61.35</v>
      </c>
      <c r="O2063" s="116">
        <v>59.8</v>
      </c>
      <c r="P2063" s="116">
        <v>61.35</v>
      </c>
      <c r="Q2063" s="116">
        <v>60.1</v>
      </c>
      <c r="R2063">
        <v>1801901</v>
      </c>
    </row>
    <row r="2064" spans="1:18" x14ac:dyDescent="0.25">
      <c r="A2064" s="170">
        <v>45044</v>
      </c>
      <c r="B2064" s="116">
        <v>62.51</v>
      </c>
      <c r="C2064" s="116">
        <v>61.29</v>
      </c>
      <c r="D2064" s="116">
        <v>60.2</v>
      </c>
      <c r="E2064" s="116">
        <v>60.31</v>
      </c>
      <c r="F2064" s="116">
        <v>61.29</v>
      </c>
      <c r="G2064">
        <v>303416</v>
      </c>
      <c r="H2064" s="116"/>
      <c r="I2064" s="116"/>
      <c r="L2064" s="170">
        <v>45044</v>
      </c>
      <c r="M2064" s="116">
        <v>61.25</v>
      </c>
      <c r="N2064" s="116">
        <v>62.5</v>
      </c>
      <c r="O2064" s="116">
        <v>60.6</v>
      </c>
      <c r="P2064" s="116">
        <v>61</v>
      </c>
      <c r="Q2064" s="116">
        <v>61.25</v>
      </c>
      <c r="R2064">
        <v>2616361</v>
      </c>
    </row>
    <row r="2065" spans="1:18" x14ac:dyDescent="0.25">
      <c r="A2065" s="170">
        <v>45048</v>
      </c>
      <c r="B2065" s="116">
        <v>64</v>
      </c>
      <c r="C2065" s="116">
        <v>61.83</v>
      </c>
      <c r="D2065" s="116">
        <v>61.06</v>
      </c>
      <c r="E2065" s="116">
        <v>61.06</v>
      </c>
      <c r="F2065" s="116">
        <v>61.83</v>
      </c>
      <c r="G2065">
        <v>976340</v>
      </c>
      <c r="H2065" s="116"/>
      <c r="I2065" s="116"/>
      <c r="L2065" s="170">
        <v>45048</v>
      </c>
      <c r="M2065" s="116">
        <v>61.75</v>
      </c>
      <c r="N2065" s="116">
        <v>64</v>
      </c>
      <c r="O2065" s="116">
        <v>61.2</v>
      </c>
      <c r="P2065" s="116">
        <v>61.7</v>
      </c>
      <c r="Q2065" s="116">
        <v>61.75</v>
      </c>
      <c r="R2065">
        <v>3190074</v>
      </c>
    </row>
    <row r="2066" spans="1:18" x14ac:dyDescent="0.25">
      <c r="A2066" s="170">
        <v>45049</v>
      </c>
      <c r="B2066" s="116">
        <v>62.35</v>
      </c>
      <c r="C2066" s="116">
        <v>61.31</v>
      </c>
      <c r="D2066" s="116">
        <v>60.95</v>
      </c>
      <c r="E2066" s="116">
        <v>61.51</v>
      </c>
      <c r="F2066" s="116">
        <v>61.31</v>
      </c>
      <c r="G2066">
        <v>442309</v>
      </c>
      <c r="H2066" s="116"/>
      <c r="I2066" s="116"/>
      <c r="L2066" s="170">
        <v>45049</v>
      </c>
      <c r="M2066" s="116">
        <v>61.35</v>
      </c>
      <c r="N2066" s="116">
        <v>62.4</v>
      </c>
      <c r="O2066" s="116">
        <v>60.95</v>
      </c>
      <c r="P2066" s="116">
        <v>61.75</v>
      </c>
      <c r="Q2066" s="116">
        <v>61.35</v>
      </c>
      <c r="R2066">
        <v>1673596</v>
      </c>
    </row>
    <row r="2067" spans="1:18" x14ac:dyDescent="0.25">
      <c r="A2067" s="170">
        <v>45050</v>
      </c>
      <c r="B2067" s="116">
        <v>67.44</v>
      </c>
      <c r="C2067" s="116">
        <v>67.44</v>
      </c>
      <c r="D2067" s="116">
        <v>61.04</v>
      </c>
      <c r="E2067" s="116">
        <v>61.04</v>
      </c>
      <c r="F2067" s="116">
        <v>67.44</v>
      </c>
      <c r="G2067">
        <v>651991</v>
      </c>
      <c r="H2067" s="116"/>
      <c r="I2067" s="116"/>
      <c r="L2067" s="170">
        <v>45050</v>
      </c>
      <c r="M2067" s="116">
        <v>67.45</v>
      </c>
      <c r="N2067" s="116">
        <v>67.45</v>
      </c>
      <c r="O2067" s="116">
        <v>61</v>
      </c>
      <c r="P2067" s="116">
        <v>61.7</v>
      </c>
      <c r="Q2067" s="116">
        <v>67.45</v>
      </c>
      <c r="R2067">
        <v>9091120</v>
      </c>
    </row>
    <row r="2068" spans="1:18" x14ac:dyDescent="0.25">
      <c r="A2068" s="170">
        <v>45051</v>
      </c>
      <c r="B2068" s="116">
        <v>71</v>
      </c>
      <c r="C2068" s="116">
        <v>66.760000000000005</v>
      </c>
      <c r="D2068" s="116">
        <v>65.849999999999994</v>
      </c>
      <c r="E2068" s="116">
        <v>69</v>
      </c>
      <c r="F2068" s="116">
        <v>66.760000000000005</v>
      </c>
      <c r="G2068">
        <v>1003660</v>
      </c>
      <c r="H2068" s="116"/>
      <c r="I2068" s="116"/>
      <c r="L2068" s="170">
        <v>45051</v>
      </c>
      <c r="M2068" s="116">
        <v>66.8</v>
      </c>
      <c r="N2068" s="116">
        <v>70.900000000000006</v>
      </c>
      <c r="O2068" s="116">
        <v>65.75</v>
      </c>
      <c r="P2068" s="116">
        <v>68.75</v>
      </c>
      <c r="Q2068" s="116">
        <v>66.8</v>
      </c>
      <c r="R2068">
        <v>9822487</v>
      </c>
    </row>
    <row r="2069" spans="1:18" x14ac:dyDescent="0.25">
      <c r="A2069" s="170">
        <v>45054</v>
      </c>
      <c r="B2069" s="116">
        <v>67.989999999999995</v>
      </c>
      <c r="C2069" s="116">
        <v>65.239999999999995</v>
      </c>
      <c r="D2069" s="116">
        <v>65.010000000000005</v>
      </c>
      <c r="E2069" s="116">
        <v>67.989999999999995</v>
      </c>
      <c r="F2069" s="116">
        <v>65.239999999999995</v>
      </c>
      <c r="G2069">
        <v>262148</v>
      </c>
      <c r="H2069" s="116"/>
      <c r="I2069" s="116"/>
      <c r="L2069" s="170">
        <v>45054</v>
      </c>
      <c r="M2069" s="116">
        <v>65.2</v>
      </c>
      <c r="N2069" s="116">
        <v>67.349999999999994</v>
      </c>
      <c r="O2069" s="116">
        <v>65</v>
      </c>
      <c r="P2069" s="116">
        <v>67.2</v>
      </c>
      <c r="Q2069" s="116">
        <v>65.2</v>
      </c>
      <c r="R2069">
        <v>2522633</v>
      </c>
    </row>
    <row r="2070" spans="1:18" x14ac:dyDescent="0.25">
      <c r="A2070" s="170">
        <v>45055</v>
      </c>
      <c r="B2070" s="116">
        <v>66.2</v>
      </c>
      <c r="C2070" s="116">
        <v>62.91</v>
      </c>
      <c r="D2070" s="116">
        <v>62.51</v>
      </c>
      <c r="E2070" s="116">
        <v>65.27</v>
      </c>
      <c r="F2070" s="116">
        <v>62.91</v>
      </c>
      <c r="G2070">
        <v>611417</v>
      </c>
      <c r="H2070" s="116"/>
      <c r="I2070" s="116"/>
      <c r="L2070" s="170">
        <v>45055</v>
      </c>
      <c r="M2070" s="116">
        <v>62.9</v>
      </c>
      <c r="N2070" s="116">
        <v>66.3</v>
      </c>
      <c r="O2070" s="116">
        <v>62.4</v>
      </c>
      <c r="P2070" s="116">
        <v>65.650000000000006</v>
      </c>
      <c r="Q2070" s="116">
        <v>62.9</v>
      </c>
      <c r="R2070">
        <v>2858624</v>
      </c>
    </row>
    <row r="2071" spans="1:18" x14ac:dyDescent="0.25">
      <c r="A2071" s="170">
        <v>45056</v>
      </c>
      <c r="B2071" s="116">
        <v>63.5</v>
      </c>
      <c r="C2071" s="116">
        <v>62.43</v>
      </c>
      <c r="D2071" s="116">
        <v>61.84</v>
      </c>
      <c r="E2071" s="116">
        <v>62.61</v>
      </c>
      <c r="F2071" s="116">
        <v>62.43</v>
      </c>
      <c r="G2071">
        <v>337987</v>
      </c>
      <c r="H2071" s="116"/>
      <c r="I2071" s="116"/>
      <c r="L2071" s="170">
        <v>45056</v>
      </c>
      <c r="M2071" s="116">
        <v>62.4</v>
      </c>
      <c r="N2071" s="116">
        <v>63.45</v>
      </c>
      <c r="O2071" s="116">
        <v>61.75</v>
      </c>
      <c r="P2071" s="116">
        <v>63</v>
      </c>
      <c r="Q2071" s="116">
        <v>62.4</v>
      </c>
      <c r="R2071">
        <v>1286940</v>
      </c>
    </row>
    <row r="2072" spans="1:18" x14ac:dyDescent="0.25">
      <c r="A2072" s="170">
        <v>45057</v>
      </c>
      <c r="B2072" s="116">
        <v>64.28</v>
      </c>
      <c r="C2072" s="116">
        <v>62.86</v>
      </c>
      <c r="D2072" s="116">
        <v>62.5</v>
      </c>
      <c r="E2072" s="116">
        <v>62.53</v>
      </c>
      <c r="F2072" s="116">
        <v>62.86</v>
      </c>
      <c r="G2072">
        <v>375422</v>
      </c>
      <c r="H2072" s="116"/>
      <c r="I2072" s="116"/>
      <c r="L2072" s="170">
        <v>45057</v>
      </c>
      <c r="M2072" s="116">
        <v>62.85</v>
      </c>
      <c r="N2072" s="116">
        <v>64.3</v>
      </c>
      <c r="O2072" s="116">
        <v>62.45</v>
      </c>
      <c r="P2072" s="116">
        <v>62.9</v>
      </c>
      <c r="Q2072" s="116">
        <v>62.85</v>
      </c>
      <c r="R2072">
        <v>1528540</v>
      </c>
    </row>
    <row r="2073" spans="1:18" x14ac:dyDescent="0.25">
      <c r="A2073" s="170">
        <v>45058</v>
      </c>
      <c r="B2073" s="116">
        <v>63.25</v>
      </c>
      <c r="C2073" s="116">
        <v>61.92</v>
      </c>
      <c r="D2073" s="116">
        <v>61.71</v>
      </c>
      <c r="E2073" s="116">
        <v>62.42</v>
      </c>
      <c r="F2073" s="116">
        <v>61.92</v>
      </c>
      <c r="G2073">
        <v>365303</v>
      </c>
      <c r="H2073" s="116"/>
      <c r="I2073" s="116"/>
      <c r="L2073" s="170">
        <v>45058</v>
      </c>
      <c r="M2073" s="116">
        <v>61.9</v>
      </c>
      <c r="N2073" s="116">
        <v>63.25</v>
      </c>
      <c r="O2073" s="116">
        <v>61.65</v>
      </c>
      <c r="P2073" s="116">
        <v>62.85</v>
      </c>
      <c r="Q2073" s="116">
        <v>61.9</v>
      </c>
      <c r="R2073">
        <v>1343361</v>
      </c>
    </row>
    <row r="2074" spans="1:18" x14ac:dyDescent="0.25">
      <c r="A2074" s="170">
        <v>45061</v>
      </c>
      <c r="B2074" s="116">
        <v>62.94</v>
      </c>
      <c r="C2074" s="116">
        <v>62.27</v>
      </c>
      <c r="D2074" s="116">
        <v>61.57</v>
      </c>
      <c r="E2074" s="116">
        <v>61.74</v>
      </c>
      <c r="F2074" s="116">
        <v>62.27</v>
      </c>
      <c r="G2074">
        <v>345626</v>
      </c>
      <c r="H2074" s="116"/>
      <c r="I2074" s="116"/>
      <c r="L2074" s="170">
        <v>45061</v>
      </c>
      <c r="M2074" s="116">
        <v>62.25</v>
      </c>
      <c r="N2074" s="116">
        <v>62.9</v>
      </c>
      <c r="O2074" s="116">
        <v>61.5</v>
      </c>
      <c r="P2074" s="116">
        <v>62.2</v>
      </c>
      <c r="Q2074" s="116">
        <v>62.25</v>
      </c>
      <c r="R2074">
        <v>1280972</v>
      </c>
    </row>
    <row r="2075" spans="1:18" x14ac:dyDescent="0.25">
      <c r="A2075" s="170">
        <v>45062</v>
      </c>
      <c r="B2075" s="116">
        <v>63.41</v>
      </c>
      <c r="C2075" s="116">
        <v>62.54</v>
      </c>
      <c r="D2075" s="116">
        <v>62</v>
      </c>
      <c r="E2075" s="116">
        <v>62.31</v>
      </c>
      <c r="F2075" s="116">
        <v>62.54</v>
      </c>
      <c r="G2075">
        <v>309931</v>
      </c>
      <c r="H2075" s="116"/>
      <c r="I2075" s="116"/>
      <c r="L2075" s="170">
        <v>45062</v>
      </c>
      <c r="M2075" s="116">
        <v>62.5</v>
      </c>
      <c r="N2075" s="116">
        <v>63.45</v>
      </c>
      <c r="O2075" s="116">
        <v>62.25</v>
      </c>
      <c r="P2075" s="116">
        <v>62.45</v>
      </c>
      <c r="Q2075" s="116">
        <v>62.5</v>
      </c>
      <c r="R2075">
        <v>1347507</v>
      </c>
    </row>
    <row r="2076" spans="1:18" x14ac:dyDescent="0.25">
      <c r="A2076" s="170">
        <v>45063</v>
      </c>
      <c r="B2076" s="116">
        <v>62.94</v>
      </c>
      <c r="C2076" s="116">
        <v>62.03</v>
      </c>
      <c r="D2076" s="116">
        <v>61.55</v>
      </c>
      <c r="E2076" s="116">
        <v>62.42</v>
      </c>
      <c r="F2076" s="116">
        <v>62.03</v>
      </c>
      <c r="G2076">
        <v>281707</v>
      </c>
      <c r="H2076" s="116"/>
      <c r="I2076" s="116"/>
      <c r="L2076" s="170">
        <v>45063</v>
      </c>
      <c r="M2076" s="116">
        <v>62</v>
      </c>
      <c r="N2076" s="116">
        <v>62.95</v>
      </c>
      <c r="O2076" s="116">
        <v>61.65</v>
      </c>
      <c r="P2076" s="116">
        <v>62.75</v>
      </c>
      <c r="Q2076" s="116">
        <v>62</v>
      </c>
      <c r="R2076">
        <v>874640</v>
      </c>
    </row>
    <row r="2077" spans="1:18" x14ac:dyDescent="0.25">
      <c r="A2077" s="170">
        <v>45064</v>
      </c>
      <c r="B2077" s="116">
        <v>62.65</v>
      </c>
      <c r="C2077" s="116">
        <v>61.34</v>
      </c>
      <c r="D2077" s="116">
        <v>61.12</v>
      </c>
      <c r="E2077" s="116">
        <v>62.64</v>
      </c>
      <c r="F2077" s="116">
        <v>61.34</v>
      </c>
      <c r="G2077">
        <v>293167</v>
      </c>
      <c r="H2077" s="116"/>
      <c r="I2077" s="116"/>
      <c r="L2077" s="170">
        <v>45064</v>
      </c>
      <c r="M2077" s="116">
        <v>61.35</v>
      </c>
      <c r="N2077" s="116">
        <v>62.65</v>
      </c>
      <c r="O2077" s="116">
        <v>61</v>
      </c>
      <c r="P2077" s="116">
        <v>62.1</v>
      </c>
      <c r="Q2077" s="116">
        <v>61.35</v>
      </c>
      <c r="R2077">
        <v>993548</v>
      </c>
    </row>
    <row r="2078" spans="1:18" x14ac:dyDescent="0.25">
      <c r="A2078" s="170">
        <v>45065</v>
      </c>
      <c r="B2078" s="116">
        <v>62.89</v>
      </c>
      <c r="C2078" s="116">
        <v>60.99</v>
      </c>
      <c r="D2078" s="116">
        <v>60.59</v>
      </c>
      <c r="E2078" s="116">
        <v>61.15</v>
      </c>
      <c r="F2078" s="116">
        <v>60.99</v>
      </c>
      <c r="G2078">
        <v>179836</v>
      </c>
      <c r="H2078" s="116"/>
      <c r="I2078" s="116"/>
      <c r="L2078" s="170">
        <v>45065</v>
      </c>
      <c r="M2078" s="116">
        <v>61</v>
      </c>
      <c r="N2078" s="116">
        <v>62.9</v>
      </c>
      <c r="O2078" s="116">
        <v>60.55</v>
      </c>
      <c r="P2078" s="116">
        <v>61.15</v>
      </c>
      <c r="Q2078" s="116">
        <v>61</v>
      </c>
      <c r="R2078">
        <v>1514659</v>
      </c>
    </row>
    <row r="2079" spans="1:18" x14ac:dyDescent="0.25">
      <c r="A2079" s="170">
        <v>45068</v>
      </c>
      <c r="B2079" s="116">
        <v>61.4</v>
      </c>
      <c r="C2079" s="116">
        <v>60.96</v>
      </c>
      <c r="D2079" s="116">
        <v>60.35</v>
      </c>
      <c r="E2079" s="116">
        <v>60.51</v>
      </c>
      <c r="F2079" s="116">
        <v>60.96</v>
      </c>
      <c r="G2079">
        <v>178026</v>
      </c>
      <c r="H2079" s="116"/>
      <c r="I2079" s="116"/>
      <c r="L2079" s="170">
        <v>45068</v>
      </c>
      <c r="M2079" s="116">
        <v>60.95</v>
      </c>
      <c r="N2079" s="116">
        <v>61.4</v>
      </c>
      <c r="O2079" s="116">
        <v>60.2</v>
      </c>
      <c r="P2079" s="116">
        <v>61.1</v>
      </c>
      <c r="Q2079" s="116">
        <v>60.95</v>
      </c>
      <c r="R2079">
        <v>1394136</v>
      </c>
    </row>
    <row r="2080" spans="1:18" x14ac:dyDescent="0.25">
      <c r="A2080" s="170">
        <v>45069</v>
      </c>
      <c r="B2080" s="116">
        <v>63.75</v>
      </c>
      <c r="C2080" s="116">
        <v>61.46</v>
      </c>
      <c r="D2080" s="116">
        <v>60.56</v>
      </c>
      <c r="E2080" s="116">
        <v>60.56</v>
      </c>
      <c r="F2080" s="116">
        <v>61.46</v>
      </c>
      <c r="G2080">
        <v>815519</v>
      </c>
      <c r="H2080" s="116"/>
      <c r="I2080" s="116"/>
      <c r="L2080" s="170">
        <v>45069</v>
      </c>
      <c r="M2080" s="116">
        <v>61.45</v>
      </c>
      <c r="N2080" s="116">
        <v>63.8</v>
      </c>
      <c r="O2080" s="116">
        <v>61</v>
      </c>
      <c r="P2080" s="116">
        <v>61</v>
      </c>
      <c r="Q2080" s="116">
        <v>61.45</v>
      </c>
      <c r="R2080">
        <v>3062358</v>
      </c>
    </row>
    <row r="2081" spans="1:18" x14ac:dyDescent="0.25">
      <c r="A2081" s="170">
        <v>45070</v>
      </c>
      <c r="B2081" s="116">
        <v>62.34</v>
      </c>
      <c r="C2081" s="116">
        <v>61.21</v>
      </c>
      <c r="D2081" s="116">
        <v>60.95</v>
      </c>
      <c r="E2081" s="116">
        <v>61.5</v>
      </c>
      <c r="F2081" s="116">
        <v>61.21</v>
      </c>
      <c r="G2081">
        <v>424949</v>
      </c>
      <c r="H2081" s="116"/>
      <c r="I2081" s="116"/>
      <c r="L2081" s="170">
        <v>45070</v>
      </c>
      <c r="M2081" s="116">
        <v>61.1</v>
      </c>
      <c r="N2081" s="116">
        <v>62.35</v>
      </c>
      <c r="O2081" s="116">
        <v>60.95</v>
      </c>
      <c r="P2081" s="116">
        <v>61.65</v>
      </c>
      <c r="Q2081" s="116">
        <v>61.1</v>
      </c>
      <c r="R2081">
        <v>1175936</v>
      </c>
    </row>
    <row r="2082" spans="1:18" x14ac:dyDescent="0.25">
      <c r="A2082" s="170">
        <v>45071</v>
      </c>
      <c r="B2082" s="116">
        <v>62.36</v>
      </c>
      <c r="C2082" s="116">
        <v>61.35</v>
      </c>
      <c r="D2082" s="116">
        <v>61.18</v>
      </c>
      <c r="E2082" s="116">
        <v>61.22</v>
      </c>
      <c r="F2082" s="116">
        <v>61.35</v>
      </c>
      <c r="G2082">
        <v>399344</v>
      </c>
      <c r="H2082" s="116"/>
      <c r="I2082" s="116"/>
      <c r="L2082" s="170">
        <v>45071</v>
      </c>
      <c r="M2082" s="116">
        <v>61.35</v>
      </c>
      <c r="N2082" s="116">
        <v>62.5</v>
      </c>
      <c r="O2082" s="116">
        <v>61.1</v>
      </c>
      <c r="P2082" s="116">
        <v>61.3</v>
      </c>
      <c r="Q2082" s="116">
        <v>61.35</v>
      </c>
      <c r="R2082">
        <v>1218552</v>
      </c>
    </row>
    <row r="2083" spans="1:18" x14ac:dyDescent="0.25">
      <c r="A2083" s="170">
        <v>45072</v>
      </c>
      <c r="B2083" s="116">
        <v>62</v>
      </c>
      <c r="C2083" s="116">
        <v>61.16</v>
      </c>
      <c r="D2083" s="116">
        <v>60.92</v>
      </c>
      <c r="E2083" s="116">
        <v>61.37</v>
      </c>
      <c r="F2083" s="116">
        <v>61.16</v>
      </c>
      <c r="G2083">
        <v>286813</v>
      </c>
      <c r="H2083" s="116"/>
      <c r="I2083" s="116"/>
      <c r="L2083" s="170">
        <v>45072</v>
      </c>
      <c r="M2083" s="116">
        <v>61.2</v>
      </c>
      <c r="N2083" s="116">
        <v>62</v>
      </c>
      <c r="O2083" s="116">
        <v>60.95</v>
      </c>
      <c r="P2083" s="116">
        <v>61.6</v>
      </c>
      <c r="Q2083" s="116">
        <v>61.2</v>
      </c>
      <c r="R2083">
        <v>1192803</v>
      </c>
    </row>
    <row r="2084" spans="1:18" x14ac:dyDescent="0.25">
      <c r="A2084" s="170">
        <v>45075</v>
      </c>
      <c r="B2084" s="116">
        <v>61.9</v>
      </c>
      <c r="C2084" s="116">
        <v>61.23</v>
      </c>
      <c r="D2084" s="116">
        <v>61.14</v>
      </c>
      <c r="E2084" s="116">
        <v>61.51</v>
      </c>
      <c r="F2084" s="116">
        <v>61.23</v>
      </c>
      <c r="G2084">
        <v>131414</v>
      </c>
      <c r="H2084" s="116"/>
      <c r="I2084" s="116"/>
      <c r="L2084" s="170">
        <v>45075</v>
      </c>
      <c r="M2084" s="116">
        <v>61.2</v>
      </c>
      <c r="N2084" s="116">
        <v>61.9</v>
      </c>
      <c r="O2084" s="116">
        <v>61.1</v>
      </c>
      <c r="P2084" s="116">
        <v>61.75</v>
      </c>
      <c r="Q2084" s="116">
        <v>61.2</v>
      </c>
      <c r="R2084">
        <v>1153321</v>
      </c>
    </row>
    <row r="2085" spans="1:18" x14ac:dyDescent="0.25">
      <c r="A2085" s="170">
        <v>45076</v>
      </c>
      <c r="B2085" s="116">
        <v>62.2</v>
      </c>
      <c r="C2085" s="116">
        <v>61.74</v>
      </c>
      <c r="D2085" s="116">
        <v>61</v>
      </c>
      <c r="E2085" s="116">
        <v>61.16</v>
      </c>
      <c r="F2085" s="116">
        <v>61.74</v>
      </c>
      <c r="G2085">
        <v>346321</v>
      </c>
      <c r="H2085" s="116"/>
      <c r="I2085" s="116"/>
      <c r="L2085" s="170">
        <v>45076</v>
      </c>
      <c r="M2085" s="116">
        <v>61.75</v>
      </c>
      <c r="N2085" s="116">
        <v>62.25</v>
      </c>
      <c r="O2085" s="116">
        <v>61</v>
      </c>
      <c r="P2085" s="116">
        <v>61.35</v>
      </c>
      <c r="Q2085" s="116">
        <v>61.75</v>
      </c>
      <c r="R2085">
        <v>1381252</v>
      </c>
    </row>
    <row r="2086" spans="1:18" x14ac:dyDescent="0.25">
      <c r="A2086" s="170">
        <v>45077</v>
      </c>
      <c r="B2086" s="116">
        <v>61.8</v>
      </c>
      <c r="C2086" s="116">
        <v>61.5</v>
      </c>
      <c r="D2086" s="116">
        <v>60.61</v>
      </c>
      <c r="E2086" s="116">
        <v>60.61</v>
      </c>
      <c r="F2086" s="116">
        <v>61.5</v>
      </c>
      <c r="G2086">
        <v>138745</v>
      </c>
      <c r="H2086" s="116"/>
      <c r="I2086" s="116"/>
      <c r="L2086" s="170">
        <v>45077</v>
      </c>
      <c r="M2086" s="116">
        <v>61.45</v>
      </c>
      <c r="N2086" s="116">
        <v>61.8</v>
      </c>
      <c r="O2086" s="116">
        <v>61.3</v>
      </c>
      <c r="P2086" s="116">
        <v>61.45</v>
      </c>
      <c r="Q2086" s="116">
        <v>61.45</v>
      </c>
      <c r="R2086">
        <v>1292957</v>
      </c>
    </row>
    <row r="2087" spans="1:18" x14ac:dyDescent="0.25">
      <c r="A2087" s="170">
        <v>45078</v>
      </c>
      <c r="B2087" s="116">
        <v>66.31</v>
      </c>
      <c r="C2087" s="116">
        <v>63.76</v>
      </c>
      <c r="D2087" s="116">
        <v>61.15</v>
      </c>
      <c r="E2087" s="116">
        <v>61.15</v>
      </c>
      <c r="F2087" s="116">
        <v>63.76</v>
      </c>
      <c r="G2087">
        <v>1359625</v>
      </c>
      <c r="H2087" s="116"/>
      <c r="I2087" s="116"/>
      <c r="L2087" s="170">
        <v>45078</v>
      </c>
      <c r="M2087" s="116">
        <v>63.75</v>
      </c>
      <c r="N2087" s="116">
        <v>66.3</v>
      </c>
      <c r="O2087" s="116">
        <v>61.45</v>
      </c>
      <c r="P2087" s="116">
        <v>61.65</v>
      </c>
      <c r="Q2087" s="116">
        <v>63.75</v>
      </c>
      <c r="R2087">
        <v>7634926</v>
      </c>
    </row>
    <row r="2088" spans="1:18" x14ac:dyDescent="0.25">
      <c r="A2088" s="170">
        <v>45079</v>
      </c>
      <c r="B2088" s="116">
        <v>66.150000000000006</v>
      </c>
      <c r="C2088" s="116">
        <v>64.86</v>
      </c>
      <c r="D2088" s="116">
        <v>63.95</v>
      </c>
      <c r="E2088" s="116">
        <v>64.5</v>
      </c>
      <c r="F2088" s="116">
        <v>64.86</v>
      </c>
      <c r="G2088">
        <v>832951</v>
      </c>
      <c r="H2088" s="116"/>
      <c r="I2088" s="116"/>
      <c r="L2088" s="170">
        <v>45079</v>
      </c>
      <c r="M2088" s="116">
        <v>64.8</v>
      </c>
      <c r="N2088" s="116">
        <v>66.2</v>
      </c>
      <c r="O2088" s="116">
        <v>63.95</v>
      </c>
      <c r="P2088" s="116">
        <v>64.5</v>
      </c>
      <c r="Q2088" s="116">
        <v>64.8</v>
      </c>
      <c r="R2088">
        <v>3510460</v>
      </c>
    </row>
    <row r="2089" spans="1:18" x14ac:dyDescent="0.25">
      <c r="A2089" s="170">
        <v>45082</v>
      </c>
      <c r="B2089" s="116">
        <v>66.59</v>
      </c>
      <c r="C2089" s="116">
        <v>64.42</v>
      </c>
      <c r="D2089" s="116">
        <v>64.150000000000006</v>
      </c>
      <c r="E2089" s="116">
        <v>65.010000000000005</v>
      </c>
      <c r="F2089" s="116">
        <v>64.42</v>
      </c>
      <c r="G2089">
        <v>607640</v>
      </c>
      <c r="H2089" s="116"/>
      <c r="I2089" s="116"/>
      <c r="L2089" s="170">
        <v>45082</v>
      </c>
      <c r="M2089" s="116">
        <v>64.400000000000006</v>
      </c>
      <c r="N2089" s="116">
        <v>66.7</v>
      </c>
      <c r="O2089" s="116">
        <v>64.25</v>
      </c>
      <c r="P2089" s="116">
        <v>65.3</v>
      </c>
      <c r="Q2089" s="116">
        <v>64.400000000000006</v>
      </c>
      <c r="R2089">
        <v>2314493</v>
      </c>
    </row>
    <row r="2090" spans="1:18" x14ac:dyDescent="0.25">
      <c r="A2090" s="170">
        <v>45083</v>
      </c>
      <c r="B2090" s="116">
        <v>64.91</v>
      </c>
      <c r="C2090" s="116">
        <v>63.14</v>
      </c>
      <c r="D2090" s="116">
        <v>62.83</v>
      </c>
      <c r="E2090" s="116">
        <v>64.16</v>
      </c>
      <c r="F2090" s="116">
        <v>63.14</v>
      </c>
      <c r="G2090">
        <v>364824</v>
      </c>
      <c r="H2090" s="116"/>
      <c r="I2090" s="116"/>
      <c r="L2090" s="170">
        <v>45083</v>
      </c>
      <c r="M2090" s="116">
        <v>63.15</v>
      </c>
      <c r="N2090" s="116">
        <v>64.900000000000006</v>
      </c>
      <c r="O2090" s="116">
        <v>62.8</v>
      </c>
      <c r="P2090" s="116">
        <v>64.400000000000006</v>
      </c>
      <c r="Q2090" s="116">
        <v>63.15</v>
      </c>
      <c r="R2090">
        <v>1683080</v>
      </c>
    </row>
    <row r="2091" spans="1:18" x14ac:dyDescent="0.25">
      <c r="A2091" s="170">
        <v>45084</v>
      </c>
      <c r="B2091" s="116">
        <v>70.64</v>
      </c>
      <c r="C2091" s="116">
        <v>68.3</v>
      </c>
      <c r="D2091" s="116">
        <v>63.95</v>
      </c>
      <c r="E2091" s="116">
        <v>63.95</v>
      </c>
      <c r="F2091" s="116">
        <v>68.3</v>
      </c>
      <c r="G2091">
        <v>1318724</v>
      </c>
      <c r="H2091" s="116"/>
      <c r="I2091" s="116"/>
      <c r="L2091" s="170">
        <v>45084</v>
      </c>
      <c r="M2091" s="116">
        <v>68.349999999999994</v>
      </c>
      <c r="N2091" s="116">
        <v>70.650000000000006</v>
      </c>
      <c r="O2091" s="116">
        <v>64.099999999999994</v>
      </c>
      <c r="P2091" s="116">
        <v>64.099999999999994</v>
      </c>
      <c r="Q2091" s="116">
        <v>68.349999999999994</v>
      </c>
      <c r="R2091">
        <v>14174769</v>
      </c>
    </row>
    <row r="2092" spans="1:18" x14ac:dyDescent="0.25">
      <c r="A2092" s="170">
        <v>45085</v>
      </c>
      <c r="B2092" s="116">
        <v>80.89</v>
      </c>
      <c r="C2092" s="116">
        <v>78.42</v>
      </c>
      <c r="D2092" s="116">
        <v>68.650000000000006</v>
      </c>
      <c r="E2092" s="116">
        <v>69.19</v>
      </c>
      <c r="F2092" s="116">
        <v>78.42</v>
      </c>
      <c r="G2092">
        <v>3471642</v>
      </c>
      <c r="H2092" s="116"/>
      <c r="I2092" s="116"/>
      <c r="L2092" s="170">
        <v>45085</v>
      </c>
      <c r="M2092" s="116">
        <v>78.400000000000006</v>
      </c>
      <c r="N2092" s="116">
        <v>80.900000000000006</v>
      </c>
      <c r="O2092" s="116">
        <v>68.55</v>
      </c>
      <c r="P2092" s="116">
        <v>69.05</v>
      </c>
      <c r="Q2092" s="116">
        <v>78.400000000000006</v>
      </c>
      <c r="R2092">
        <v>42575992</v>
      </c>
    </row>
    <row r="2093" spans="1:18" x14ac:dyDescent="0.25">
      <c r="A2093" s="170">
        <v>45086</v>
      </c>
      <c r="B2093" s="116">
        <v>84.29</v>
      </c>
      <c r="C2093" s="116">
        <v>79.27</v>
      </c>
      <c r="D2093" s="116">
        <v>78.08</v>
      </c>
      <c r="E2093" s="116">
        <v>79.709999999999994</v>
      </c>
      <c r="F2093" s="116">
        <v>79.27</v>
      </c>
      <c r="G2093">
        <v>4498047</v>
      </c>
      <c r="H2093" s="116"/>
      <c r="I2093" s="116"/>
      <c r="L2093" s="170">
        <v>45086</v>
      </c>
      <c r="M2093" s="116">
        <v>79.3</v>
      </c>
      <c r="N2093" s="116">
        <v>84.3</v>
      </c>
      <c r="O2093" s="116">
        <v>78.2</v>
      </c>
      <c r="P2093" s="116">
        <v>79.45</v>
      </c>
      <c r="Q2093" s="116">
        <v>79.3</v>
      </c>
      <c r="R2093">
        <v>26835892</v>
      </c>
    </row>
    <row r="2094" spans="1:18" x14ac:dyDescent="0.25">
      <c r="A2094" s="170">
        <v>45089</v>
      </c>
      <c r="B2094" s="116">
        <v>83</v>
      </c>
      <c r="C2094" s="116">
        <v>81.39</v>
      </c>
      <c r="D2094" s="116">
        <v>79.17</v>
      </c>
      <c r="E2094" s="116">
        <v>80.3</v>
      </c>
      <c r="F2094" s="116">
        <v>81.39</v>
      </c>
      <c r="G2094">
        <v>1195795</v>
      </c>
      <c r="H2094" s="116"/>
      <c r="I2094" s="116"/>
      <c r="L2094" s="170">
        <v>45089</v>
      </c>
      <c r="M2094" s="116">
        <v>81.3</v>
      </c>
      <c r="N2094" s="116">
        <v>83</v>
      </c>
      <c r="O2094" s="116">
        <v>79.05</v>
      </c>
      <c r="P2094" s="116">
        <v>80.25</v>
      </c>
      <c r="Q2094" s="116">
        <v>81.3</v>
      </c>
      <c r="R2094">
        <v>13805544</v>
      </c>
    </row>
    <row r="2095" spans="1:18" x14ac:dyDescent="0.25">
      <c r="A2095" s="170">
        <v>45090</v>
      </c>
      <c r="B2095" s="116">
        <v>82.4</v>
      </c>
      <c r="C2095" s="116">
        <v>80.209999999999994</v>
      </c>
      <c r="D2095" s="116">
        <v>79.41</v>
      </c>
      <c r="E2095" s="116">
        <v>82</v>
      </c>
      <c r="F2095" s="116">
        <v>80.209999999999994</v>
      </c>
      <c r="G2095">
        <v>1433433</v>
      </c>
      <c r="H2095" s="116"/>
      <c r="I2095" s="116"/>
      <c r="L2095" s="170">
        <v>45090</v>
      </c>
      <c r="M2095" s="116">
        <v>80.2</v>
      </c>
      <c r="N2095" s="116">
        <v>82.6</v>
      </c>
      <c r="O2095" s="116">
        <v>79.45</v>
      </c>
      <c r="P2095" s="116">
        <v>82</v>
      </c>
      <c r="Q2095" s="116">
        <v>80.2</v>
      </c>
      <c r="R2095">
        <v>6872388</v>
      </c>
    </row>
    <row r="2096" spans="1:18" x14ac:dyDescent="0.25">
      <c r="A2096" s="170">
        <v>45091</v>
      </c>
      <c r="B2096" s="116">
        <v>80.7</v>
      </c>
      <c r="C2096" s="116">
        <v>75.81</v>
      </c>
      <c r="D2096" s="116">
        <v>75</v>
      </c>
      <c r="E2096" s="116">
        <v>80.7</v>
      </c>
      <c r="F2096" s="116">
        <v>75.81</v>
      </c>
      <c r="G2096">
        <v>1216367</v>
      </c>
      <c r="H2096" s="116"/>
      <c r="I2096" s="116"/>
      <c r="L2096" s="170">
        <v>45091</v>
      </c>
      <c r="M2096" s="116">
        <v>75.900000000000006</v>
      </c>
      <c r="N2096" s="116">
        <v>80.5</v>
      </c>
      <c r="O2096" s="116">
        <v>75.099999999999994</v>
      </c>
      <c r="P2096" s="116">
        <v>80.5</v>
      </c>
      <c r="Q2096" s="116">
        <v>75.900000000000006</v>
      </c>
      <c r="R2096">
        <v>5398417</v>
      </c>
    </row>
    <row r="2097" spans="1:18" x14ac:dyDescent="0.25">
      <c r="A2097" s="170">
        <v>45092</v>
      </c>
      <c r="B2097" s="116">
        <v>80.77</v>
      </c>
      <c r="C2097" s="116">
        <v>79.010000000000005</v>
      </c>
      <c r="D2097" s="116">
        <v>76.02</v>
      </c>
      <c r="E2097" s="116">
        <v>76.02</v>
      </c>
      <c r="F2097" s="116">
        <v>79.010000000000005</v>
      </c>
      <c r="G2097">
        <v>723888</v>
      </c>
      <c r="H2097" s="116"/>
      <c r="I2097" s="116"/>
      <c r="L2097" s="170">
        <v>45092</v>
      </c>
      <c r="M2097" s="116">
        <v>78.95</v>
      </c>
      <c r="N2097" s="116">
        <v>80.8</v>
      </c>
      <c r="O2097" s="116">
        <v>76.099999999999994</v>
      </c>
      <c r="P2097" s="116">
        <v>76.5</v>
      </c>
      <c r="Q2097" s="116">
        <v>78.95</v>
      </c>
      <c r="R2097">
        <v>8733266</v>
      </c>
    </row>
    <row r="2098" spans="1:18" x14ac:dyDescent="0.25">
      <c r="A2098" s="170">
        <v>45093</v>
      </c>
      <c r="B2098" s="116">
        <v>80.599999999999994</v>
      </c>
      <c r="C2098" s="116">
        <v>77.88</v>
      </c>
      <c r="D2098" s="116">
        <v>77.25</v>
      </c>
      <c r="E2098" s="116">
        <v>79.03</v>
      </c>
      <c r="F2098" s="116">
        <v>77.88</v>
      </c>
      <c r="G2098">
        <v>583117</v>
      </c>
      <c r="H2098" s="116"/>
      <c r="I2098" s="116"/>
      <c r="L2098" s="170">
        <v>45093</v>
      </c>
      <c r="M2098" s="116">
        <v>77.95</v>
      </c>
      <c r="N2098" s="116">
        <v>80</v>
      </c>
      <c r="O2098" s="116">
        <v>77.25</v>
      </c>
      <c r="P2098" s="116">
        <v>79.2</v>
      </c>
      <c r="Q2098" s="116">
        <v>77.95</v>
      </c>
      <c r="R2098">
        <v>2674185</v>
      </c>
    </row>
    <row r="2099" spans="1:18" x14ac:dyDescent="0.25">
      <c r="A2099" s="170">
        <v>45096</v>
      </c>
      <c r="B2099" s="116">
        <v>78.41</v>
      </c>
      <c r="C2099" s="116">
        <v>75.92</v>
      </c>
      <c r="D2099" s="116">
        <v>75.52</v>
      </c>
      <c r="E2099" s="116">
        <v>78.06</v>
      </c>
      <c r="F2099" s="116">
        <v>75.92</v>
      </c>
      <c r="G2099">
        <v>242085</v>
      </c>
      <c r="H2099" s="116"/>
      <c r="I2099" s="116"/>
      <c r="L2099" s="170">
        <v>45096</v>
      </c>
      <c r="M2099" s="116">
        <v>75.95</v>
      </c>
      <c r="N2099" s="116">
        <v>78.55</v>
      </c>
      <c r="O2099" s="116">
        <v>75.5</v>
      </c>
      <c r="P2099" s="116">
        <v>78.5</v>
      </c>
      <c r="Q2099" s="116">
        <v>75.95</v>
      </c>
      <c r="R2099">
        <v>2858133</v>
      </c>
    </row>
    <row r="2100" spans="1:18" x14ac:dyDescent="0.25">
      <c r="A2100" s="170">
        <v>45097</v>
      </c>
      <c r="B2100" s="116">
        <v>75.88</v>
      </c>
      <c r="C2100" s="116">
        <v>74.2</v>
      </c>
      <c r="D2100" s="116">
        <v>72.510000000000005</v>
      </c>
      <c r="E2100" s="116">
        <v>75.56</v>
      </c>
      <c r="F2100" s="116">
        <v>74.2</v>
      </c>
      <c r="G2100">
        <v>366190</v>
      </c>
      <c r="H2100" s="116"/>
      <c r="I2100" s="116"/>
      <c r="L2100" s="170">
        <v>45097</v>
      </c>
      <c r="M2100" s="116">
        <v>74.3</v>
      </c>
      <c r="N2100" s="116">
        <v>76</v>
      </c>
      <c r="O2100" s="116">
        <v>72.3</v>
      </c>
      <c r="P2100" s="116">
        <v>75.75</v>
      </c>
      <c r="Q2100" s="116">
        <v>74.3</v>
      </c>
      <c r="R2100">
        <v>3931613</v>
      </c>
    </row>
    <row r="2101" spans="1:18" x14ac:dyDescent="0.25">
      <c r="A2101" s="170">
        <v>45098</v>
      </c>
      <c r="B2101" s="116">
        <v>75.33</v>
      </c>
      <c r="C2101" s="116">
        <v>73.2</v>
      </c>
      <c r="D2101" s="116">
        <v>72.81</v>
      </c>
      <c r="E2101" s="116">
        <v>74.209999999999994</v>
      </c>
      <c r="F2101" s="116">
        <v>73.2</v>
      </c>
      <c r="G2101">
        <v>198081</v>
      </c>
      <c r="H2101" s="116"/>
      <c r="I2101" s="116"/>
      <c r="L2101" s="170">
        <v>45098</v>
      </c>
      <c r="M2101" s="116">
        <v>73.25</v>
      </c>
      <c r="N2101" s="116">
        <v>75.400000000000006</v>
      </c>
      <c r="O2101" s="116">
        <v>72.8</v>
      </c>
      <c r="P2101" s="116">
        <v>74.650000000000006</v>
      </c>
      <c r="Q2101" s="116">
        <v>73.25</v>
      </c>
      <c r="R2101">
        <v>2115636</v>
      </c>
    </row>
    <row r="2102" spans="1:18" x14ac:dyDescent="0.25">
      <c r="A2102" s="170">
        <v>45099</v>
      </c>
      <c r="B2102" s="116">
        <v>76.489999999999995</v>
      </c>
      <c r="C2102" s="116">
        <v>73.83</v>
      </c>
      <c r="D2102" s="116">
        <v>72.84</v>
      </c>
      <c r="E2102" s="116">
        <v>73.25</v>
      </c>
      <c r="F2102" s="116">
        <v>73.83</v>
      </c>
      <c r="G2102">
        <v>325402</v>
      </c>
      <c r="H2102" s="116"/>
      <c r="I2102" s="116"/>
      <c r="L2102" s="170">
        <v>45099</v>
      </c>
      <c r="M2102" s="116">
        <v>73.849999999999994</v>
      </c>
      <c r="N2102" s="116">
        <v>76.5</v>
      </c>
      <c r="O2102" s="116">
        <v>72.8</v>
      </c>
      <c r="P2102" s="116">
        <v>73.349999999999994</v>
      </c>
      <c r="Q2102" s="116">
        <v>73.849999999999994</v>
      </c>
      <c r="R2102">
        <v>4969119</v>
      </c>
    </row>
    <row r="2103" spans="1:18" x14ac:dyDescent="0.25">
      <c r="A2103" s="170">
        <v>45100</v>
      </c>
      <c r="B2103" s="116">
        <v>74.540000000000006</v>
      </c>
      <c r="C2103" s="116">
        <v>73.34</v>
      </c>
      <c r="D2103" s="116">
        <v>72.180000000000007</v>
      </c>
      <c r="E2103" s="116">
        <v>73.84</v>
      </c>
      <c r="F2103" s="116">
        <v>73.34</v>
      </c>
      <c r="G2103">
        <v>171382</v>
      </c>
      <c r="H2103" s="116"/>
      <c r="I2103" s="116"/>
      <c r="L2103" s="170">
        <v>45100</v>
      </c>
      <c r="M2103" s="116">
        <v>73.349999999999994</v>
      </c>
      <c r="N2103" s="116">
        <v>74.650000000000006</v>
      </c>
      <c r="O2103" s="116">
        <v>72.05</v>
      </c>
      <c r="P2103" s="116">
        <v>74.150000000000006</v>
      </c>
      <c r="Q2103" s="116">
        <v>73.349999999999994</v>
      </c>
      <c r="R2103">
        <v>2826983</v>
      </c>
    </row>
    <row r="2104" spans="1:18" x14ac:dyDescent="0.25">
      <c r="A2104" s="170">
        <v>45103</v>
      </c>
      <c r="B2104" s="116">
        <v>74</v>
      </c>
      <c r="C2104" s="116">
        <v>72.760000000000005</v>
      </c>
      <c r="D2104" s="116">
        <v>72.349999999999994</v>
      </c>
      <c r="E2104" s="116">
        <v>73.06</v>
      </c>
      <c r="F2104" s="116">
        <v>72.760000000000005</v>
      </c>
      <c r="G2104">
        <v>142677</v>
      </c>
      <c r="H2104" s="116"/>
      <c r="I2104" s="116"/>
      <c r="L2104" s="170">
        <v>45103</v>
      </c>
      <c r="M2104" s="116">
        <v>72.8</v>
      </c>
      <c r="N2104" s="116">
        <v>74.05</v>
      </c>
      <c r="O2104" s="116">
        <v>72.3</v>
      </c>
      <c r="P2104" s="116">
        <v>73.599999999999994</v>
      </c>
      <c r="Q2104" s="116">
        <v>72.8</v>
      </c>
      <c r="R2104">
        <v>1829456</v>
      </c>
    </row>
    <row r="2105" spans="1:18" x14ac:dyDescent="0.25">
      <c r="A2105" s="170">
        <v>45104</v>
      </c>
      <c r="B2105" s="116">
        <v>74.099999999999994</v>
      </c>
      <c r="C2105" s="116">
        <v>72.08</v>
      </c>
      <c r="D2105" s="116">
        <v>71.67</v>
      </c>
      <c r="E2105" s="116">
        <v>73.010000000000005</v>
      </c>
      <c r="F2105" s="116">
        <v>72.08</v>
      </c>
      <c r="G2105">
        <v>269794</v>
      </c>
      <c r="H2105" s="116"/>
      <c r="I2105" s="116"/>
      <c r="L2105" s="170">
        <v>45104</v>
      </c>
      <c r="M2105" s="116">
        <v>72.099999999999994</v>
      </c>
      <c r="N2105" s="116">
        <v>74.2</v>
      </c>
      <c r="O2105" s="116">
        <v>71.900000000000006</v>
      </c>
      <c r="P2105" s="116">
        <v>73.2</v>
      </c>
      <c r="Q2105" s="116">
        <v>72.099999999999994</v>
      </c>
      <c r="R2105">
        <v>2899473</v>
      </c>
    </row>
    <row r="2106" spans="1:18" x14ac:dyDescent="0.25">
      <c r="A2106" s="170">
        <v>45105</v>
      </c>
      <c r="B2106" s="116">
        <v>72.95</v>
      </c>
      <c r="C2106" s="116">
        <v>71.709999999999994</v>
      </c>
      <c r="D2106" s="116">
        <v>71.3</v>
      </c>
      <c r="E2106" s="116">
        <v>72.09</v>
      </c>
      <c r="F2106" s="116">
        <v>71.709999999999994</v>
      </c>
      <c r="G2106">
        <v>174428</v>
      </c>
      <c r="H2106" s="116"/>
      <c r="I2106" s="116"/>
      <c r="L2106" s="170">
        <v>45105</v>
      </c>
      <c r="M2106" s="116">
        <v>71.599999999999994</v>
      </c>
      <c r="N2106" s="116">
        <v>72.75</v>
      </c>
      <c r="O2106" s="116">
        <v>71.3</v>
      </c>
      <c r="P2106" s="116">
        <v>72.5</v>
      </c>
      <c r="Q2106" s="116">
        <v>71.599999999999994</v>
      </c>
      <c r="R2106">
        <v>2034586</v>
      </c>
    </row>
    <row r="2107" spans="1:18" x14ac:dyDescent="0.25">
      <c r="A2107" s="170">
        <v>45107</v>
      </c>
      <c r="B2107" s="116">
        <v>72.58</v>
      </c>
      <c r="C2107" s="116">
        <v>71.150000000000006</v>
      </c>
      <c r="D2107" s="116">
        <v>71.099999999999994</v>
      </c>
      <c r="E2107" s="116">
        <v>71.760000000000005</v>
      </c>
      <c r="F2107" s="116">
        <v>71.150000000000006</v>
      </c>
      <c r="G2107">
        <v>369297</v>
      </c>
      <c r="H2107" s="116"/>
      <c r="I2107" s="116"/>
      <c r="L2107" s="170">
        <v>45107</v>
      </c>
      <c r="M2107" s="116">
        <v>71.150000000000006</v>
      </c>
      <c r="N2107" s="116">
        <v>72.650000000000006</v>
      </c>
      <c r="O2107" s="116">
        <v>71</v>
      </c>
      <c r="P2107" s="116">
        <v>71.95</v>
      </c>
      <c r="Q2107" s="116">
        <v>71.150000000000006</v>
      </c>
      <c r="R2107">
        <v>1771394</v>
      </c>
    </row>
    <row r="2108" spans="1:18" x14ac:dyDescent="0.25">
      <c r="A2108" s="170">
        <v>45110</v>
      </c>
      <c r="B2108" s="116">
        <v>72.47</v>
      </c>
      <c r="C2108" s="116">
        <v>71.08</v>
      </c>
      <c r="D2108" s="116">
        <v>70.7</v>
      </c>
      <c r="E2108" s="116">
        <v>71.209999999999994</v>
      </c>
      <c r="F2108" s="116">
        <v>71.08</v>
      </c>
      <c r="G2108">
        <v>352613</v>
      </c>
      <c r="H2108" s="116"/>
      <c r="I2108" s="116"/>
      <c r="L2108" s="170">
        <v>45110</v>
      </c>
      <c r="M2108" s="116">
        <v>71.099999999999994</v>
      </c>
      <c r="N2108" s="116">
        <v>72.5</v>
      </c>
      <c r="O2108" s="116">
        <v>70.7</v>
      </c>
      <c r="P2108" s="116">
        <v>71.5</v>
      </c>
      <c r="Q2108" s="116">
        <v>71.099999999999994</v>
      </c>
      <c r="R2108">
        <v>1989032</v>
      </c>
    </row>
    <row r="2109" spans="1:18" x14ac:dyDescent="0.25">
      <c r="A2109" s="170">
        <v>45111</v>
      </c>
      <c r="B2109" s="116">
        <v>76.650000000000006</v>
      </c>
      <c r="C2109" s="116">
        <v>75.84</v>
      </c>
      <c r="D2109" s="116">
        <v>71.3</v>
      </c>
      <c r="E2109" s="116">
        <v>72.239999999999995</v>
      </c>
      <c r="F2109" s="116">
        <v>75.84</v>
      </c>
      <c r="G2109">
        <v>1215339</v>
      </c>
      <c r="H2109" s="116"/>
      <c r="I2109" s="116"/>
      <c r="L2109" s="170">
        <v>45111</v>
      </c>
      <c r="M2109" s="116">
        <v>75.95</v>
      </c>
      <c r="N2109" s="116">
        <v>76.75</v>
      </c>
      <c r="O2109" s="116">
        <v>71.25</v>
      </c>
      <c r="P2109" s="116">
        <v>71.650000000000006</v>
      </c>
      <c r="Q2109" s="116">
        <v>75.95</v>
      </c>
      <c r="R2109">
        <v>14543554</v>
      </c>
    </row>
    <row r="2110" spans="1:18" x14ac:dyDescent="0.25">
      <c r="A2110" s="170">
        <v>45112</v>
      </c>
      <c r="B2110" s="116">
        <v>77.680000000000007</v>
      </c>
      <c r="C2110" s="116">
        <v>75.569999999999993</v>
      </c>
      <c r="D2110" s="116">
        <v>74.87</v>
      </c>
      <c r="E2110" s="116">
        <v>76.94</v>
      </c>
      <c r="F2110" s="116">
        <v>75.569999999999993</v>
      </c>
      <c r="G2110">
        <v>731348</v>
      </c>
      <c r="H2110" s="116"/>
      <c r="I2110" s="116"/>
      <c r="L2110" s="170">
        <v>45112</v>
      </c>
      <c r="M2110" s="116">
        <v>75.599999999999994</v>
      </c>
      <c r="N2110" s="116">
        <v>77.7</v>
      </c>
      <c r="O2110" s="116">
        <v>74.849999999999994</v>
      </c>
      <c r="P2110" s="116">
        <v>76.7</v>
      </c>
      <c r="Q2110" s="116">
        <v>75.599999999999994</v>
      </c>
      <c r="R2110">
        <v>7716564</v>
      </c>
    </row>
    <row r="2111" spans="1:18" x14ac:dyDescent="0.25">
      <c r="A2111" s="170">
        <v>45113</v>
      </c>
      <c r="B2111" s="116">
        <v>75.38</v>
      </c>
      <c r="C2111" s="116">
        <v>74.45</v>
      </c>
      <c r="D2111" s="116">
        <v>74.099999999999994</v>
      </c>
      <c r="E2111" s="116">
        <v>75.2</v>
      </c>
      <c r="F2111" s="116">
        <v>74.45</v>
      </c>
      <c r="G2111">
        <v>184921</v>
      </c>
      <c r="H2111" s="116"/>
      <c r="I2111" s="116"/>
      <c r="L2111" s="170">
        <v>45113</v>
      </c>
      <c r="M2111" s="116">
        <v>74.45</v>
      </c>
      <c r="N2111" s="116">
        <v>75.400000000000006</v>
      </c>
      <c r="O2111" s="116">
        <v>74</v>
      </c>
      <c r="P2111" s="116">
        <v>75.2</v>
      </c>
      <c r="Q2111" s="116">
        <v>74.45</v>
      </c>
      <c r="R2111">
        <v>2349655</v>
      </c>
    </row>
    <row r="2112" spans="1:18" x14ac:dyDescent="0.25">
      <c r="A2112" s="170">
        <v>45114</v>
      </c>
      <c r="B2112" s="116">
        <v>74.45</v>
      </c>
      <c r="C2112" s="116">
        <v>73.44</v>
      </c>
      <c r="D2112" s="116">
        <v>72.7</v>
      </c>
      <c r="E2112" s="116">
        <v>74.010000000000005</v>
      </c>
      <c r="F2112" s="116">
        <v>73.44</v>
      </c>
      <c r="G2112">
        <v>479493</v>
      </c>
      <c r="H2112" s="116"/>
      <c r="I2112" s="116"/>
      <c r="L2112" s="170">
        <v>45114</v>
      </c>
      <c r="M2112" s="116">
        <v>73.400000000000006</v>
      </c>
      <c r="N2112" s="116">
        <v>74.400000000000006</v>
      </c>
      <c r="O2112" s="116">
        <v>72.7</v>
      </c>
      <c r="P2112" s="116">
        <v>74.2</v>
      </c>
      <c r="Q2112" s="116">
        <v>73.400000000000006</v>
      </c>
      <c r="R2112">
        <v>2163501</v>
      </c>
    </row>
    <row r="2113" spans="1:18" x14ac:dyDescent="0.25">
      <c r="A2113" s="170">
        <v>45117</v>
      </c>
      <c r="B2113" s="116">
        <v>76.400000000000006</v>
      </c>
      <c r="C2113" s="116">
        <v>74.739999999999995</v>
      </c>
      <c r="D2113" s="116">
        <v>72.2</v>
      </c>
      <c r="E2113" s="116">
        <v>73.010000000000005</v>
      </c>
      <c r="F2113" s="116">
        <v>74.739999999999995</v>
      </c>
      <c r="G2113">
        <v>982585</v>
      </c>
      <c r="H2113" s="116"/>
      <c r="I2113" s="116"/>
      <c r="L2113" s="170">
        <v>45117</v>
      </c>
      <c r="M2113" s="116">
        <v>74.75</v>
      </c>
      <c r="N2113" s="116">
        <v>76.5</v>
      </c>
      <c r="O2113" s="116">
        <v>72.2</v>
      </c>
      <c r="P2113" s="116">
        <v>73.45</v>
      </c>
      <c r="Q2113" s="116">
        <v>74.75</v>
      </c>
      <c r="R2113">
        <v>4471031</v>
      </c>
    </row>
    <row r="2114" spans="1:18" x14ac:dyDescent="0.25">
      <c r="A2114" s="170">
        <v>45118</v>
      </c>
      <c r="B2114" s="116">
        <v>75.650000000000006</v>
      </c>
      <c r="C2114" s="116">
        <v>74.34</v>
      </c>
      <c r="D2114" s="116">
        <v>73.97</v>
      </c>
      <c r="E2114" s="116">
        <v>74.75</v>
      </c>
      <c r="F2114" s="116">
        <v>74.34</v>
      </c>
      <c r="G2114">
        <v>213492</v>
      </c>
      <c r="H2114" s="116"/>
      <c r="I2114" s="116"/>
      <c r="L2114" s="170">
        <v>45118</v>
      </c>
      <c r="M2114" s="116">
        <v>74.349999999999994</v>
      </c>
      <c r="N2114" s="116">
        <v>75.400000000000006</v>
      </c>
      <c r="O2114" s="116">
        <v>73.95</v>
      </c>
      <c r="P2114" s="116">
        <v>75.05</v>
      </c>
      <c r="Q2114" s="116">
        <v>74.349999999999994</v>
      </c>
      <c r="R2114">
        <v>2036131</v>
      </c>
    </row>
    <row r="2115" spans="1:18" x14ac:dyDescent="0.25">
      <c r="A2115" s="170">
        <v>45119</v>
      </c>
      <c r="B2115" s="116">
        <v>74.88</v>
      </c>
      <c r="C2115" s="116">
        <v>74.14</v>
      </c>
      <c r="D2115" s="116">
        <v>73.510000000000005</v>
      </c>
      <c r="E2115" s="116">
        <v>74.11</v>
      </c>
      <c r="F2115" s="116">
        <v>74.14</v>
      </c>
      <c r="G2115">
        <v>135633</v>
      </c>
      <c r="H2115" s="116"/>
      <c r="I2115" s="116"/>
      <c r="L2115" s="170">
        <v>45119</v>
      </c>
      <c r="M2115" s="116">
        <v>74.099999999999994</v>
      </c>
      <c r="N2115" s="116">
        <v>74.849999999999994</v>
      </c>
      <c r="O2115" s="116">
        <v>73.5</v>
      </c>
      <c r="P2115" s="116">
        <v>74.650000000000006</v>
      </c>
      <c r="Q2115" s="116">
        <v>74.099999999999994</v>
      </c>
      <c r="R2115">
        <v>1774840</v>
      </c>
    </row>
    <row r="2116" spans="1:18" x14ac:dyDescent="0.25">
      <c r="A2116" s="170">
        <v>45120</v>
      </c>
      <c r="B2116" s="116">
        <v>76.5</v>
      </c>
      <c r="C2116" s="116">
        <v>73.03</v>
      </c>
      <c r="D2116" s="116">
        <v>72.27</v>
      </c>
      <c r="E2116" s="116">
        <v>74.64</v>
      </c>
      <c r="F2116" s="116">
        <v>73.03</v>
      </c>
      <c r="G2116">
        <v>725740</v>
      </c>
      <c r="H2116" s="116"/>
      <c r="I2116" s="116"/>
      <c r="L2116" s="170">
        <v>45120</v>
      </c>
      <c r="M2116" s="116">
        <v>73</v>
      </c>
      <c r="N2116" s="116">
        <v>76.55</v>
      </c>
      <c r="O2116" s="116">
        <v>72.3</v>
      </c>
      <c r="P2116" s="116">
        <v>74.45</v>
      </c>
      <c r="Q2116" s="116">
        <v>73</v>
      </c>
      <c r="R2116">
        <v>4272718</v>
      </c>
    </row>
    <row r="2117" spans="1:18" x14ac:dyDescent="0.25">
      <c r="A2117" s="170">
        <v>45121</v>
      </c>
      <c r="B2117" s="116">
        <v>76.13</v>
      </c>
      <c r="C2117" s="116">
        <v>75.5</v>
      </c>
      <c r="D2117" s="116">
        <v>73.34</v>
      </c>
      <c r="E2117" s="116">
        <v>73.790000000000006</v>
      </c>
      <c r="F2117" s="116">
        <v>75.5</v>
      </c>
      <c r="G2117">
        <v>747467</v>
      </c>
      <c r="H2117" s="116"/>
      <c r="I2117" s="116"/>
      <c r="L2117" s="170">
        <v>45121</v>
      </c>
      <c r="M2117" s="116">
        <v>75.55</v>
      </c>
      <c r="N2117" s="116">
        <v>76.2</v>
      </c>
      <c r="O2117" s="116">
        <v>73.349999999999994</v>
      </c>
      <c r="P2117" s="116">
        <v>73.400000000000006</v>
      </c>
      <c r="Q2117" s="116">
        <v>75.55</v>
      </c>
      <c r="R2117">
        <v>5130093</v>
      </c>
    </row>
    <row r="2118" spans="1:18" x14ac:dyDescent="0.25">
      <c r="A2118" s="170">
        <v>45124</v>
      </c>
      <c r="B2118" s="116">
        <v>76.7</v>
      </c>
      <c r="C2118" s="116">
        <v>74.709999999999994</v>
      </c>
      <c r="D2118" s="116">
        <v>74.099999999999994</v>
      </c>
      <c r="E2118" s="116">
        <v>75.900000000000006</v>
      </c>
      <c r="F2118" s="116">
        <v>74.709999999999994</v>
      </c>
      <c r="G2118">
        <v>272334</v>
      </c>
      <c r="H2118" s="116"/>
      <c r="I2118" s="116"/>
      <c r="L2118" s="170">
        <v>45124</v>
      </c>
      <c r="M2118" s="116">
        <v>74.8</v>
      </c>
      <c r="N2118" s="116">
        <v>76.75</v>
      </c>
      <c r="O2118" s="116">
        <v>74.05</v>
      </c>
      <c r="P2118" s="116">
        <v>75.8</v>
      </c>
      <c r="Q2118" s="116">
        <v>74.8</v>
      </c>
      <c r="R2118">
        <v>3799483</v>
      </c>
    </row>
    <row r="2119" spans="1:18" x14ac:dyDescent="0.25">
      <c r="A2119" s="170">
        <v>45125</v>
      </c>
      <c r="B2119" s="116">
        <v>75</v>
      </c>
      <c r="C2119" s="116">
        <v>73.34</v>
      </c>
      <c r="D2119" s="116">
        <v>73</v>
      </c>
      <c r="E2119" s="116">
        <v>75</v>
      </c>
      <c r="F2119" s="116">
        <v>73.34</v>
      </c>
      <c r="G2119">
        <v>216601</v>
      </c>
      <c r="H2119" s="116"/>
      <c r="I2119" s="116"/>
      <c r="L2119" s="170">
        <v>45125</v>
      </c>
      <c r="M2119" s="116">
        <v>73.3</v>
      </c>
      <c r="N2119" s="116">
        <v>75.150000000000006</v>
      </c>
      <c r="O2119" s="116">
        <v>73</v>
      </c>
      <c r="P2119" s="116">
        <v>74.95</v>
      </c>
      <c r="Q2119" s="116">
        <v>73.3</v>
      </c>
      <c r="R2119">
        <v>2650768</v>
      </c>
    </row>
    <row r="2120" spans="1:18" x14ac:dyDescent="0.25">
      <c r="A2120" s="170">
        <v>45126</v>
      </c>
      <c r="B2120" s="116">
        <v>82.38</v>
      </c>
      <c r="C2120" s="116">
        <v>80.84</v>
      </c>
      <c r="D2120" s="116">
        <v>73.209999999999994</v>
      </c>
      <c r="E2120" s="116">
        <v>73.209999999999994</v>
      </c>
      <c r="F2120" s="116">
        <v>80.84</v>
      </c>
      <c r="G2120">
        <v>3445976</v>
      </c>
      <c r="H2120" s="116"/>
      <c r="I2120" s="116"/>
      <c r="L2120" s="170">
        <v>45126</v>
      </c>
      <c r="M2120" s="116">
        <v>80.95</v>
      </c>
      <c r="N2120" s="116">
        <v>82.5</v>
      </c>
      <c r="O2120" s="116">
        <v>73.2</v>
      </c>
      <c r="P2120" s="116">
        <v>73.349999999999994</v>
      </c>
      <c r="Q2120" s="116">
        <v>80.95</v>
      </c>
      <c r="R2120">
        <v>30720201</v>
      </c>
    </row>
    <row r="2121" spans="1:18" x14ac:dyDescent="0.25">
      <c r="A2121" s="170">
        <v>45127</v>
      </c>
      <c r="B2121" s="116">
        <v>87.05</v>
      </c>
      <c r="C2121" s="116">
        <v>82.04</v>
      </c>
      <c r="D2121" s="116">
        <v>79.08</v>
      </c>
      <c r="E2121" s="116">
        <v>80.099999999999994</v>
      </c>
      <c r="F2121" s="116">
        <v>82.04</v>
      </c>
      <c r="G2121">
        <v>4035566</v>
      </c>
      <c r="H2121" s="116"/>
      <c r="I2121" s="116"/>
      <c r="L2121" s="170">
        <v>45127</v>
      </c>
      <c r="M2121" s="116">
        <v>82.15</v>
      </c>
      <c r="N2121" s="116">
        <v>87.25</v>
      </c>
      <c r="O2121" s="116">
        <v>79.099999999999994</v>
      </c>
      <c r="P2121" s="116">
        <v>80</v>
      </c>
      <c r="Q2121" s="116">
        <v>82.15</v>
      </c>
      <c r="R2121">
        <v>50161493</v>
      </c>
    </row>
    <row r="2122" spans="1:18" x14ac:dyDescent="0.25">
      <c r="A2122" s="170">
        <v>45128</v>
      </c>
      <c r="B2122" s="116">
        <v>83.68</v>
      </c>
      <c r="C2122" s="116">
        <v>82.56</v>
      </c>
      <c r="D2122" s="116">
        <v>81.05</v>
      </c>
      <c r="E2122" s="116">
        <v>81.400000000000006</v>
      </c>
      <c r="F2122" s="116">
        <v>82.56</v>
      </c>
      <c r="G2122">
        <v>713603</v>
      </c>
      <c r="H2122" s="116"/>
      <c r="I2122" s="116"/>
      <c r="L2122" s="170">
        <v>45128</v>
      </c>
      <c r="M2122" s="116">
        <v>82.6</v>
      </c>
      <c r="N2122" s="116">
        <v>83.7</v>
      </c>
      <c r="O2122" s="116">
        <v>81.05</v>
      </c>
      <c r="P2122" s="116">
        <v>81.45</v>
      </c>
      <c r="Q2122" s="116">
        <v>82.6</v>
      </c>
      <c r="R2122">
        <v>8909688</v>
      </c>
    </row>
    <row r="2123" spans="1:18" x14ac:dyDescent="0.25">
      <c r="A2123" s="170">
        <v>45131</v>
      </c>
      <c r="B2123" s="116">
        <v>83.76</v>
      </c>
      <c r="C2123" s="116">
        <v>79.59</v>
      </c>
      <c r="D2123" s="116">
        <v>78.959999999999994</v>
      </c>
      <c r="E2123" s="116">
        <v>82.57</v>
      </c>
      <c r="F2123" s="116">
        <v>79.59</v>
      </c>
      <c r="G2123">
        <v>556152</v>
      </c>
      <c r="H2123" s="116"/>
      <c r="I2123" s="116"/>
      <c r="L2123" s="170">
        <v>45131</v>
      </c>
      <c r="M2123" s="116">
        <v>79.599999999999994</v>
      </c>
      <c r="N2123" s="116">
        <v>83.75</v>
      </c>
      <c r="O2123" s="116">
        <v>79</v>
      </c>
      <c r="P2123" s="116">
        <v>82.7</v>
      </c>
      <c r="Q2123" s="116">
        <v>79.599999999999994</v>
      </c>
      <c r="R2123">
        <v>7220934</v>
      </c>
    </row>
    <row r="2124" spans="1:18" x14ac:dyDescent="0.25">
      <c r="A2124" s="170">
        <v>45132</v>
      </c>
      <c r="B2124" s="116">
        <v>84.4</v>
      </c>
      <c r="C2124" s="116">
        <v>82.38</v>
      </c>
      <c r="D2124" s="116">
        <v>79.61</v>
      </c>
      <c r="E2124" s="116">
        <v>79.61</v>
      </c>
      <c r="F2124" s="116">
        <v>82.38</v>
      </c>
      <c r="G2124">
        <v>1111301</v>
      </c>
      <c r="H2124" s="116"/>
      <c r="I2124" s="116"/>
      <c r="L2124" s="170">
        <v>45132</v>
      </c>
      <c r="M2124" s="116">
        <v>82.4</v>
      </c>
      <c r="N2124" s="116">
        <v>84.4</v>
      </c>
      <c r="O2124" s="116">
        <v>79</v>
      </c>
      <c r="P2124" s="116">
        <v>80.099999999999994</v>
      </c>
      <c r="Q2124" s="116">
        <v>82.4</v>
      </c>
      <c r="R2124">
        <v>11417503</v>
      </c>
    </row>
    <row r="2125" spans="1:18" x14ac:dyDescent="0.25">
      <c r="A2125" s="170">
        <v>45133</v>
      </c>
      <c r="B2125" s="116">
        <v>84</v>
      </c>
      <c r="C2125" s="116">
        <v>82.48</v>
      </c>
      <c r="D2125" s="116">
        <v>82.05</v>
      </c>
      <c r="E2125" s="116">
        <v>82.06</v>
      </c>
      <c r="F2125" s="116">
        <v>82.48</v>
      </c>
      <c r="G2125">
        <v>600647</v>
      </c>
      <c r="H2125" s="116"/>
      <c r="I2125" s="116"/>
      <c r="L2125" s="170">
        <v>45133</v>
      </c>
      <c r="M2125" s="116">
        <v>82.45</v>
      </c>
      <c r="N2125" s="116">
        <v>84</v>
      </c>
      <c r="O2125" s="116">
        <v>82</v>
      </c>
      <c r="P2125" s="116">
        <v>83</v>
      </c>
      <c r="Q2125" s="116">
        <v>82.45</v>
      </c>
      <c r="R2125">
        <v>5461180</v>
      </c>
    </row>
    <row r="2126" spans="1:18" x14ac:dyDescent="0.25">
      <c r="A2126" s="170">
        <v>45134</v>
      </c>
      <c r="B2126" s="116">
        <v>84.26</v>
      </c>
      <c r="C2126" s="116">
        <v>79.94</v>
      </c>
      <c r="D2126" s="116">
        <v>79.510000000000005</v>
      </c>
      <c r="E2126" s="116">
        <v>83.39</v>
      </c>
      <c r="F2126" s="116">
        <v>79.94</v>
      </c>
      <c r="G2126">
        <v>1588602</v>
      </c>
      <c r="H2126" s="116"/>
      <c r="I2126" s="116"/>
      <c r="L2126" s="170">
        <v>45134</v>
      </c>
      <c r="M2126" s="116">
        <v>79.95</v>
      </c>
      <c r="N2126" s="116">
        <v>84.35</v>
      </c>
      <c r="O2126" s="116">
        <v>79.5</v>
      </c>
      <c r="P2126" s="116">
        <v>83</v>
      </c>
      <c r="Q2126" s="116">
        <v>79.95</v>
      </c>
      <c r="R2126">
        <v>8566690</v>
      </c>
    </row>
    <row r="2127" spans="1:18" x14ac:dyDescent="0.25">
      <c r="A2127" s="170">
        <v>45135</v>
      </c>
      <c r="B2127" s="116">
        <v>81.45</v>
      </c>
      <c r="C2127" s="116">
        <v>78.14</v>
      </c>
      <c r="D2127" s="116">
        <v>76.8</v>
      </c>
      <c r="E2127" s="116">
        <v>79.010000000000005</v>
      </c>
      <c r="F2127" s="116">
        <v>78.14</v>
      </c>
      <c r="G2127">
        <v>617649</v>
      </c>
      <c r="H2127" s="116"/>
      <c r="I2127" s="116"/>
      <c r="L2127" s="170">
        <v>45135</v>
      </c>
      <c r="M2127" s="116">
        <v>78.55</v>
      </c>
      <c r="N2127" s="116">
        <v>80.5</v>
      </c>
      <c r="O2127" s="116">
        <v>78.2</v>
      </c>
      <c r="P2127" s="116">
        <v>79.7</v>
      </c>
      <c r="Q2127" s="116">
        <v>78.55</v>
      </c>
      <c r="R2127">
        <v>4343528</v>
      </c>
    </row>
    <row r="2128" spans="1:18" x14ac:dyDescent="0.25">
      <c r="A2128" s="170">
        <v>45138</v>
      </c>
      <c r="B2128" s="116">
        <v>80.39</v>
      </c>
      <c r="C2128" s="116">
        <v>79.040000000000006</v>
      </c>
      <c r="D2128" s="116">
        <v>78.34</v>
      </c>
      <c r="E2128" s="116">
        <v>78.569999999999993</v>
      </c>
      <c r="F2128" s="116">
        <v>79.040000000000006</v>
      </c>
      <c r="G2128">
        <v>413502</v>
      </c>
      <c r="H2128" s="116"/>
      <c r="I2128" s="116"/>
      <c r="L2128" s="170">
        <v>45138</v>
      </c>
      <c r="M2128" s="116">
        <v>79.099999999999994</v>
      </c>
      <c r="N2128" s="116">
        <v>80.400000000000006</v>
      </c>
      <c r="O2128" s="116">
        <v>78.400000000000006</v>
      </c>
      <c r="P2128" s="116">
        <v>79.349999999999994</v>
      </c>
      <c r="Q2128" s="116">
        <v>79.099999999999994</v>
      </c>
      <c r="R2128">
        <v>4102305</v>
      </c>
    </row>
    <row r="2129" spans="1:18" x14ac:dyDescent="0.25">
      <c r="A2129" s="170">
        <v>45139</v>
      </c>
      <c r="B2129" s="116">
        <v>80.95</v>
      </c>
      <c r="C2129" s="116">
        <v>79.58</v>
      </c>
      <c r="D2129" s="116">
        <v>79.099999999999994</v>
      </c>
      <c r="E2129" s="116">
        <v>79.11</v>
      </c>
      <c r="F2129" s="116">
        <v>79.58</v>
      </c>
      <c r="G2129">
        <v>353743</v>
      </c>
      <c r="H2129" s="116"/>
      <c r="I2129" s="116"/>
      <c r="L2129" s="170">
        <v>45139</v>
      </c>
      <c r="M2129" s="116">
        <v>79.55</v>
      </c>
      <c r="N2129" s="116">
        <v>80.95</v>
      </c>
      <c r="O2129" s="116">
        <v>79.150000000000006</v>
      </c>
      <c r="P2129" s="116">
        <v>79.95</v>
      </c>
      <c r="Q2129" s="116">
        <v>79.55</v>
      </c>
      <c r="R2129">
        <v>3153506</v>
      </c>
    </row>
    <row r="2130" spans="1:18" x14ac:dyDescent="0.25">
      <c r="A2130" s="170">
        <v>45140</v>
      </c>
      <c r="B2130" s="116">
        <v>80.31</v>
      </c>
      <c r="C2130" s="116">
        <v>77.849999999999994</v>
      </c>
      <c r="D2130" s="116">
        <v>76.8</v>
      </c>
      <c r="E2130" s="116">
        <v>79.69</v>
      </c>
      <c r="F2130" s="116">
        <v>77.849999999999994</v>
      </c>
      <c r="G2130">
        <v>645205</v>
      </c>
      <c r="H2130" s="116"/>
      <c r="I2130" s="116"/>
      <c r="L2130" s="170">
        <v>45140</v>
      </c>
      <c r="M2130" s="116">
        <v>77.8</v>
      </c>
      <c r="N2130" s="116">
        <v>80.3</v>
      </c>
      <c r="O2130" s="116">
        <v>76.849999999999994</v>
      </c>
      <c r="P2130" s="116">
        <v>79.5</v>
      </c>
      <c r="Q2130" s="116">
        <v>77.8</v>
      </c>
      <c r="R2130">
        <v>3057518</v>
      </c>
    </row>
    <row r="2131" spans="1:18" x14ac:dyDescent="0.25">
      <c r="A2131" s="170">
        <v>45141</v>
      </c>
      <c r="B2131" s="116">
        <v>80.099999999999994</v>
      </c>
      <c r="C2131" s="116">
        <v>78.7</v>
      </c>
      <c r="D2131" s="116">
        <v>77.5</v>
      </c>
      <c r="E2131" s="116">
        <v>77.86</v>
      </c>
      <c r="F2131" s="116">
        <v>78.7</v>
      </c>
      <c r="G2131">
        <v>592770</v>
      </c>
      <c r="H2131" s="116"/>
      <c r="I2131" s="116"/>
      <c r="L2131" s="170">
        <v>45141</v>
      </c>
      <c r="M2131" s="116">
        <v>78.7</v>
      </c>
      <c r="N2131" s="116">
        <v>80.150000000000006</v>
      </c>
      <c r="O2131" s="116">
        <v>77.55</v>
      </c>
      <c r="P2131" s="116">
        <v>78</v>
      </c>
      <c r="Q2131" s="116">
        <v>78.7</v>
      </c>
      <c r="R2131">
        <v>3370417</v>
      </c>
    </row>
    <row r="2132" spans="1:18" x14ac:dyDescent="0.25">
      <c r="A2132" s="170">
        <v>45142</v>
      </c>
      <c r="B2132" s="116">
        <v>80.650000000000006</v>
      </c>
      <c r="C2132" s="116">
        <v>79.72</v>
      </c>
      <c r="D2132" s="116">
        <v>78.69</v>
      </c>
      <c r="E2132" s="116">
        <v>78.72</v>
      </c>
      <c r="F2132" s="116">
        <v>79.72</v>
      </c>
      <c r="G2132">
        <v>569636</v>
      </c>
      <c r="H2132" s="116"/>
      <c r="I2132" s="116"/>
      <c r="L2132" s="170">
        <v>45142</v>
      </c>
      <c r="M2132" s="116">
        <v>79.650000000000006</v>
      </c>
      <c r="N2132" s="116">
        <v>80.7</v>
      </c>
      <c r="O2132" s="116">
        <v>78.7</v>
      </c>
      <c r="P2132" s="116">
        <v>79.099999999999994</v>
      </c>
      <c r="Q2132" s="116">
        <v>79.650000000000006</v>
      </c>
      <c r="R2132">
        <v>3512993</v>
      </c>
    </row>
    <row r="2133" spans="1:18" x14ac:dyDescent="0.25">
      <c r="A2133" s="170">
        <v>45145</v>
      </c>
      <c r="B2133" s="116">
        <v>80.48</v>
      </c>
      <c r="C2133" s="116">
        <v>78.510000000000005</v>
      </c>
      <c r="D2133" s="116">
        <v>78.099999999999994</v>
      </c>
      <c r="E2133" s="116">
        <v>79.73</v>
      </c>
      <c r="F2133" s="116">
        <v>78.510000000000005</v>
      </c>
      <c r="G2133">
        <v>483819</v>
      </c>
      <c r="H2133" s="116"/>
      <c r="I2133" s="116"/>
      <c r="L2133" s="170">
        <v>45145</v>
      </c>
      <c r="M2133" s="116">
        <v>78.45</v>
      </c>
      <c r="N2133" s="116">
        <v>80.400000000000006</v>
      </c>
      <c r="O2133" s="116">
        <v>78.05</v>
      </c>
      <c r="P2133" s="116">
        <v>80.3</v>
      </c>
      <c r="Q2133" s="116">
        <v>78.45</v>
      </c>
      <c r="R2133">
        <v>2675562</v>
      </c>
    </row>
    <row r="2134" spans="1:18" x14ac:dyDescent="0.25">
      <c r="A2134" s="170">
        <v>45146</v>
      </c>
      <c r="B2134" s="116">
        <v>78.989999999999995</v>
      </c>
      <c r="C2134" s="116">
        <v>77.23</v>
      </c>
      <c r="D2134" s="116">
        <v>76.2</v>
      </c>
      <c r="E2134" s="116">
        <v>78.989999999999995</v>
      </c>
      <c r="F2134" s="116">
        <v>77.23</v>
      </c>
      <c r="G2134">
        <v>393762</v>
      </c>
      <c r="H2134" s="116"/>
      <c r="I2134" s="116"/>
      <c r="L2134" s="170">
        <v>45146</v>
      </c>
      <c r="M2134" s="116">
        <v>77.25</v>
      </c>
      <c r="N2134" s="116">
        <v>78.8</v>
      </c>
      <c r="O2134" s="116">
        <v>76.2</v>
      </c>
      <c r="P2134" s="116">
        <v>78.5</v>
      </c>
      <c r="Q2134" s="116">
        <v>77.25</v>
      </c>
      <c r="R2134">
        <v>2771740</v>
      </c>
    </row>
    <row r="2135" spans="1:18" x14ac:dyDescent="0.25">
      <c r="A2135" s="170">
        <v>45147</v>
      </c>
      <c r="B2135" s="116">
        <v>80.709999999999994</v>
      </c>
      <c r="C2135" s="116">
        <v>78.81</v>
      </c>
      <c r="D2135" s="116">
        <v>76.3</v>
      </c>
      <c r="E2135" s="116">
        <v>77.010000000000005</v>
      </c>
      <c r="F2135" s="116">
        <v>78.81</v>
      </c>
      <c r="G2135">
        <v>512744</v>
      </c>
      <c r="H2135" s="116"/>
      <c r="I2135" s="116"/>
      <c r="L2135" s="170">
        <v>45147</v>
      </c>
      <c r="M2135" s="116">
        <v>78.75</v>
      </c>
      <c r="N2135" s="116">
        <v>80.7</v>
      </c>
      <c r="O2135" s="116">
        <v>76.349999999999994</v>
      </c>
      <c r="P2135" s="116">
        <v>77.25</v>
      </c>
      <c r="Q2135" s="116">
        <v>78.75</v>
      </c>
      <c r="R2135">
        <v>5726295</v>
      </c>
    </row>
    <row r="2136" spans="1:18" x14ac:dyDescent="0.25">
      <c r="A2136" s="170">
        <v>45148</v>
      </c>
      <c r="B2136" s="116">
        <v>80.3</v>
      </c>
      <c r="C2136" s="116">
        <v>78.27</v>
      </c>
      <c r="D2136" s="116">
        <v>77.52</v>
      </c>
      <c r="E2136" s="116">
        <v>78.81</v>
      </c>
      <c r="F2136" s="116">
        <v>78.27</v>
      </c>
      <c r="G2136">
        <v>563797</v>
      </c>
      <c r="H2136" s="116"/>
      <c r="I2136" s="116"/>
      <c r="L2136" s="170">
        <v>45148</v>
      </c>
      <c r="M2136" s="116">
        <v>78.2</v>
      </c>
      <c r="N2136" s="116">
        <v>80.400000000000006</v>
      </c>
      <c r="O2136" s="116">
        <v>77.45</v>
      </c>
      <c r="P2136" s="116">
        <v>78.75</v>
      </c>
      <c r="Q2136" s="116">
        <v>78.2</v>
      </c>
      <c r="R2136">
        <v>3893486</v>
      </c>
    </row>
    <row r="2137" spans="1:18" x14ac:dyDescent="0.25">
      <c r="A2137" s="170">
        <v>45149</v>
      </c>
      <c r="B2137" s="116">
        <v>78.790000000000006</v>
      </c>
      <c r="C2137" s="116">
        <v>77.900000000000006</v>
      </c>
      <c r="D2137" s="116">
        <v>77.599999999999994</v>
      </c>
      <c r="E2137" s="116">
        <v>77.66</v>
      </c>
      <c r="F2137" s="116">
        <v>77.900000000000006</v>
      </c>
      <c r="G2137">
        <v>330257</v>
      </c>
      <c r="H2137" s="116"/>
      <c r="I2137" s="116"/>
      <c r="L2137" s="170">
        <v>45149</v>
      </c>
      <c r="M2137" s="116">
        <v>77.900000000000006</v>
      </c>
      <c r="N2137" s="116">
        <v>78.95</v>
      </c>
      <c r="O2137" s="116">
        <v>77.55</v>
      </c>
      <c r="P2137" s="116">
        <v>78.599999999999994</v>
      </c>
      <c r="Q2137" s="116">
        <v>77.900000000000006</v>
      </c>
      <c r="R2137">
        <v>2267714</v>
      </c>
    </row>
    <row r="2138" spans="1:18" x14ac:dyDescent="0.25">
      <c r="A2138" s="170">
        <v>45152</v>
      </c>
      <c r="B2138" s="116">
        <v>78.33</v>
      </c>
      <c r="C2138" s="116">
        <v>76.930000000000007</v>
      </c>
      <c r="D2138" s="116">
        <v>76.400000000000006</v>
      </c>
      <c r="E2138" s="116">
        <v>77.900000000000006</v>
      </c>
      <c r="F2138" s="116">
        <v>76.930000000000007</v>
      </c>
      <c r="G2138">
        <v>358636</v>
      </c>
      <c r="H2138" s="116"/>
      <c r="I2138" s="116"/>
      <c r="L2138" s="170">
        <v>45152</v>
      </c>
      <c r="M2138" s="116">
        <v>76.900000000000006</v>
      </c>
      <c r="N2138" s="116">
        <v>78.3</v>
      </c>
      <c r="O2138" s="116">
        <v>76.45</v>
      </c>
      <c r="P2138" s="116">
        <v>78</v>
      </c>
      <c r="Q2138" s="116">
        <v>76.900000000000006</v>
      </c>
      <c r="R2138">
        <v>1642316</v>
      </c>
    </row>
    <row r="2139" spans="1:18" x14ac:dyDescent="0.25">
      <c r="A2139" s="170">
        <v>45154</v>
      </c>
      <c r="B2139" s="116">
        <v>79.2</v>
      </c>
      <c r="C2139" s="116">
        <v>77.59</v>
      </c>
      <c r="D2139" s="116">
        <v>75.39</v>
      </c>
      <c r="E2139" s="116">
        <v>76.010000000000005</v>
      </c>
      <c r="F2139" s="116">
        <v>77.59</v>
      </c>
      <c r="G2139">
        <v>606792</v>
      </c>
      <c r="H2139" s="116"/>
      <c r="I2139" s="116"/>
      <c r="L2139" s="170">
        <v>45154</v>
      </c>
      <c r="M2139" s="116">
        <v>77.55</v>
      </c>
      <c r="N2139" s="116">
        <v>79.25</v>
      </c>
      <c r="O2139" s="116">
        <v>75.5</v>
      </c>
      <c r="P2139" s="116">
        <v>76.5</v>
      </c>
      <c r="Q2139" s="116">
        <v>77.55</v>
      </c>
      <c r="R2139">
        <v>2815377</v>
      </c>
    </row>
    <row r="2140" spans="1:18" x14ac:dyDescent="0.25">
      <c r="A2140" s="170">
        <v>45155</v>
      </c>
      <c r="B2140" s="116">
        <v>79.37</v>
      </c>
      <c r="C2140" s="116">
        <v>77.209999999999994</v>
      </c>
      <c r="D2140" s="116">
        <v>77</v>
      </c>
      <c r="E2140" s="116">
        <v>77.11</v>
      </c>
      <c r="F2140" s="116">
        <v>77.209999999999994</v>
      </c>
      <c r="G2140">
        <v>589412</v>
      </c>
      <c r="H2140" s="116"/>
      <c r="I2140" s="116"/>
      <c r="L2140" s="170">
        <v>45155</v>
      </c>
      <c r="M2140" s="116">
        <v>77.2</v>
      </c>
      <c r="N2140" s="116">
        <v>79.5</v>
      </c>
      <c r="O2140" s="116">
        <v>76.95</v>
      </c>
      <c r="P2140" s="116">
        <v>77.599999999999994</v>
      </c>
      <c r="Q2140" s="116">
        <v>77.2</v>
      </c>
      <c r="R2140">
        <v>2791154</v>
      </c>
    </row>
    <row r="2141" spans="1:18" x14ac:dyDescent="0.25">
      <c r="A2141" s="170">
        <v>45156</v>
      </c>
      <c r="B2141" s="116">
        <v>78.05</v>
      </c>
      <c r="C2141" s="116">
        <v>76.53</v>
      </c>
      <c r="D2141" s="116">
        <v>76.25</v>
      </c>
      <c r="E2141" s="116">
        <v>77.02</v>
      </c>
      <c r="F2141" s="116">
        <v>76.53</v>
      </c>
      <c r="G2141">
        <v>392627</v>
      </c>
      <c r="H2141" s="116"/>
      <c r="I2141" s="116"/>
      <c r="L2141" s="170">
        <v>45156</v>
      </c>
      <c r="M2141" s="116">
        <v>76.5</v>
      </c>
      <c r="N2141" s="116">
        <v>78.099999999999994</v>
      </c>
      <c r="O2141" s="116">
        <v>76.2</v>
      </c>
      <c r="P2141" s="116">
        <v>77.2</v>
      </c>
      <c r="Q2141" s="116">
        <v>76.5</v>
      </c>
      <c r="R2141">
        <v>1781888</v>
      </c>
    </row>
    <row r="2142" spans="1:18" x14ac:dyDescent="0.25">
      <c r="A2142" s="170">
        <v>45159</v>
      </c>
      <c r="B2142" s="116">
        <v>77.37</v>
      </c>
      <c r="C2142" s="116">
        <v>75.790000000000006</v>
      </c>
      <c r="D2142" s="116">
        <v>75.5</v>
      </c>
      <c r="E2142" s="116">
        <v>76.11</v>
      </c>
      <c r="F2142" s="116">
        <v>75.790000000000006</v>
      </c>
      <c r="G2142">
        <v>513389</v>
      </c>
      <c r="H2142" s="116"/>
      <c r="I2142" s="116"/>
      <c r="L2142" s="170">
        <v>45159</v>
      </c>
      <c r="M2142" s="116">
        <v>75.7</v>
      </c>
      <c r="N2142" s="116">
        <v>77.349999999999994</v>
      </c>
      <c r="O2142" s="116">
        <v>75.150000000000006</v>
      </c>
      <c r="P2142" s="116">
        <v>76.45</v>
      </c>
      <c r="Q2142" s="116">
        <v>75.7</v>
      </c>
      <c r="R2142">
        <v>1797843</v>
      </c>
    </row>
    <row r="2143" spans="1:18" x14ac:dyDescent="0.25">
      <c r="A2143" s="170">
        <v>45160</v>
      </c>
      <c r="B2143" s="116">
        <v>83.2</v>
      </c>
      <c r="C2143" s="116">
        <v>82.2</v>
      </c>
      <c r="D2143" s="116">
        <v>76.62</v>
      </c>
      <c r="E2143" s="116">
        <v>76.739999999999995</v>
      </c>
      <c r="F2143" s="116">
        <v>82.2</v>
      </c>
      <c r="G2143">
        <v>4041114</v>
      </c>
      <c r="H2143" s="116"/>
      <c r="I2143" s="116"/>
      <c r="L2143" s="170">
        <v>45160</v>
      </c>
      <c r="M2143" s="116">
        <v>82.15</v>
      </c>
      <c r="N2143" s="116">
        <v>83.25</v>
      </c>
      <c r="O2143" s="116">
        <v>76.5</v>
      </c>
      <c r="P2143" s="116">
        <v>76.5</v>
      </c>
      <c r="Q2143" s="116">
        <v>82.15</v>
      </c>
      <c r="R2143">
        <v>22921756</v>
      </c>
    </row>
    <row r="2144" spans="1:18" x14ac:dyDescent="0.25">
      <c r="A2144" s="170">
        <v>45161</v>
      </c>
      <c r="B2144" s="116">
        <v>84.84</v>
      </c>
      <c r="C2144" s="116">
        <v>82.46</v>
      </c>
      <c r="D2144" s="116">
        <v>81.599999999999994</v>
      </c>
      <c r="E2144" s="116">
        <v>82.94</v>
      </c>
      <c r="F2144" s="116">
        <v>82.46</v>
      </c>
      <c r="G2144">
        <v>2065881</v>
      </c>
      <c r="H2144" s="116"/>
      <c r="I2144" s="116"/>
      <c r="L2144" s="170">
        <v>45161</v>
      </c>
      <c r="M2144" s="116">
        <v>82.45</v>
      </c>
      <c r="N2144" s="116">
        <v>84.85</v>
      </c>
      <c r="O2144" s="116">
        <v>81.55</v>
      </c>
      <c r="P2144" s="116">
        <v>82.25</v>
      </c>
      <c r="Q2144" s="116">
        <v>82.45</v>
      </c>
      <c r="R2144">
        <v>13527349</v>
      </c>
    </row>
    <row r="2145" spans="1:18" x14ac:dyDescent="0.25">
      <c r="A2145" s="170">
        <v>45162</v>
      </c>
      <c r="B2145" s="116">
        <v>83.4</v>
      </c>
      <c r="C2145" s="116">
        <v>82.25</v>
      </c>
      <c r="D2145" s="116">
        <v>81.25</v>
      </c>
      <c r="E2145" s="116">
        <v>82.61</v>
      </c>
      <c r="F2145" s="116">
        <v>82.25</v>
      </c>
      <c r="G2145">
        <v>1092510</v>
      </c>
      <c r="H2145" s="116"/>
      <c r="I2145" s="116"/>
      <c r="L2145" s="170">
        <v>45162</v>
      </c>
      <c r="M2145" s="116">
        <v>82.35</v>
      </c>
      <c r="N2145" s="116">
        <v>83.4</v>
      </c>
      <c r="O2145" s="116">
        <v>81.25</v>
      </c>
      <c r="P2145" s="116">
        <v>82.8</v>
      </c>
      <c r="Q2145" s="116">
        <v>82.35</v>
      </c>
      <c r="R2145">
        <v>5897481</v>
      </c>
    </row>
    <row r="2146" spans="1:18" x14ac:dyDescent="0.25">
      <c r="A2146" s="170">
        <v>45163</v>
      </c>
      <c r="B2146" s="116">
        <v>86.6</v>
      </c>
      <c r="C2146" s="116">
        <v>84.46</v>
      </c>
      <c r="D2146" s="116">
        <v>81.819999999999993</v>
      </c>
      <c r="E2146" s="116">
        <v>82.74</v>
      </c>
      <c r="F2146" s="116">
        <v>84.46</v>
      </c>
      <c r="G2146">
        <v>1389135</v>
      </c>
      <c r="H2146" s="116"/>
      <c r="I2146" s="116"/>
      <c r="L2146" s="170">
        <v>45163</v>
      </c>
      <c r="M2146" s="116">
        <v>84.4</v>
      </c>
      <c r="N2146" s="116">
        <v>86.65</v>
      </c>
      <c r="O2146" s="116">
        <v>81.900000000000006</v>
      </c>
      <c r="P2146" s="116">
        <v>82.2</v>
      </c>
      <c r="Q2146" s="116">
        <v>84.4</v>
      </c>
      <c r="R2146">
        <v>18858445</v>
      </c>
    </row>
    <row r="2147" spans="1:18" x14ac:dyDescent="0.25">
      <c r="A2147" s="170">
        <v>45166</v>
      </c>
      <c r="B2147" s="116">
        <v>92.6</v>
      </c>
      <c r="C2147" s="116">
        <v>91.46</v>
      </c>
      <c r="D2147" s="116">
        <v>84.37</v>
      </c>
      <c r="E2147" s="116">
        <v>85.16</v>
      </c>
      <c r="F2147" s="116">
        <v>91.46</v>
      </c>
      <c r="G2147">
        <v>5126113</v>
      </c>
      <c r="H2147" s="116"/>
      <c r="I2147" s="116"/>
      <c r="L2147" s="170">
        <v>45166</v>
      </c>
      <c r="M2147" s="116">
        <v>91.45</v>
      </c>
      <c r="N2147" s="116">
        <v>92.6</v>
      </c>
      <c r="O2147" s="116">
        <v>84.4</v>
      </c>
      <c r="P2147" s="116">
        <v>85.35</v>
      </c>
      <c r="Q2147" s="116">
        <v>91.45</v>
      </c>
      <c r="R2147">
        <v>40274004</v>
      </c>
    </row>
    <row r="2148" spans="1:18" x14ac:dyDescent="0.25">
      <c r="A2148" s="170">
        <v>45167</v>
      </c>
      <c r="B2148" s="116">
        <v>92.84</v>
      </c>
      <c r="C2148" s="116">
        <v>88.33</v>
      </c>
      <c r="D2148" s="116">
        <v>87.87</v>
      </c>
      <c r="E2148" s="116">
        <v>92</v>
      </c>
      <c r="F2148" s="116">
        <v>88.33</v>
      </c>
      <c r="G2148">
        <v>2514264</v>
      </c>
      <c r="H2148" s="116"/>
      <c r="I2148" s="116"/>
      <c r="L2148" s="170">
        <v>45167</v>
      </c>
      <c r="M2148" s="116">
        <v>88.3</v>
      </c>
      <c r="N2148" s="116">
        <v>92.8</v>
      </c>
      <c r="O2148" s="116">
        <v>87.75</v>
      </c>
      <c r="P2148" s="116">
        <v>91.85</v>
      </c>
      <c r="Q2148" s="116">
        <v>88.3</v>
      </c>
      <c r="R2148">
        <v>13267512</v>
      </c>
    </row>
    <row r="2149" spans="1:18" x14ac:dyDescent="0.25">
      <c r="A2149" s="170">
        <v>45168</v>
      </c>
      <c r="B2149" s="116">
        <v>90.8</v>
      </c>
      <c r="C2149" s="116">
        <v>88.44</v>
      </c>
      <c r="D2149" s="116">
        <v>88</v>
      </c>
      <c r="E2149" s="116">
        <v>88.69</v>
      </c>
      <c r="F2149" s="116">
        <v>88.44</v>
      </c>
      <c r="G2149">
        <v>1835885</v>
      </c>
      <c r="H2149" s="116"/>
      <c r="I2149" s="116"/>
      <c r="L2149" s="170">
        <v>45168</v>
      </c>
      <c r="M2149" s="116">
        <v>88.5</v>
      </c>
      <c r="N2149" s="116">
        <v>90.8</v>
      </c>
      <c r="O2149" s="116">
        <v>88.1</v>
      </c>
      <c r="P2149" s="116">
        <v>89</v>
      </c>
      <c r="Q2149" s="116">
        <v>88.5</v>
      </c>
      <c r="R2149">
        <v>7350773</v>
      </c>
    </row>
    <row r="2150" spans="1:18" x14ac:dyDescent="0.25">
      <c r="A2150" s="170">
        <v>45169</v>
      </c>
      <c r="B2150" s="116">
        <v>89.74</v>
      </c>
      <c r="C2150" s="116">
        <v>87.79</v>
      </c>
      <c r="D2150" s="116">
        <v>86.7</v>
      </c>
      <c r="E2150" s="116">
        <v>89.74</v>
      </c>
      <c r="F2150" s="116">
        <v>87.79</v>
      </c>
      <c r="G2150">
        <v>412339</v>
      </c>
      <c r="H2150" s="116"/>
      <c r="I2150" s="116"/>
      <c r="L2150" s="170">
        <v>45169</v>
      </c>
      <c r="M2150" s="116">
        <v>87.75</v>
      </c>
      <c r="N2150" s="116">
        <v>89.4</v>
      </c>
      <c r="O2150" s="116">
        <v>86.7</v>
      </c>
      <c r="P2150" s="116">
        <v>89.4</v>
      </c>
      <c r="Q2150" s="116">
        <v>87.75</v>
      </c>
      <c r="R2150">
        <v>5937086</v>
      </c>
    </row>
    <row r="2151" spans="1:18" x14ac:dyDescent="0.25">
      <c r="A2151" s="170">
        <v>45170</v>
      </c>
      <c r="B2151" s="116">
        <v>93.15</v>
      </c>
      <c r="C2151" s="116">
        <v>91.6</v>
      </c>
      <c r="D2151" s="116">
        <v>87.12</v>
      </c>
      <c r="E2151" s="116">
        <v>87.12</v>
      </c>
      <c r="F2151" s="116">
        <v>91.6</v>
      </c>
      <c r="G2151">
        <v>2399238</v>
      </c>
      <c r="H2151" s="116"/>
      <c r="I2151" s="116"/>
      <c r="L2151" s="170">
        <v>45170</v>
      </c>
      <c r="M2151" s="116">
        <v>91.6</v>
      </c>
      <c r="N2151" s="116">
        <v>93.25</v>
      </c>
      <c r="O2151" s="116">
        <v>87.95</v>
      </c>
      <c r="P2151" s="116">
        <v>88.1</v>
      </c>
      <c r="Q2151" s="116">
        <v>91.6</v>
      </c>
      <c r="R2151">
        <v>15211901</v>
      </c>
    </row>
    <row r="2152" spans="1:18" x14ac:dyDescent="0.25">
      <c r="A2152" s="170">
        <v>45173</v>
      </c>
      <c r="B2152" s="116">
        <v>93.21</v>
      </c>
      <c r="C2152" s="116">
        <v>89.98</v>
      </c>
      <c r="D2152" s="116">
        <v>89.5</v>
      </c>
      <c r="E2152" s="116">
        <v>92.01</v>
      </c>
      <c r="F2152" s="116">
        <v>89.98</v>
      </c>
      <c r="G2152">
        <v>660061</v>
      </c>
      <c r="H2152" s="116"/>
      <c r="I2152" s="116"/>
      <c r="L2152" s="170">
        <v>45173</v>
      </c>
      <c r="M2152" s="116">
        <v>90.05</v>
      </c>
      <c r="N2152" s="116">
        <v>93.2</v>
      </c>
      <c r="O2152" s="116">
        <v>89.5</v>
      </c>
      <c r="P2152" s="116">
        <v>92.4</v>
      </c>
      <c r="Q2152" s="116">
        <v>90.05</v>
      </c>
      <c r="R2152">
        <v>6990972</v>
      </c>
    </row>
    <row r="2153" spans="1:18" x14ac:dyDescent="0.25">
      <c r="A2153" s="170">
        <v>45174</v>
      </c>
      <c r="B2153" s="116">
        <v>90.87</v>
      </c>
      <c r="C2153" s="116">
        <v>89</v>
      </c>
      <c r="D2153" s="116">
        <v>87.6</v>
      </c>
      <c r="E2153" s="116">
        <v>89.98</v>
      </c>
      <c r="F2153" s="116">
        <v>89</v>
      </c>
      <c r="G2153">
        <v>503870</v>
      </c>
      <c r="H2153" s="116"/>
      <c r="I2153" s="116"/>
      <c r="L2153" s="170">
        <v>45174</v>
      </c>
      <c r="M2153" s="116">
        <v>89.1</v>
      </c>
      <c r="N2153" s="116">
        <v>90.85</v>
      </c>
      <c r="O2153" s="116">
        <v>87.55</v>
      </c>
      <c r="P2153" s="116">
        <v>90.05</v>
      </c>
      <c r="Q2153" s="116">
        <v>89.1</v>
      </c>
      <c r="R2153">
        <v>6938308</v>
      </c>
    </row>
    <row r="2154" spans="1:18" x14ac:dyDescent="0.25">
      <c r="A2154" s="170">
        <v>45175</v>
      </c>
      <c r="B2154" s="116">
        <v>92.49</v>
      </c>
      <c r="C2154" s="116">
        <v>91.15</v>
      </c>
      <c r="D2154" s="116">
        <v>88.67</v>
      </c>
      <c r="E2154" s="116">
        <v>89.01</v>
      </c>
      <c r="F2154" s="116">
        <v>91.15</v>
      </c>
      <c r="G2154">
        <v>753579</v>
      </c>
      <c r="H2154" s="116"/>
      <c r="I2154" s="116"/>
      <c r="L2154" s="170">
        <v>45175</v>
      </c>
      <c r="M2154" s="116">
        <v>91.1</v>
      </c>
      <c r="N2154" s="116">
        <v>92.5</v>
      </c>
      <c r="O2154" s="116">
        <v>88.75</v>
      </c>
      <c r="P2154" s="116">
        <v>89.25</v>
      </c>
      <c r="Q2154" s="116">
        <v>91.1</v>
      </c>
      <c r="R2154">
        <v>8811692</v>
      </c>
    </row>
    <row r="2155" spans="1:18" x14ac:dyDescent="0.25">
      <c r="A2155" s="170">
        <v>45176</v>
      </c>
      <c r="B2155" s="116">
        <v>96.7</v>
      </c>
      <c r="C2155" s="116">
        <v>94.28</v>
      </c>
      <c r="D2155" s="116">
        <v>91.37</v>
      </c>
      <c r="E2155" s="116">
        <v>91.6</v>
      </c>
      <c r="F2155" s="116">
        <v>94.28</v>
      </c>
      <c r="G2155">
        <v>3361144</v>
      </c>
      <c r="H2155" s="116"/>
      <c r="I2155" s="116"/>
      <c r="L2155" s="170">
        <v>45176</v>
      </c>
      <c r="M2155" s="116">
        <v>94.25</v>
      </c>
      <c r="N2155" s="116">
        <v>96.7</v>
      </c>
      <c r="O2155" s="116">
        <v>91.3</v>
      </c>
      <c r="P2155" s="116">
        <v>91.7</v>
      </c>
      <c r="Q2155" s="116">
        <v>94.25</v>
      </c>
      <c r="R2155">
        <v>23793698</v>
      </c>
    </row>
    <row r="2156" spans="1:18" x14ac:dyDescent="0.25">
      <c r="A2156" s="170">
        <v>45177</v>
      </c>
      <c r="B2156" s="116">
        <v>96.8</v>
      </c>
      <c r="C2156" s="116">
        <v>95.38</v>
      </c>
      <c r="D2156" s="116">
        <v>94.9</v>
      </c>
      <c r="E2156" s="116">
        <v>95.59</v>
      </c>
      <c r="F2156" s="116">
        <v>95.38</v>
      </c>
      <c r="G2156">
        <v>1453193</v>
      </c>
      <c r="H2156" s="116"/>
      <c r="I2156" s="116"/>
      <c r="L2156" s="170">
        <v>45177</v>
      </c>
      <c r="M2156" s="116">
        <v>95.4</v>
      </c>
      <c r="N2156" s="116">
        <v>96.9</v>
      </c>
      <c r="O2156" s="116">
        <v>94.85</v>
      </c>
      <c r="P2156" s="116">
        <v>95.3</v>
      </c>
      <c r="Q2156" s="116">
        <v>95.4</v>
      </c>
      <c r="R2156">
        <v>7024965</v>
      </c>
    </row>
    <row r="2157" spans="1:18" x14ac:dyDescent="0.25">
      <c r="A2157" s="170">
        <v>45180</v>
      </c>
      <c r="B2157" s="116">
        <v>102.15</v>
      </c>
      <c r="C2157" s="116">
        <v>100.65</v>
      </c>
      <c r="D2157" s="116">
        <v>95.61</v>
      </c>
      <c r="E2157" s="116">
        <v>96</v>
      </c>
      <c r="F2157" s="116">
        <v>100.65</v>
      </c>
      <c r="G2157">
        <v>2295815</v>
      </c>
      <c r="H2157" s="116"/>
      <c r="I2157" s="116"/>
      <c r="L2157" s="170">
        <v>45180</v>
      </c>
      <c r="M2157" s="116">
        <v>100.55</v>
      </c>
      <c r="N2157" s="116">
        <v>102.25</v>
      </c>
      <c r="O2157" s="116">
        <v>95.6</v>
      </c>
      <c r="P2157" s="116">
        <v>96.15</v>
      </c>
      <c r="Q2157" s="116">
        <v>100.55</v>
      </c>
      <c r="R2157">
        <v>24752802</v>
      </c>
    </row>
    <row r="2158" spans="1:18" x14ac:dyDescent="0.25">
      <c r="A2158" s="170">
        <v>45181</v>
      </c>
      <c r="B2158" s="116">
        <v>104.86</v>
      </c>
      <c r="C2158" s="116">
        <v>100.3</v>
      </c>
      <c r="D2158" s="116">
        <v>95.32</v>
      </c>
      <c r="E2158" s="116">
        <v>102.39</v>
      </c>
      <c r="F2158" s="116">
        <v>100.3</v>
      </c>
      <c r="G2158">
        <v>4415303</v>
      </c>
      <c r="H2158" s="116"/>
      <c r="I2158" s="116"/>
      <c r="L2158" s="170">
        <v>45181</v>
      </c>
      <c r="M2158" s="116">
        <v>100.25</v>
      </c>
      <c r="N2158" s="116">
        <v>104.8</v>
      </c>
      <c r="O2158" s="116">
        <v>95.4</v>
      </c>
      <c r="P2158" s="116">
        <v>102.1</v>
      </c>
      <c r="Q2158" s="116">
        <v>100.25</v>
      </c>
      <c r="R2158">
        <v>27603697</v>
      </c>
    </row>
    <row r="2159" spans="1:18" x14ac:dyDescent="0.25">
      <c r="A2159" s="170">
        <v>45182</v>
      </c>
      <c r="B2159" s="116">
        <v>104</v>
      </c>
      <c r="C2159" s="116">
        <v>102.81</v>
      </c>
      <c r="D2159" s="116">
        <v>97.51</v>
      </c>
      <c r="E2159" s="116">
        <v>99.63</v>
      </c>
      <c r="F2159" s="116">
        <v>102.81</v>
      </c>
      <c r="G2159">
        <v>2193301</v>
      </c>
      <c r="H2159" s="116"/>
      <c r="I2159" s="116"/>
      <c r="L2159" s="170">
        <v>45182</v>
      </c>
      <c r="M2159" s="116">
        <v>102.9</v>
      </c>
      <c r="N2159" s="116">
        <v>104.2</v>
      </c>
      <c r="O2159" s="116">
        <v>97.55</v>
      </c>
      <c r="P2159" s="116">
        <v>99.9</v>
      </c>
      <c r="Q2159" s="116">
        <v>102.9</v>
      </c>
      <c r="R2159">
        <v>12935678</v>
      </c>
    </row>
    <row r="2160" spans="1:18" x14ac:dyDescent="0.25">
      <c r="A2160" s="170">
        <v>45183</v>
      </c>
      <c r="B2160" s="116">
        <v>105.83</v>
      </c>
      <c r="C2160" s="116">
        <v>104.54</v>
      </c>
      <c r="D2160" s="116">
        <v>102.21</v>
      </c>
      <c r="E2160" s="116">
        <v>104.19</v>
      </c>
      <c r="F2160" s="116">
        <v>104.54</v>
      </c>
      <c r="G2160">
        <v>1315349</v>
      </c>
      <c r="H2160" s="116"/>
      <c r="I2160" s="116"/>
      <c r="L2160" s="170">
        <v>45183</v>
      </c>
      <c r="M2160" s="116">
        <v>104.6</v>
      </c>
      <c r="N2160" s="116">
        <v>105.9</v>
      </c>
      <c r="O2160" s="116">
        <v>102.25</v>
      </c>
      <c r="P2160" s="116">
        <v>103.85</v>
      </c>
      <c r="Q2160" s="116">
        <v>104.6</v>
      </c>
      <c r="R2160">
        <v>13137894</v>
      </c>
    </row>
    <row r="2161" spans="1:18" x14ac:dyDescent="0.25">
      <c r="A2161" s="170">
        <v>45184</v>
      </c>
      <c r="B2161" s="116">
        <v>109.1</v>
      </c>
      <c r="C2161" s="116">
        <v>107.89</v>
      </c>
      <c r="D2161" s="116">
        <v>105.01</v>
      </c>
      <c r="E2161" s="116">
        <v>105.01</v>
      </c>
      <c r="F2161" s="116">
        <v>107.89</v>
      </c>
      <c r="G2161">
        <v>1492655</v>
      </c>
      <c r="H2161" s="116"/>
      <c r="I2161" s="116"/>
      <c r="L2161" s="170">
        <v>45184</v>
      </c>
      <c r="M2161" s="116">
        <v>107.9</v>
      </c>
      <c r="N2161" s="116">
        <v>109.1</v>
      </c>
      <c r="O2161" s="116">
        <v>105.2</v>
      </c>
      <c r="P2161" s="116">
        <v>105.55</v>
      </c>
      <c r="Q2161" s="116">
        <v>107.9</v>
      </c>
      <c r="R2161">
        <v>17613804</v>
      </c>
    </row>
    <row r="2162" spans="1:18" x14ac:dyDescent="0.25">
      <c r="A2162" s="170">
        <v>45187</v>
      </c>
      <c r="B2162" s="116">
        <v>108.97</v>
      </c>
      <c r="C2162" s="116">
        <v>105.41</v>
      </c>
      <c r="D2162" s="116">
        <v>104.98</v>
      </c>
      <c r="E2162" s="116">
        <v>108.01</v>
      </c>
      <c r="F2162" s="116">
        <v>105.41</v>
      </c>
      <c r="G2162">
        <v>693961</v>
      </c>
      <c r="H2162" s="116"/>
      <c r="I2162" s="116"/>
      <c r="L2162" s="170">
        <v>45187</v>
      </c>
      <c r="M2162" s="116">
        <v>105.45</v>
      </c>
      <c r="N2162" s="116">
        <v>108.9</v>
      </c>
      <c r="O2162" s="116">
        <v>105</v>
      </c>
      <c r="P2162" s="116">
        <v>108.4</v>
      </c>
      <c r="Q2162" s="116">
        <v>105.45</v>
      </c>
      <c r="R2162">
        <v>8149850</v>
      </c>
    </row>
    <row r="2163" spans="1:18" x14ac:dyDescent="0.25">
      <c r="A2163" s="170">
        <v>45189</v>
      </c>
      <c r="B2163" s="116">
        <v>104.59</v>
      </c>
      <c r="C2163" s="116">
        <v>102.19</v>
      </c>
      <c r="D2163" s="116">
        <v>101</v>
      </c>
      <c r="E2163" s="116">
        <v>104.31</v>
      </c>
      <c r="F2163" s="116">
        <v>102.19</v>
      </c>
      <c r="G2163">
        <v>612189</v>
      </c>
      <c r="H2163" s="116"/>
      <c r="I2163" s="116"/>
      <c r="L2163" s="170">
        <v>45189</v>
      </c>
      <c r="M2163" s="116">
        <v>102.25</v>
      </c>
      <c r="N2163" s="116">
        <v>105</v>
      </c>
      <c r="O2163" s="116">
        <v>101</v>
      </c>
      <c r="P2163" s="116">
        <v>105</v>
      </c>
      <c r="Q2163" s="116">
        <v>102.25</v>
      </c>
      <c r="R2163">
        <v>6722524</v>
      </c>
    </row>
    <row r="2164" spans="1:18" x14ac:dyDescent="0.25">
      <c r="A2164" s="170">
        <v>45190</v>
      </c>
      <c r="B2164" s="116">
        <v>102</v>
      </c>
      <c r="C2164" s="116">
        <v>98.51</v>
      </c>
      <c r="D2164" s="116">
        <v>97.7</v>
      </c>
      <c r="E2164" s="116">
        <v>100.36</v>
      </c>
      <c r="F2164" s="116">
        <v>98.51</v>
      </c>
      <c r="G2164">
        <v>832073</v>
      </c>
      <c r="H2164" s="116"/>
      <c r="I2164" s="116"/>
      <c r="L2164" s="170">
        <v>45190</v>
      </c>
      <c r="M2164" s="116">
        <v>98.55</v>
      </c>
      <c r="N2164" s="116">
        <v>102.15</v>
      </c>
      <c r="O2164" s="116">
        <v>97.75</v>
      </c>
      <c r="P2164" s="116">
        <v>100.95</v>
      </c>
      <c r="Q2164" s="116">
        <v>98.55</v>
      </c>
      <c r="R2164">
        <v>8316078</v>
      </c>
    </row>
    <row r="2165" spans="1:18" x14ac:dyDescent="0.25">
      <c r="A2165" s="170">
        <v>45191</v>
      </c>
      <c r="B2165" s="116">
        <v>101.7</v>
      </c>
      <c r="C2165" s="116">
        <v>99.59</v>
      </c>
      <c r="D2165" s="116">
        <v>98.22</v>
      </c>
      <c r="E2165" s="116">
        <v>99.84</v>
      </c>
      <c r="F2165" s="116">
        <v>99.59</v>
      </c>
      <c r="G2165">
        <v>639224</v>
      </c>
      <c r="H2165" s="116"/>
      <c r="I2165" s="116"/>
      <c r="L2165" s="170">
        <v>45191</v>
      </c>
      <c r="M2165" s="116">
        <v>99.6</v>
      </c>
      <c r="N2165" s="116">
        <v>101.7</v>
      </c>
      <c r="O2165" s="116">
        <v>98.2</v>
      </c>
      <c r="P2165" s="116">
        <v>99.05</v>
      </c>
      <c r="Q2165" s="116">
        <v>99.6</v>
      </c>
      <c r="R2165">
        <v>6008783</v>
      </c>
    </row>
    <row r="2166" spans="1:18" x14ac:dyDescent="0.25">
      <c r="A2166" s="170">
        <v>45194</v>
      </c>
      <c r="B2166" s="116">
        <v>101.74</v>
      </c>
      <c r="C2166" s="116">
        <v>98.01</v>
      </c>
      <c r="D2166" s="116">
        <v>97.57</v>
      </c>
      <c r="E2166" s="116">
        <v>101.74</v>
      </c>
      <c r="F2166" s="116">
        <v>98.01</v>
      </c>
      <c r="G2166">
        <v>410005</v>
      </c>
      <c r="H2166" s="116"/>
      <c r="I2166" s="116"/>
      <c r="L2166" s="170">
        <v>45194</v>
      </c>
      <c r="M2166" s="116">
        <v>98.15</v>
      </c>
      <c r="N2166" s="116">
        <v>101.2</v>
      </c>
      <c r="O2166" s="116">
        <v>97.55</v>
      </c>
      <c r="P2166" s="116">
        <v>100.6</v>
      </c>
      <c r="Q2166" s="116">
        <v>98.15</v>
      </c>
      <c r="R2166">
        <v>4721492</v>
      </c>
    </row>
    <row r="2167" spans="1:18" x14ac:dyDescent="0.25">
      <c r="A2167" s="170">
        <v>45195</v>
      </c>
      <c r="B2167" s="116">
        <v>99.23</v>
      </c>
      <c r="C2167" s="116">
        <v>96.59</v>
      </c>
      <c r="D2167" s="116">
        <v>96.34</v>
      </c>
      <c r="E2167" s="116">
        <v>98.1</v>
      </c>
      <c r="F2167" s="116">
        <v>96.59</v>
      </c>
      <c r="G2167">
        <v>308498</v>
      </c>
      <c r="H2167" s="116"/>
      <c r="I2167" s="116"/>
      <c r="L2167" s="170">
        <v>45195</v>
      </c>
      <c r="M2167" s="116">
        <v>96.6</v>
      </c>
      <c r="N2167" s="116">
        <v>99.2</v>
      </c>
      <c r="O2167" s="116">
        <v>96.25</v>
      </c>
      <c r="P2167" s="116">
        <v>98.1</v>
      </c>
      <c r="Q2167" s="116">
        <v>96.6</v>
      </c>
      <c r="R2167">
        <v>3608552</v>
      </c>
    </row>
    <row r="2168" spans="1:18" x14ac:dyDescent="0.25">
      <c r="A2168" s="170">
        <v>45196</v>
      </c>
      <c r="B2168" s="116">
        <v>98</v>
      </c>
      <c r="C2168" s="116">
        <v>96.43</v>
      </c>
      <c r="D2168" s="116">
        <v>96</v>
      </c>
      <c r="E2168" s="116">
        <v>96.99</v>
      </c>
      <c r="F2168" s="116">
        <v>96.43</v>
      </c>
      <c r="G2168">
        <v>261969</v>
      </c>
      <c r="H2168" s="116"/>
      <c r="I2168" s="116"/>
      <c r="L2168" s="170">
        <v>45196</v>
      </c>
      <c r="M2168" s="116">
        <v>96.45</v>
      </c>
      <c r="N2168" s="116">
        <v>98</v>
      </c>
      <c r="O2168" s="116">
        <v>96</v>
      </c>
      <c r="P2168" s="116">
        <v>96.25</v>
      </c>
      <c r="Q2168" s="116">
        <v>96.45</v>
      </c>
      <c r="R2168">
        <v>3612308</v>
      </c>
    </row>
    <row r="2169" spans="1:18" x14ac:dyDescent="0.25">
      <c r="A2169" s="170">
        <v>45197</v>
      </c>
      <c r="B2169" s="116">
        <v>102.4</v>
      </c>
      <c r="C2169" s="116">
        <v>98.49</v>
      </c>
      <c r="D2169" s="116">
        <v>96.3</v>
      </c>
      <c r="E2169" s="116">
        <v>97.79</v>
      </c>
      <c r="F2169" s="116">
        <v>98.49</v>
      </c>
      <c r="G2169">
        <v>963848</v>
      </c>
      <c r="H2169" s="116"/>
      <c r="I2169" s="116"/>
      <c r="L2169" s="170">
        <v>45197</v>
      </c>
      <c r="M2169" s="116">
        <v>98.4</v>
      </c>
      <c r="N2169" s="116">
        <v>102.4</v>
      </c>
      <c r="O2169" s="116">
        <v>96.3</v>
      </c>
      <c r="P2169" s="116">
        <v>96.8</v>
      </c>
      <c r="Q2169" s="116">
        <v>98.4</v>
      </c>
      <c r="R2169">
        <v>15629145</v>
      </c>
    </row>
    <row r="2170" spans="1:18" x14ac:dyDescent="0.25">
      <c r="A2170" s="170">
        <v>45198</v>
      </c>
      <c r="B2170" s="116">
        <v>101.6</v>
      </c>
      <c r="C2170" s="116">
        <v>99.43</v>
      </c>
      <c r="D2170" s="116">
        <v>98.37</v>
      </c>
      <c r="E2170" s="116">
        <v>99.39</v>
      </c>
      <c r="F2170" s="116">
        <v>99.43</v>
      </c>
      <c r="G2170">
        <v>594370</v>
      </c>
      <c r="H2170" s="116"/>
      <c r="I2170" s="116"/>
      <c r="L2170" s="170">
        <v>45198</v>
      </c>
      <c r="M2170" s="116">
        <v>99.45</v>
      </c>
      <c r="N2170" s="116">
        <v>101.7</v>
      </c>
      <c r="O2170" s="116">
        <v>98.4</v>
      </c>
      <c r="P2170" s="116">
        <v>99.2</v>
      </c>
      <c r="Q2170" s="116">
        <v>99.45</v>
      </c>
      <c r="R2170">
        <v>4287244</v>
      </c>
    </row>
    <row r="2171" spans="1:18" x14ac:dyDescent="0.25">
      <c r="A2171" s="170">
        <v>45202</v>
      </c>
      <c r="B2171" s="116">
        <v>100.3</v>
      </c>
      <c r="C2171" s="116">
        <v>99.09</v>
      </c>
      <c r="D2171" s="116">
        <v>98.21</v>
      </c>
      <c r="E2171" s="116">
        <v>99.84</v>
      </c>
      <c r="F2171" s="116">
        <v>99.09</v>
      </c>
      <c r="G2171">
        <v>239694</v>
      </c>
      <c r="H2171" s="116"/>
      <c r="I2171" s="116"/>
      <c r="L2171" s="170">
        <v>45202</v>
      </c>
      <c r="M2171" s="116">
        <v>99.1</v>
      </c>
      <c r="N2171" s="116">
        <v>100.4</v>
      </c>
      <c r="O2171" s="116">
        <v>98.15</v>
      </c>
      <c r="P2171" s="116">
        <v>99.2</v>
      </c>
      <c r="Q2171" s="116">
        <v>99.1</v>
      </c>
      <c r="R2171">
        <v>3720569</v>
      </c>
    </row>
    <row r="2172" spans="1:18" x14ac:dyDescent="0.25">
      <c r="A2172" s="170">
        <v>45203</v>
      </c>
      <c r="B2172" s="116">
        <v>98.9</v>
      </c>
      <c r="C2172" s="116">
        <v>96.96</v>
      </c>
      <c r="D2172" s="116">
        <v>96.2</v>
      </c>
      <c r="E2172" s="116">
        <v>98.02</v>
      </c>
      <c r="F2172" s="116">
        <v>96.96</v>
      </c>
      <c r="G2172">
        <v>373556</v>
      </c>
      <c r="H2172" s="116"/>
      <c r="I2172" s="116"/>
      <c r="L2172" s="170">
        <v>45203</v>
      </c>
      <c r="M2172" s="116">
        <v>97.05</v>
      </c>
      <c r="N2172" s="116">
        <v>99</v>
      </c>
      <c r="O2172" s="116">
        <v>96.2</v>
      </c>
      <c r="P2172" s="116">
        <v>98.8</v>
      </c>
      <c r="Q2172" s="116">
        <v>97.05</v>
      </c>
      <c r="R2172">
        <v>3533614</v>
      </c>
    </row>
    <row r="2173" spans="1:18" x14ac:dyDescent="0.25">
      <c r="A2173" s="170">
        <v>45204</v>
      </c>
      <c r="B2173" s="116">
        <v>98.9</v>
      </c>
      <c r="C2173" s="116">
        <v>97.54</v>
      </c>
      <c r="D2173" s="116">
        <v>96.6</v>
      </c>
      <c r="E2173" s="116">
        <v>97.89</v>
      </c>
      <c r="F2173" s="116">
        <v>97.54</v>
      </c>
      <c r="G2173">
        <v>264615</v>
      </c>
      <c r="H2173" s="116"/>
      <c r="I2173" s="116"/>
      <c r="L2173" s="170">
        <v>45204</v>
      </c>
      <c r="M2173" s="116">
        <v>97.6</v>
      </c>
      <c r="N2173" s="116">
        <v>98.9</v>
      </c>
      <c r="O2173" s="116">
        <v>96.6</v>
      </c>
      <c r="P2173" s="116">
        <v>97.55</v>
      </c>
      <c r="Q2173" s="116">
        <v>97.6</v>
      </c>
      <c r="R2173">
        <v>2722504</v>
      </c>
    </row>
    <row r="2174" spans="1:18" x14ac:dyDescent="0.25">
      <c r="A2174" s="170">
        <v>45205</v>
      </c>
      <c r="B2174" s="116">
        <v>100.2</v>
      </c>
      <c r="C2174" s="116">
        <v>99.72</v>
      </c>
      <c r="D2174" s="116">
        <v>96.77</v>
      </c>
      <c r="E2174" s="116">
        <v>98.59</v>
      </c>
      <c r="F2174" s="116">
        <v>99.72</v>
      </c>
      <c r="G2174">
        <v>411739</v>
      </c>
      <c r="H2174" s="116"/>
      <c r="I2174" s="116"/>
      <c r="L2174" s="170">
        <v>45205</v>
      </c>
      <c r="M2174" s="116">
        <v>99.8</v>
      </c>
      <c r="N2174" s="116">
        <v>100.35</v>
      </c>
      <c r="O2174" s="116">
        <v>96.75</v>
      </c>
      <c r="P2174" s="116">
        <v>97.7</v>
      </c>
      <c r="Q2174" s="116">
        <v>99.8</v>
      </c>
      <c r="R2174">
        <v>5011636</v>
      </c>
    </row>
    <row r="2175" spans="1:18" x14ac:dyDescent="0.25">
      <c r="A2175" s="170">
        <v>45208</v>
      </c>
      <c r="B2175" s="116">
        <v>97.71</v>
      </c>
      <c r="C2175" s="116">
        <v>94.82</v>
      </c>
      <c r="D2175" s="116">
        <v>94.05</v>
      </c>
      <c r="E2175" s="116">
        <v>97.71</v>
      </c>
      <c r="F2175" s="116">
        <v>94.82</v>
      </c>
      <c r="G2175">
        <v>510960</v>
      </c>
      <c r="H2175" s="116"/>
      <c r="I2175" s="116"/>
      <c r="L2175" s="170">
        <v>45208</v>
      </c>
      <c r="M2175" s="116">
        <v>94.75</v>
      </c>
      <c r="N2175" s="116">
        <v>97.65</v>
      </c>
      <c r="O2175" s="116">
        <v>94.05</v>
      </c>
      <c r="P2175" s="116">
        <v>97.6</v>
      </c>
      <c r="Q2175" s="116">
        <v>94.75</v>
      </c>
      <c r="R2175">
        <v>4983666</v>
      </c>
    </row>
    <row r="2176" spans="1:18" x14ac:dyDescent="0.25">
      <c r="A2176" s="170">
        <v>45209</v>
      </c>
      <c r="B2176" s="116">
        <v>96.8</v>
      </c>
      <c r="C2176" s="116">
        <v>95.3</v>
      </c>
      <c r="D2176" s="116">
        <v>94.83</v>
      </c>
      <c r="E2176" s="116">
        <v>94.83</v>
      </c>
      <c r="F2176" s="116">
        <v>95.3</v>
      </c>
      <c r="G2176">
        <v>474105</v>
      </c>
      <c r="H2176" s="116"/>
      <c r="I2176" s="116"/>
      <c r="L2176" s="170">
        <v>45209</v>
      </c>
      <c r="M2176" s="116">
        <v>95.25</v>
      </c>
      <c r="N2176" s="116">
        <v>96.8</v>
      </c>
      <c r="O2176" s="116">
        <v>95.05</v>
      </c>
      <c r="P2176" s="116">
        <v>95.25</v>
      </c>
      <c r="Q2176" s="116">
        <v>95.25</v>
      </c>
      <c r="R2176">
        <v>2740183</v>
      </c>
    </row>
    <row r="2177" spans="1:18" x14ac:dyDescent="0.25">
      <c r="A2177" s="170">
        <v>45210</v>
      </c>
      <c r="B2177" s="116">
        <v>97.64</v>
      </c>
      <c r="C2177" s="116">
        <v>95.81</v>
      </c>
      <c r="D2177" s="116">
        <v>95.5</v>
      </c>
      <c r="E2177" s="116">
        <v>96.88</v>
      </c>
      <c r="F2177" s="116">
        <v>95.81</v>
      </c>
      <c r="G2177">
        <v>494474</v>
      </c>
      <c r="H2177" s="116"/>
      <c r="I2177" s="116"/>
      <c r="L2177" s="170">
        <v>45210</v>
      </c>
      <c r="M2177" s="116">
        <v>95.75</v>
      </c>
      <c r="N2177" s="116">
        <v>97.8</v>
      </c>
      <c r="O2177" s="116">
        <v>95.5</v>
      </c>
      <c r="P2177" s="116">
        <v>95.95</v>
      </c>
      <c r="Q2177" s="116">
        <v>95.75</v>
      </c>
      <c r="R2177">
        <v>3154274</v>
      </c>
    </row>
    <row r="2178" spans="1:18" x14ac:dyDescent="0.25">
      <c r="A2178" s="170">
        <v>45211</v>
      </c>
      <c r="B2178" s="116">
        <v>97.65</v>
      </c>
      <c r="C2178" s="116">
        <v>96.29</v>
      </c>
      <c r="D2178" s="116">
        <v>95.88</v>
      </c>
      <c r="E2178" s="116">
        <v>96</v>
      </c>
      <c r="F2178" s="116">
        <v>96.29</v>
      </c>
      <c r="G2178">
        <v>381000</v>
      </c>
      <c r="H2178" s="116"/>
      <c r="I2178" s="116"/>
      <c r="L2178" s="170">
        <v>45211</v>
      </c>
      <c r="M2178" s="116">
        <v>96.3</v>
      </c>
      <c r="N2178" s="116">
        <v>97.7</v>
      </c>
      <c r="O2178" s="116">
        <v>95.8</v>
      </c>
      <c r="P2178" s="116">
        <v>96.3</v>
      </c>
      <c r="Q2178" s="116">
        <v>96.3</v>
      </c>
      <c r="R2178">
        <v>2363146</v>
      </c>
    </row>
    <row r="2179" spans="1:18" x14ac:dyDescent="0.25">
      <c r="A2179" s="170">
        <v>45212</v>
      </c>
      <c r="B2179" s="116">
        <v>99.65</v>
      </c>
      <c r="C2179" s="116">
        <v>96.85</v>
      </c>
      <c r="D2179" s="116">
        <v>95.16</v>
      </c>
      <c r="E2179" s="116">
        <v>95.16</v>
      </c>
      <c r="F2179" s="116">
        <v>96.85</v>
      </c>
      <c r="G2179">
        <v>470208</v>
      </c>
      <c r="H2179" s="116"/>
      <c r="I2179" s="116"/>
      <c r="L2179" s="170">
        <v>45212</v>
      </c>
      <c r="M2179" s="116">
        <v>96.7</v>
      </c>
      <c r="N2179" s="116">
        <v>99.65</v>
      </c>
      <c r="O2179" s="116">
        <v>95.2</v>
      </c>
      <c r="P2179" s="116">
        <v>95.7</v>
      </c>
      <c r="Q2179" s="116">
        <v>96.7</v>
      </c>
      <c r="R2179">
        <v>6168520</v>
      </c>
    </row>
    <row r="2180" spans="1:18" x14ac:dyDescent="0.25">
      <c r="A2180" s="170">
        <v>45215</v>
      </c>
      <c r="B2180" s="116">
        <v>98.3</v>
      </c>
      <c r="C2180" s="116">
        <v>96.34</v>
      </c>
      <c r="D2180" s="116">
        <v>95.9</v>
      </c>
      <c r="E2180" s="116">
        <v>96.85</v>
      </c>
      <c r="F2180" s="116">
        <v>96.34</v>
      </c>
      <c r="G2180">
        <v>550897</v>
      </c>
      <c r="H2180" s="116"/>
      <c r="I2180" s="116"/>
      <c r="L2180" s="170">
        <v>45215</v>
      </c>
      <c r="M2180" s="116">
        <v>96.3</v>
      </c>
      <c r="N2180" s="116">
        <v>98.35</v>
      </c>
      <c r="O2180" s="116">
        <v>95.9</v>
      </c>
      <c r="P2180" s="116">
        <v>96.9</v>
      </c>
      <c r="Q2180" s="116">
        <v>96.3</v>
      </c>
      <c r="R2180">
        <v>3089479</v>
      </c>
    </row>
    <row r="2181" spans="1:18" x14ac:dyDescent="0.25">
      <c r="A2181" s="170">
        <v>45216</v>
      </c>
      <c r="B2181" s="116">
        <v>97.96</v>
      </c>
      <c r="C2181" s="116">
        <v>96.18</v>
      </c>
      <c r="D2181" s="116">
        <v>95.85</v>
      </c>
      <c r="E2181" s="116">
        <v>96.77</v>
      </c>
      <c r="F2181" s="116">
        <v>96.18</v>
      </c>
      <c r="G2181">
        <v>468841</v>
      </c>
      <c r="H2181" s="116"/>
      <c r="I2181" s="116"/>
      <c r="L2181" s="170">
        <v>45216</v>
      </c>
      <c r="M2181" s="116">
        <v>96.15</v>
      </c>
      <c r="N2181" s="116">
        <v>98</v>
      </c>
      <c r="O2181" s="116">
        <v>95.8</v>
      </c>
      <c r="P2181" s="116">
        <v>97</v>
      </c>
      <c r="Q2181" s="116">
        <v>96.15</v>
      </c>
      <c r="R2181">
        <v>2926201</v>
      </c>
    </row>
    <row r="2182" spans="1:18" x14ac:dyDescent="0.25">
      <c r="A2182" s="170">
        <v>45217</v>
      </c>
      <c r="B2182" s="116">
        <v>97.18</v>
      </c>
      <c r="C2182" s="116">
        <v>93.95</v>
      </c>
      <c r="D2182" s="116">
        <v>93.65</v>
      </c>
      <c r="E2182" s="116">
        <v>96.19</v>
      </c>
      <c r="F2182" s="116">
        <v>93.95</v>
      </c>
      <c r="G2182">
        <v>617188</v>
      </c>
      <c r="H2182" s="116"/>
      <c r="I2182" s="116"/>
      <c r="L2182" s="170">
        <v>45217</v>
      </c>
      <c r="M2182" s="116">
        <v>94</v>
      </c>
      <c r="N2182" s="116">
        <v>97.25</v>
      </c>
      <c r="O2182" s="116">
        <v>93.7</v>
      </c>
      <c r="P2182" s="116">
        <v>96.5</v>
      </c>
      <c r="Q2182" s="116">
        <v>94</v>
      </c>
      <c r="R2182">
        <v>3118426</v>
      </c>
    </row>
    <row r="2183" spans="1:18" x14ac:dyDescent="0.25">
      <c r="A2183" s="170">
        <v>45218</v>
      </c>
      <c r="B2183" s="116">
        <v>99.68</v>
      </c>
      <c r="C2183" s="116">
        <v>95.98</v>
      </c>
      <c r="D2183" s="116">
        <v>92.82</v>
      </c>
      <c r="E2183" s="116">
        <v>93.95</v>
      </c>
      <c r="F2183" s="116">
        <v>95.98</v>
      </c>
      <c r="G2183">
        <v>536699</v>
      </c>
      <c r="H2183" s="116"/>
      <c r="I2183" s="116"/>
      <c r="L2183" s="170">
        <v>45218</v>
      </c>
      <c r="M2183" s="116">
        <v>95.95</v>
      </c>
      <c r="N2183" s="116">
        <v>99.7</v>
      </c>
      <c r="O2183" s="116">
        <v>92.85</v>
      </c>
      <c r="P2183" s="116">
        <v>93.55</v>
      </c>
      <c r="Q2183" s="116">
        <v>95.95</v>
      </c>
      <c r="R2183">
        <v>7665558</v>
      </c>
    </row>
    <row r="2184" spans="1:18" x14ac:dyDescent="0.25">
      <c r="A2184" s="170">
        <v>45219</v>
      </c>
      <c r="B2184" s="116">
        <v>97</v>
      </c>
      <c r="C2184" s="116">
        <v>92.98</v>
      </c>
      <c r="D2184" s="116">
        <v>92.2</v>
      </c>
      <c r="E2184" s="116">
        <v>95.4</v>
      </c>
      <c r="F2184" s="116">
        <v>92.98</v>
      </c>
      <c r="G2184">
        <v>561381</v>
      </c>
      <c r="H2184" s="116"/>
      <c r="I2184" s="116"/>
      <c r="L2184" s="170">
        <v>45219</v>
      </c>
      <c r="M2184" s="116">
        <v>93.2</v>
      </c>
      <c r="N2184" s="116">
        <v>97.1</v>
      </c>
      <c r="O2184" s="116">
        <v>92.25</v>
      </c>
      <c r="P2184" s="116">
        <v>95.9</v>
      </c>
      <c r="Q2184" s="116">
        <v>93.2</v>
      </c>
      <c r="R2184">
        <v>4420439</v>
      </c>
    </row>
    <row r="2185" spans="1:18" x14ac:dyDescent="0.25">
      <c r="A2185" s="170">
        <v>45222</v>
      </c>
      <c r="B2185" s="116">
        <v>94.89</v>
      </c>
      <c r="C2185" s="116">
        <v>85.22</v>
      </c>
      <c r="D2185" s="116">
        <v>83.7</v>
      </c>
      <c r="E2185" s="116">
        <v>94.89</v>
      </c>
      <c r="F2185" s="116">
        <v>85.22</v>
      </c>
      <c r="G2185">
        <v>679516</v>
      </c>
      <c r="H2185" s="116"/>
      <c r="I2185" s="116"/>
      <c r="L2185" s="170">
        <v>45222</v>
      </c>
      <c r="M2185" s="116">
        <v>85.2</v>
      </c>
      <c r="N2185" s="116">
        <v>93.95</v>
      </c>
      <c r="O2185" s="116">
        <v>83.5</v>
      </c>
      <c r="P2185" s="116">
        <v>93.95</v>
      </c>
      <c r="Q2185" s="116">
        <v>85.2</v>
      </c>
      <c r="R2185">
        <v>7136729</v>
      </c>
    </row>
    <row r="2186" spans="1:18" x14ac:dyDescent="0.25">
      <c r="A2186" s="170">
        <v>45224</v>
      </c>
      <c r="B2186" s="116">
        <v>92.44</v>
      </c>
      <c r="C2186" s="116">
        <v>87.59</v>
      </c>
      <c r="D2186" s="116">
        <v>86.34</v>
      </c>
      <c r="E2186" s="116">
        <v>87.91</v>
      </c>
      <c r="F2186" s="116">
        <v>87.59</v>
      </c>
      <c r="G2186">
        <v>966125</v>
      </c>
      <c r="H2186" s="116"/>
      <c r="I2186" s="116"/>
      <c r="L2186" s="170">
        <v>45224</v>
      </c>
      <c r="M2186" s="116">
        <v>87.55</v>
      </c>
      <c r="N2186" s="116">
        <v>92.55</v>
      </c>
      <c r="O2186" s="116">
        <v>86.4</v>
      </c>
      <c r="P2186" s="116">
        <v>88</v>
      </c>
      <c r="Q2186" s="116">
        <v>87.55</v>
      </c>
      <c r="R2186">
        <v>9335427</v>
      </c>
    </row>
    <row r="2187" spans="1:18" x14ac:dyDescent="0.25">
      <c r="A2187" s="170">
        <v>45225</v>
      </c>
      <c r="B2187" s="116">
        <v>87.07</v>
      </c>
      <c r="C2187" s="116">
        <v>85.54</v>
      </c>
      <c r="D2187" s="116">
        <v>83.5</v>
      </c>
      <c r="E2187" s="116">
        <v>86.46</v>
      </c>
      <c r="F2187" s="116">
        <v>85.54</v>
      </c>
      <c r="G2187">
        <v>813179</v>
      </c>
      <c r="H2187" s="116"/>
      <c r="I2187" s="116"/>
      <c r="L2187" s="170">
        <v>45225</v>
      </c>
      <c r="M2187" s="116">
        <v>85.55</v>
      </c>
      <c r="N2187" s="116">
        <v>87.35</v>
      </c>
      <c r="O2187" s="116">
        <v>83.5</v>
      </c>
      <c r="P2187" s="116">
        <v>87.35</v>
      </c>
      <c r="Q2187" s="116">
        <v>85.55</v>
      </c>
      <c r="R2187">
        <v>3755440</v>
      </c>
    </row>
    <row r="2188" spans="1:18" x14ac:dyDescent="0.25">
      <c r="A2188" s="170">
        <v>45226</v>
      </c>
      <c r="B2188" s="116">
        <v>88.73</v>
      </c>
      <c r="C2188" s="116">
        <v>86.78</v>
      </c>
      <c r="D2188" s="116">
        <v>86.4</v>
      </c>
      <c r="E2188" s="116">
        <v>86.69</v>
      </c>
      <c r="F2188" s="116">
        <v>86.78</v>
      </c>
      <c r="G2188">
        <v>343578</v>
      </c>
      <c r="H2188" s="116"/>
      <c r="I2188" s="116"/>
      <c r="L2188" s="170">
        <v>45226</v>
      </c>
      <c r="M2188" s="116">
        <v>86.75</v>
      </c>
      <c r="N2188" s="116">
        <v>88.75</v>
      </c>
      <c r="O2188" s="116">
        <v>86.15</v>
      </c>
      <c r="P2188" s="116">
        <v>86.15</v>
      </c>
      <c r="Q2188" s="116">
        <v>86.75</v>
      </c>
      <c r="R2188">
        <v>3000821</v>
      </c>
    </row>
    <row r="2189" spans="1:18" x14ac:dyDescent="0.25">
      <c r="A2189" s="170">
        <v>45229</v>
      </c>
      <c r="B2189" s="116">
        <v>87.2</v>
      </c>
      <c r="C2189" s="116">
        <v>85.71</v>
      </c>
      <c r="D2189" s="116">
        <v>84.78</v>
      </c>
      <c r="E2189" s="116">
        <v>86.52</v>
      </c>
      <c r="F2189" s="116">
        <v>85.71</v>
      </c>
      <c r="G2189">
        <v>461588</v>
      </c>
      <c r="H2189" s="116"/>
      <c r="I2189" s="116"/>
      <c r="L2189" s="170">
        <v>45229</v>
      </c>
      <c r="M2189" s="116">
        <v>85.7</v>
      </c>
      <c r="N2189" s="116">
        <v>87.25</v>
      </c>
      <c r="O2189" s="116">
        <v>84.8</v>
      </c>
      <c r="P2189" s="116">
        <v>86.1</v>
      </c>
      <c r="Q2189" s="116">
        <v>85.7</v>
      </c>
      <c r="R2189">
        <v>2746935</v>
      </c>
    </row>
    <row r="2190" spans="1:18" x14ac:dyDescent="0.25">
      <c r="A2190" s="170">
        <v>45230</v>
      </c>
      <c r="B2190" s="116">
        <v>87.95</v>
      </c>
      <c r="C2190" s="116">
        <v>86.1</v>
      </c>
      <c r="D2190" s="116">
        <v>85.7</v>
      </c>
      <c r="E2190" s="116">
        <v>86.89</v>
      </c>
      <c r="F2190" s="116">
        <v>86.1</v>
      </c>
      <c r="G2190">
        <v>305947</v>
      </c>
      <c r="H2190" s="116"/>
      <c r="I2190" s="116"/>
      <c r="L2190" s="170">
        <v>45230</v>
      </c>
      <c r="M2190" s="116">
        <v>86.05</v>
      </c>
      <c r="N2190" s="116">
        <v>87.95</v>
      </c>
      <c r="O2190" s="116">
        <v>85.5</v>
      </c>
      <c r="P2190" s="116">
        <v>86.7</v>
      </c>
      <c r="Q2190" s="116">
        <v>86.05</v>
      </c>
      <c r="R2190">
        <v>1773585</v>
      </c>
    </row>
    <row r="2191" spans="1:18" x14ac:dyDescent="0.25">
      <c r="A2191" s="170">
        <v>45231</v>
      </c>
      <c r="B2191" s="116">
        <v>89.5</v>
      </c>
      <c r="C2191" s="116">
        <v>86.96</v>
      </c>
      <c r="D2191" s="116">
        <v>85.7</v>
      </c>
      <c r="E2191" s="116">
        <v>86.64</v>
      </c>
      <c r="F2191" s="116">
        <v>86.96</v>
      </c>
      <c r="G2191">
        <v>488269</v>
      </c>
      <c r="H2191" s="116"/>
      <c r="I2191" s="116"/>
      <c r="L2191" s="170">
        <v>45231</v>
      </c>
      <c r="M2191" s="116">
        <v>87</v>
      </c>
      <c r="N2191" s="116">
        <v>89.55</v>
      </c>
      <c r="O2191" s="116">
        <v>85.8</v>
      </c>
      <c r="P2191" s="116">
        <v>86.9</v>
      </c>
      <c r="Q2191" s="116">
        <v>87</v>
      </c>
      <c r="R2191">
        <v>3317563</v>
      </c>
    </row>
    <row r="2192" spans="1:18" x14ac:dyDescent="0.25">
      <c r="A2192" s="170">
        <v>45232</v>
      </c>
      <c r="B2192" s="116">
        <v>88.95</v>
      </c>
      <c r="C2192" s="116">
        <v>87.38</v>
      </c>
      <c r="D2192" s="116">
        <v>87.1</v>
      </c>
      <c r="E2192" s="116">
        <v>88.95</v>
      </c>
      <c r="F2192" s="116">
        <v>87.38</v>
      </c>
      <c r="G2192">
        <v>156029</v>
      </c>
      <c r="H2192" s="116"/>
      <c r="I2192" s="116"/>
      <c r="L2192" s="170">
        <v>45232</v>
      </c>
      <c r="M2192" s="116">
        <v>87.4</v>
      </c>
      <c r="N2192" s="116">
        <v>88.7</v>
      </c>
      <c r="O2192" s="116">
        <v>87.1</v>
      </c>
      <c r="P2192" s="116">
        <v>88.5</v>
      </c>
      <c r="Q2192" s="116">
        <v>87.4</v>
      </c>
      <c r="R2192">
        <v>1586536</v>
      </c>
    </row>
    <row r="2193" spans="1:18" x14ac:dyDescent="0.25">
      <c r="A2193" s="170">
        <v>45233</v>
      </c>
      <c r="B2193" s="116">
        <v>89</v>
      </c>
      <c r="C2193" s="116">
        <v>87.3</v>
      </c>
      <c r="D2193" s="116">
        <v>87.1</v>
      </c>
      <c r="E2193" s="116">
        <v>88</v>
      </c>
      <c r="F2193" s="116">
        <v>87.3</v>
      </c>
      <c r="G2193">
        <v>168841</v>
      </c>
      <c r="H2193" s="116"/>
      <c r="I2193" s="116"/>
      <c r="L2193" s="170">
        <v>45233</v>
      </c>
      <c r="M2193" s="116">
        <v>87.3</v>
      </c>
      <c r="N2193" s="116">
        <v>89</v>
      </c>
      <c r="O2193" s="116">
        <v>87.05</v>
      </c>
      <c r="P2193" s="116">
        <v>88</v>
      </c>
      <c r="Q2193" s="116">
        <v>87.3</v>
      </c>
      <c r="R2193">
        <v>1989920</v>
      </c>
    </row>
    <row r="2194" spans="1:18" x14ac:dyDescent="0.25">
      <c r="A2194" s="170">
        <v>45236</v>
      </c>
      <c r="B2194" s="116">
        <v>91.87</v>
      </c>
      <c r="C2194" s="116">
        <v>89.77</v>
      </c>
      <c r="D2194" s="116">
        <v>87.32</v>
      </c>
      <c r="E2194" s="116">
        <v>87.32</v>
      </c>
      <c r="F2194" s="116">
        <v>89.77</v>
      </c>
      <c r="G2194">
        <v>637387</v>
      </c>
      <c r="H2194" s="116"/>
      <c r="I2194" s="116"/>
      <c r="L2194" s="170">
        <v>45236</v>
      </c>
      <c r="M2194" s="116">
        <v>89.6</v>
      </c>
      <c r="N2194" s="116">
        <v>91.9</v>
      </c>
      <c r="O2194" s="116">
        <v>87.9</v>
      </c>
      <c r="P2194" s="116">
        <v>88</v>
      </c>
      <c r="Q2194" s="116">
        <v>89.6</v>
      </c>
      <c r="R2194">
        <v>4395316</v>
      </c>
    </row>
    <row r="2195" spans="1:18" x14ac:dyDescent="0.25">
      <c r="A2195" s="170">
        <v>45237</v>
      </c>
      <c r="B2195" s="116">
        <v>91.23</v>
      </c>
      <c r="C2195" s="116">
        <v>89.8</v>
      </c>
      <c r="D2195" s="116">
        <v>89.25</v>
      </c>
      <c r="E2195" s="116">
        <v>89.99</v>
      </c>
      <c r="F2195" s="116">
        <v>89.8</v>
      </c>
      <c r="G2195">
        <v>534764</v>
      </c>
      <c r="H2195" s="116"/>
      <c r="I2195" s="116"/>
      <c r="L2195" s="170">
        <v>45237</v>
      </c>
      <c r="M2195" s="116">
        <v>89.85</v>
      </c>
      <c r="N2195" s="116">
        <v>91.25</v>
      </c>
      <c r="O2195" s="116">
        <v>89.2</v>
      </c>
      <c r="P2195" s="116">
        <v>89.85</v>
      </c>
      <c r="Q2195" s="116">
        <v>89.85</v>
      </c>
      <c r="R2195">
        <v>2547857</v>
      </c>
    </row>
    <row r="2196" spans="1:18" x14ac:dyDescent="0.25">
      <c r="A2196" s="170">
        <v>45238</v>
      </c>
      <c r="B2196" s="116">
        <v>91.63</v>
      </c>
      <c r="C2196" s="116">
        <v>89.06</v>
      </c>
      <c r="D2196" s="116">
        <v>88.54</v>
      </c>
      <c r="E2196" s="116">
        <v>89.91</v>
      </c>
      <c r="F2196" s="116">
        <v>89.06</v>
      </c>
      <c r="G2196">
        <v>385168</v>
      </c>
      <c r="H2196" s="116"/>
      <c r="I2196" s="116"/>
      <c r="L2196" s="170">
        <v>45238</v>
      </c>
      <c r="M2196" s="116">
        <v>89.1</v>
      </c>
      <c r="N2196" s="116">
        <v>91.6</v>
      </c>
      <c r="O2196" s="116">
        <v>88.6</v>
      </c>
      <c r="P2196" s="116">
        <v>90</v>
      </c>
      <c r="Q2196" s="116">
        <v>89.1</v>
      </c>
      <c r="R2196">
        <v>2646809</v>
      </c>
    </row>
    <row r="2197" spans="1:18" x14ac:dyDescent="0.25">
      <c r="A2197" s="170">
        <v>45239</v>
      </c>
      <c r="B2197" s="116">
        <v>90.36</v>
      </c>
      <c r="C2197" s="116">
        <v>89.33</v>
      </c>
      <c r="D2197" s="116">
        <v>88.9</v>
      </c>
      <c r="E2197" s="116">
        <v>89.28</v>
      </c>
      <c r="F2197" s="116">
        <v>89.33</v>
      </c>
      <c r="G2197">
        <v>230186</v>
      </c>
      <c r="H2197" s="116"/>
      <c r="I2197" s="116"/>
      <c r="L2197" s="170">
        <v>45239</v>
      </c>
      <c r="M2197" s="116">
        <v>89.25</v>
      </c>
      <c r="N2197" s="116">
        <v>90.4</v>
      </c>
      <c r="O2197" s="116">
        <v>88.8</v>
      </c>
      <c r="P2197" s="116">
        <v>89.5</v>
      </c>
      <c r="Q2197" s="116">
        <v>89.25</v>
      </c>
      <c r="R2197">
        <v>2164380</v>
      </c>
    </row>
    <row r="2198" spans="1:18" x14ac:dyDescent="0.25">
      <c r="A2198" s="170">
        <v>45240</v>
      </c>
      <c r="B2198" s="116">
        <v>88.95</v>
      </c>
      <c r="C2198" s="116">
        <v>87.97</v>
      </c>
      <c r="D2198" s="116">
        <v>87.65</v>
      </c>
      <c r="E2198" s="116">
        <v>88.02</v>
      </c>
      <c r="F2198" s="116">
        <v>87.97</v>
      </c>
      <c r="G2198">
        <v>278867</v>
      </c>
      <c r="H2198" s="116"/>
      <c r="I2198" s="116"/>
      <c r="L2198" s="170">
        <v>45240</v>
      </c>
      <c r="M2198" s="116">
        <v>88</v>
      </c>
      <c r="N2198" s="116">
        <v>88.95</v>
      </c>
      <c r="O2198" s="116">
        <v>87.8</v>
      </c>
      <c r="P2198" s="116">
        <v>88.9</v>
      </c>
      <c r="Q2198" s="116">
        <v>88</v>
      </c>
      <c r="R2198">
        <v>1321432</v>
      </c>
    </row>
    <row r="2199" spans="1:18" x14ac:dyDescent="0.25">
      <c r="A2199" s="170">
        <v>45242</v>
      </c>
      <c r="B2199" s="116">
        <v>89</v>
      </c>
      <c r="C2199" s="116">
        <v>88.66</v>
      </c>
      <c r="D2199" s="116">
        <v>88.34</v>
      </c>
      <c r="E2199" s="116">
        <v>89</v>
      </c>
      <c r="F2199" s="116">
        <v>88.66</v>
      </c>
      <c r="G2199">
        <v>43978</v>
      </c>
      <c r="H2199" s="116"/>
      <c r="I2199" s="116"/>
      <c r="L2199" s="170">
        <v>45242</v>
      </c>
      <c r="M2199" s="116">
        <v>88.65</v>
      </c>
      <c r="N2199" s="116">
        <v>89</v>
      </c>
      <c r="O2199" s="116">
        <v>88.4</v>
      </c>
      <c r="P2199" s="116">
        <v>88.75</v>
      </c>
      <c r="Q2199" s="116">
        <v>88.65</v>
      </c>
      <c r="R2199">
        <v>574717</v>
      </c>
    </row>
    <row r="2200" spans="1:18" x14ac:dyDescent="0.25">
      <c r="A2200" s="170">
        <v>45243</v>
      </c>
      <c r="B2200" s="116">
        <v>90.4</v>
      </c>
      <c r="C2200" s="116">
        <v>88.82</v>
      </c>
      <c r="D2200" s="116">
        <v>87.9</v>
      </c>
      <c r="E2200" s="116">
        <v>89.27</v>
      </c>
      <c r="F2200" s="116">
        <v>88.82</v>
      </c>
      <c r="G2200">
        <v>402028</v>
      </c>
      <c r="H2200" s="116"/>
      <c r="I2200" s="116"/>
      <c r="L2200" s="170">
        <v>45243</v>
      </c>
      <c r="M2200" s="116">
        <v>88.8</v>
      </c>
      <c r="N2200" s="116">
        <v>90.5</v>
      </c>
      <c r="O2200" s="116">
        <v>87.9</v>
      </c>
      <c r="P2200" s="116">
        <v>88.65</v>
      </c>
      <c r="Q2200" s="116">
        <v>88.8</v>
      </c>
      <c r="R2200">
        <v>1838680</v>
      </c>
    </row>
    <row r="2201" spans="1:18" x14ac:dyDescent="0.25">
      <c r="A2201" s="170">
        <v>45245</v>
      </c>
      <c r="B2201" s="116">
        <v>92.5</v>
      </c>
      <c r="C2201" s="116">
        <v>90.57</v>
      </c>
      <c r="D2201" s="116">
        <v>89.04</v>
      </c>
      <c r="E2201" s="116">
        <v>89.48</v>
      </c>
      <c r="F2201" s="116">
        <v>90.57</v>
      </c>
      <c r="G2201">
        <v>915249</v>
      </c>
      <c r="H2201" s="116"/>
      <c r="I2201" s="116"/>
      <c r="L2201" s="170">
        <v>45245</v>
      </c>
      <c r="M2201" s="116">
        <v>90.65</v>
      </c>
      <c r="N2201" s="116">
        <v>92.5</v>
      </c>
      <c r="O2201" s="116">
        <v>89.1</v>
      </c>
      <c r="P2201" s="116">
        <v>89.65</v>
      </c>
      <c r="Q2201" s="116">
        <v>90.65</v>
      </c>
      <c r="R2201">
        <v>4552913</v>
      </c>
    </row>
    <row r="2202" spans="1:18" x14ac:dyDescent="0.25">
      <c r="A2202" s="170">
        <v>45246</v>
      </c>
      <c r="B2202" s="116">
        <v>92.17</v>
      </c>
      <c r="C2202" s="116">
        <v>89.96</v>
      </c>
      <c r="D2202" s="116">
        <v>89.55</v>
      </c>
      <c r="E2202" s="116">
        <v>90.6</v>
      </c>
      <c r="F2202" s="116">
        <v>89.96</v>
      </c>
      <c r="G2202">
        <v>328161</v>
      </c>
      <c r="H2202" s="116"/>
      <c r="I2202" s="116"/>
      <c r="L2202" s="170">
        <v>45246</v>
      </c>
      <c r="M2202" s="116">
        <v>90.05</v>
      </c>
      <c r="N2202" s="116">
        <v>92.1</v>
      </c>
      <c r="O2202" s="116">
        <v>89.6</v>
      </c>
      <c r="P2202" s="116">
        <v>90.7</v>
      </c>
      <c r="Q2202" s="116">
        <v>90.05</v>
      </c>
      <c r="R2202">
        <v>2796077</v>
      </c>
    </row>
    <row r="2203" spans="1:18" x14ac:dyDescent="0.25">
      <c r="A2203" s="170">
        <v>45247</v>
      </c>
      <c r="B2203" s="116">
        <v>91.25</v>
      </c>
      <c r="C2203" s="116">
        <v>88.9</v>
      </c>
      <c r="D2203" s="116">
        <v>88.59</v>
      </c>
      <c r="E2203" s="116">
        <v>89.6</v>
      </c>
      <c r="F2203" s="116">
        <v>88.9</v>
      </c>
      <c r="G2203">
        <v>408450</v>
      </c>
      <c r="H2203" s="116"/>
      <c r="I2203" s="116"/>
      <c r="L2203" s="170">
        <v>45247</v>
      </c>
      <c r="M2203" s="116">
        <v>88.95</v>
      </c>
      <c r="N2203" s="116">
        <v>91.35</v>
      </c>
      <c r="O2203" s="116">
        <v>88.4</v>
      </c>
      <c r="P2203" s="116">
        <v>89.55</v>
      </c>
      <c r="Q2203" s="116">
        <v>88.95</v>
      </c>
      <c r="R2203">
        <v>2962425</v>
      </c>
    </row>
    <row r="2204" spans="1:18" x14ac:dyDescent="0.25">
      <c r="A2204" s="170">
        <v>45250</v>
      </c>
      <c r="B2204" s="116">
        <v>89.99</v>
      </c>
      <c r="C2204" s="116">
        <v>87.99</v>
      </c>
      <c r="D2204" s="116">
        <v>87.5</v>
      </c>
      <c r="E2204" s="116">
        <v>89.2</v>
      </c>
      <c r="F2204" s="116">
        <v>87.99</v>
      </c>
      <c r="G2204">
        <v>236283</v>
      </c>
      <c r="H2204" s="116"/>
      <c r="I2204" s="116"/>
      <c r="L2204" s="170">
        <v>45250</v>
      </c>
      <c r="M2204" s="116">
        <v>87.95</v>
      </c>
      <c r="N2204" s="116">
        <v>90</v>
      </c>
      <c r="O2204" s="116">
        <v>87.5</v>
      </c>
      <c r="P2204" s="116">
        <v>89.05</v>
      </c>
      <c r="Q2204" s="116">
        <v>87.95</v>
      </c>
      <c r="R2204">
        <v>1835199</v>
      </c>
    </row>
    <row r="2205" spans="1:18" x14ac:dyDescent="0.25">
      <c r="A2205" s="170">
        <v>45251</v>
      </c>
      <c r="B2205" s="116">
        <v>89</v>
      </c>
      <c r="C2205" s="116">
        <v>87.45</v>
      </c>
      <c r="D2205" s="116">
        <v>87.11</v>
      </c>
      <c r="E2205" s="116">
        <v>88.1</v>
      </c>
      <c r="F2205" s="116">
        <v>87.45</v>
      </c>
      <c r="G2205">
        <v>445540</v>
      </c>
      <c r="H2205" s="116"/>
      <c r="I2205" s="116"/>
      <c r="L2205" s="170">
        <v>45251</v>
      </c>
      <c r="M2205" s="116">
        <v>87.45</v>
      </c>
      <c r="N2205" s="116">
        <v>89</v>
      </c>
      <c r="O2205" s="116">
        <v>87.2</v>
      </c>
      <c r="P2205" s="116">
        <v>88</v>
      </c>
      <c r="Q2205" s="116">
        <v>87.45</v>
      </c>
      <c r="R2205">
        <v>1885702</v>
      </c>
    </row>
    <row r="2206" spans="1:18" x14ac:dyDescent="0.25">
      <c r="A2206" s="170">
        <v>45252</v>
      </c>
      <c r="B2206" s="116">
        <v>88.88</v>
      </c>
      <c r="C2206" s="116">
        <v>85.77</v>
      </c>
      <c r="D2206" s="116">
        <v>85.5</v>
      </c>
      <c r="E2206" s="116">
        <v>87.98</v>
      </c>
      <c r="F2206" s="116">
        <v>85.77</v>
      </c>
      <c r="G2206">
        <v>572122</v>
      </c>
      <c r="H2206" s="116"/>
      <c r="I2206" s="116"/>
      <c r="L2206" s="170">
        <v>45252</v>
      </c>
      <c r="M2206" s="116">
        <v>85.8</v>
      </c>
      <c r="N2206" s="116">
        <v>88.9</v>
      </c>
      <c r="O2206" s="116">
        <v>85.6</v>
      </c>
      <c r="P2206" s="116">
        <v>87.45</v>
      </c>
      <c r="Q2206" s="116">
        <v>85.8</v>
      </c>
      <c r="R2206">
        <v>3066679</v>
      </c>
    </row>
    <row r="2207" spans="1:18" x14ac:dyDescent="0.25">
      <c r="A2207" s="170">
        <v>45253</v>
      </c>
      <c r="B2207" s="116">
        <v>91.47</v>
      </c>
      <c r="C2207" s="116">
        <v>88.49</v>
      </c>
      <c r="D2207" s="116">
        <v>86.01</v>
      </c>
      <c r="E2207" s="116">
        <v>86.01</v>
      </c>
      <c r="F2207" s="116">
        <v>88.49</v>
      </c>
      <c r="G2207">
        <v>788252</v>
      </c>
      <c r="H2207" s="116"/>
      <c r="I2207" s="116"/>
      <c r="L2207" s="170">
        <v>45253</v>
      </c>
      <c r="M2207" s="116">
        <v>88.55</v>
      </c>
      <c r="N2207" s="116">
        <v>91.4</v>
      </c>
      <c r="O2207" s="116">
        <v>86.25</v>
      </c>
      <c r="P2207" s="116">
        <v>86.45</v>
      </c>
      <c r="Q2207" s="116">
        <v>88.55</v>
      </c>
      <c r="R2207">
        <v>9349140</v>
      </c>
    </row>
    <row r="2208" spans="1:18" x14ac:dyDescent="0.25">
      <c r="A2208" s="170">
        <v>45254</v>
      </c>
      <c r="B2208" s="116">
        <v>91.8</v>
      </c>
      <c r="C2208" s="116">
        <v>89.03</v>
      </c>
      <c r="D2208" s="116">
        <v>88.61</v>
      </c>
      <c r="E2208" s="116">
        <v>88.61</v>
      </c>
      <c r="F2208" s="116">
        <v>89.03</v>
      </c>
      <c r="G2208">
        <v>571897</v>
      </c>
      <c r="H2208" s="116"/>
      <c r="I2208" s="116"/>
      <c r="L2208" s="170">
        <v>45254</v>
      </c>
      <c r="M2208" s="116">
        <v>89</v>
      </c>
      <c r="N2208" s="116">
        <v>91.95</v>
      </c>
      <c r="O2208" s="116">
        <v>88.5</v>
      </c>
      <c r="P2208" s="116">
        <v>89</v>
      </c>
      <c r="Q2208" s="116">
        <v>89</v>
      </c>
      <c r="R2208">
        <v>6282337</v>
      </c>
    </row>
    <row r="2209" spans="1:18" x14ac:dyDescent="0.25">
      <c r="A2209" s="170">
        <v>45258</v>
      </c>
      <c r="B2209" s="116">
        <v>89.89</v>
      </c>
      <c r="C2209" s="116">
        <v>88.15</v>
      </c>
      <c r="D2209" s="116">
        <v>88</v>
      </c>
      <c r="E2209" s="116">
        <v>89.89</v>
      </c>
      <c r="F2209" s="116">
        <v>88.15</v>
      </c>
      <c r="G2209">
        <v>561576</v>
      </c>
      <c r="H2209" s="116"/>
      <c r="I2209" s="116"/>
      <c r="L2209" s="170">
        <v>45258</v>
      </c>
      <c r="M2209" s="116">
        <v>88.2</v>
      </c>
      <c r="N2209" s="116">
        <v>89.75</v>
      </c>
      <c r="O2209" s="116">
        <v>88.05</v>
      </c>
      <c r="P2209" s="116">
        <v>89.5</v>
      </c>
      <c r="Q2209" s="116">
        <v>88.2</v>
      </c>
      <c r="R2209">
        <v>2239390</v>
      </c>
    </row>
    <row r="2210" spans="1:18" x14ac:dyDescent="0.25">
      <c r="A2210" s="170">
        <v>45259</v>
      </c>
      <c r="B2210" s="116">
        <v>93.97</v>
      </c>
      <c r="C2210" s="116">
        <v>93.45</v>
      </c>
      <c r="D2210" s="116">
        <v>87.72</v>
      </c>
      <c r="E2210" s="116">
        <v>88.5</v>
      </c>
      <c r="F2210" s="116">
        <v>93.45</v>
      </c>
      <c r="G2210">
        <v>1334575</v>
      </c>
      <c r="H2210" s="116"/>
      <c r="I2210" s="116"/>
      <c r="L2210" s="170">
        <v>45259</v>
      </c>
      <c r="M2210" s="116">
        <v>93.45</v>
      </c>
      <c r="N2210" s="116">
        <v>93.95</v>
      </c>
      <c r="O2210" s="116">
        <v>87.7</v>
      </c>
      <c r="P2210" s="116">
        <v>88.5</v>
      </c>
      <c r="Q2210" s="116">
        <v>93.45</v>
      </c>
      <c r="R2210">
        <v>14842109</v>
      </c>
    </row>
    <row r="2211" spans="1:18" x14ac:dyDescent="0.25">
      <c r="A2211" s="170">
        <v>45260</v>
      </c>
      <c r="B2211" s="116">
        <v>96.74</v>
      </c>
      <c r="C2211" s="116">
        <v>95.21</v>
      </c>
      <c r="D2211" s="116">
        <v>92.75</v>
      </c>
      <c r="E2211" s="116">
        <v>94.11</v>
      </c>
      <c r="F2211" s="116">
        <v>95.21</v>
      </c>
      <c r="G2211">
        <v>2682040</v>
      </c>
      <c r="H2211" s="116"/>
      <c r="I2211" s="116"/>
      <c r="L2211" s="170">
        <v>45260</v>
      </c>
      <c r="M2211" s="116">
        <v>95.2</v>
      </c>
      <c r="N2211" s="116">
        <v>96.8</v>
      </c>
      <c r="O2211" s="116">
        <v>92.75</v>
      </c>
      <c r="P2211" s="116">
        <v>94.25</v>
      </c>
      <c r="Q2211" s="116">
        <v>95.2</v>
      </c>
      <c r="R2211">
        <v>16020246</v>
      </c>
    </row>
    <row r="2212" spans="1:18" x14ac:dyDescent="0.25">
      <c r="A2212" s="170">
        <v>45261</v>
      </c>
      <c r="B2212" s="116">
        <v>97</v>
      </c>
      <c r="C2212" s="116">
        <v>94.09</v>
      </c>
      <c r="D2212" s="116">
        <v>92.3</v>
      </c>
      <c r="E2212" s="116">
        <v>96.56</v>
      </c>
      <c r="F2212" s="116">
        <v>94.09</v>
      </c>
      <c r="G2212">
        <v>1755321</v>
      </c>
      <c r="H2212" s="116"/>
      <c r="I2212" s="116"/>
      <c r="L2212" s="170">
        <v>45261</v>
      </c>
      <c r="M2212" s="116">
        <v>94.1</v>
      </c>
      <c r="N2212" s="116">
        <v>97.1</v>
      </c>
      <c r="O2212" s="116">
        <v>92.3</v>
      </c>
      <c r="P2212" s="116">
        <v>97</v>
      </c>
      <c r="Q2212" s="116">
        <v>94.1</v>
      </c>
      <c r="R2212">
        <v>8845546</v>
      </c>
    </row>
    <row r="2213" spans="1:18" x14ac:dyDescent="0.25">
      <c r="A2213" s="170">
        <v>45264</v>
      </c>
      <c r="B2213" s="116">
        <v>95.94</v>
      </c>
      <c r="C2213" s="116">
        <v>93.68</v>
      </c>
      <c r="D2213" s="116">
        <v>93.31</v>
      </c>
      <c r="E2213" s="116">
        <v>95.94</v>
      </c>
      <c r="F2213" s="116">
        <v>93.68</v>
      </c>
      <c r="G2213">
        <v>425486</v>
      </c>
      <c r="H2213" s="116"/>
      <c r="I2213" s="116"/>
      <c r="L2213" s="170">
        <v>45264</v>
      </c>
      <c r="M2213" s="116">
        <v>93.75</v>
      </c>
      <c r="N2213" s="116">
        <v>95.8</v>
      </c>
      <c r="O2213" s="116">
        <v>93.3</v>
      </c>
      <c r="P2213" s="116">
        <v>95.75</v>
      </c>
      <c r="Q2213" s="116">
        <v>93.75</v>
      </c>
      <c r="R2213">
        <v>4314612</v>
      </c>
    </row>
    <row r="2214" spans="1:18" x14ac:dyDescent="0.25">
      <c r="A2214" s="170">
        <v>45265</v>
      </c>
      <c r="B2214" s="116">
        <v>94.32</v>
      </c>
      <c r="C2214" s="116">
        <v>91.84</v>
      </c>
      <c r="D2214" s="116">
        <v>91.6</v>
      </c>
      <c r="E2214" s="116">
        <v>93.76</v>
      </c>
      <c r="F2214" s="116">
        <v>91.84</v>
      </c>
      <c r="G2214">
        <v>597477</v>
      </c>
      <c r="H2214" s="116"/>
      <c r="I2214" s="116"/>
      <c r="L2214" s="170">
        <v>45265</v>
      </c>
      <c r="M2214" s="116">
        <v>91.8</v>
      </c>
      <c r="N2214" s="116">
        <v>94.45</v>
      </c>
      <c r="O2214" s="116">
        <v>91.55</v>
      </c>
      <c r="P2214" s="116">
        <v>93.95</v>
      </c>
      <c r="Q2214" s="116">
        <v>91.8</v>
      </c>
      <c r="R2214">
        <v>3900842</v>
      </c>
    </row>
    <row r="2215" spans="1:18" x14ac:dyDescent="0.25">
      <c r="A2215" s="170">
        <v>45266</v>
      </c>
      <c r="B2215" s="116">
        <v>95.3</v>
      </c>
      <c r="C2215" s="116">
        <v>92.9</v>
      </c>
      <c r="D2215" s="116">
        <v>91</v>
      </c>
      <c r="E2215" s="116">
        <v>91.91</v>
      </c>
      <c r="F2215" s="116">
        <v>92.9</v>
      </c>
      <c r="G2215">
        <v>1834039</v>
      </c>
      <c r="H2215" s="116"/>
      <c r="I2215" s="116"/>
      <c r="L2215" s="170">
        <v>45266</v>
      </c>
      <c r="M2215" s="116">
        <v>92.9</v>
      </c>
      <c r="N2215" s="116">
        <v>95.3</v>
      </c>
      <c r="O2215" s="116">
        <v>91</v>
      </c>
      <c r="P2215" s="116">
        <v>92.1</v>
      </c>
      <c r="Q2215" s="116">
        <v>92.9</v>
      </c>
      <c r="R2215">
        <v>4958196</v>
      </c>
    </row>
    <row r="2216" spans="1:18" x14ac:dyDescent="0.25">
      <c r="A2216" s="170">
        <v>45267</v>
      </c>
      <c r="B2216" s="116">
        <v>93.9</v>
      </c>
      <c r="C2216" s="116">
        <v>92.37</v>
      </c>
      <c r="D2216" s="116">
        <v>90.55</v>
      </c>
      <c r="E2216" s="116">
        <v>92.89</v>
      </c>
      <c r="F2216" s="116">
        <v>92.37</v>
      </c>
      <c r="G2216">
        <v>1847581</v>
      </c>
      <c r="H2216" s="116"/>
      <c r="I2216" s="116"/>
      <c r="L2216" s="170">
        <v>45267</v>
      </c>
      <c r="M2216" s="116">
        <v>92.3</v>
      </c>
      <c r="N2216" s="116">
        <v>93.45</v>
      </c>
      <c r="O2216" s="116">
        <v>91.2</v>
      </c>
      <c r="P2216" s="116">
        <v>92.5</v>
      </c>
      <c r="Q2216" s="116">
        <v>92.3</v>
      </c>
      <c r="R2216">
        <v>3759476</v>
      </c>
    </row>
    <row r="2217" spans="1:18" x14ac:dyDescent="0.25">
      <c r="A2217" s="170">
        <v>45268</v>
      </c>
      <c r="B2217" s="116">
        <v>94.24</v>
      </c>
      <c r="C2217" s="116">
        <v>92.54</v>
      </c>
      <c r="D2217" s="116">
        <v>92</v>
      </c>
      <c r="E2217" s="116">
        <v>92.14</v>
      </c>
      <c r="F2217" s="116">
        <v>92.54</v>
      </c>
      <c r="G2217">
        <v>880242</v>
      </c>
      <c r="H2217" s="116"/>
      <c r="I2217" s="116"/>
      <c r="L2217" s="170">
        <v>45268</v>
      </c>
      <c r="M2217" s="116">
        <v>92.55</v>
      </c>
      <c r="N2217" s="116">
        <v>94.3</v>
      </c>
      <c r="O2217" s="116">
        <v>91.75</v>
      </c>
      <c r="P2217" s="116">
        <v>92.25</v>
      </c>
      <c r="Q2217" s="116">
        <v>92.55</v>
      </c>
      <c r="R2217">
        <v>4157546</v>
      </c>
    </row>
    <row r="2218" spans="1:18" x14ac:dyDescent="0.25">
      <c r="A2218" s="170">
        <v>45271</v>
      </c>
      <c r="B2218" s="116">
        <v>93.5</v>
      </c>
      <c r="C2218" s="116">
        <v>91.85</v>
      </c>
      <c r="D2218" s="116">
        <v>91.6</v>
      </c>
      <c r="E2218" s="116">
        <v>92.5</v>
      </c>
      <c r="F2218" s="116">
        <v>91.85</v>
      </c>
      <c r="G2218">
        <v>274281</v>
      </c>
      <c r="H2218" s="116"/>
      <c r="I2218" s="116"/>
      <c r="L2218" s="170">
        <v>45271</v>
      </c>
      <c r="M2218" s="116">
        <v>91.85</v>
      </c>
      <c r="N2218" s="116">
        <v>93.5</v>
      </c>
      <c r="O2218" s="116">
        <v>91.6</v>
      </c>
      <c r="P2218" s="116">
        <v>92.3</v>
      </c>
      <c r="Q2218" s="116">
        <v>91.85</v>
      </c>
      <c r="R2218">
        <v>2716452</v>
      </c>
    </row>
    <row r="2219" spans="1:18" x14ac:dyDescent="0.25">
      <c r="A2219" s="170">
        <v>45272</v>
      </c>
      <c r="B2219" s="116">
        <v>92.66</v>
      </c>
      <c r="C2219" s="116">
        <v>90.17</v>
      </c>
      <c r="D2219" s="116">
        <v>89.88</v>
      </c>
      <c r="E2219" s="116">
        <v>91.01</v>
      </c>
      <c r="F2219" s="116">
        <v>90.17</v>
      </c>
      <c r="G2219">
        <v>655420</v>
      </c>
      <c r="H2219" s="116"/>
      <c r="I2219" s="116"/>
      <c r="L2219" s="170">
        <v>45272</v>
      </c>
      <c r="M2219" s="116">
        <v>90.2</v>
      </c>
      <c r="N2219" s="116">
        <v>92.8</v>
      </c>
      <c r="O2219" s="116">
        <v>90</v>
      </c>
      <c r="P2219" s="116">
        <v>91.85</v>
      </c>
      <c r="Q2219" s="116">
        <v>90.2</v>
      </c>
      <c r="R2219">
        <v>3240372</v>
      </c>
    </row>
    <row r="2220" spans="1:18" x14ac:dyDescent="0.25">
      <c r="A2220" s="170">
        <v>45273</v>
      </c>
      <c r="B2220" s="116">
        <v>91.78</v>
      </c>
      <c r="C2220" s="116">
        <v>89.93</v>
      </c>
      <c r="D2220" s="116">
        <v>89.45</v>
      </c>
      <c r="E2220" s="116">
        <v>90.87</v>
      </c>
      <c r="F2220" s="116">
        <v>89.93</v>
      </c>
      <c r="G2220">
        <v>299697</v>
      </c>
      <c r="H2220" s="116"/>
      <c r="I2220" s="116"/>
      <c r="L2220" s="170">
        <v>45273</v>
      </c>
      <c r="M2220" s="116">
        <v>90</v>
      </c>
      <c r="N2220" s="116">
        <v>91.8</v>
      </c>
      <c r="O2220" s="116">
        <v>89.45</v>
      </c>
      <c r="P2220" s="116">
        <v>90.4</v>
      </c>
      <c r="Q2220" s="116">
        <v>90</v>
      </c>
      <c r="R2220">
        <v>2823856</v>
      </c>
    </row>
    <row r="2221" spans="1:18" x14ac:dyDescent="0.25">
      <c r="A2221" s="170">
        <v>45274</v>
      </c>
      <c r="B2221" s="116">
        <v>93.25</v>
      </c>
      <c r="C2221" s="116">
        <v>91.66</v>
      </c>
      <c r="D2221" s="116">
        <v>89.9</v>
      </c>
      <c r="E2221" s="116">
        <v>90</v>
      </c>
      <c r="F2221" s="116">
        <v>91.66</v>
      </c>
      <c r="G2221">
        <v>635994</v>
      </c>
      <c r="H2221" s="116"/>
      <c r="I2221" s="116"/>
      <c r="L2221" s="170">
        <v>45274</v>
      </c>
      <c r="M2221" s="116">
        <v>91.75</v>
      </c>
      <c r="N2221" s="116">
        <v>93.2</v>
      </c>
      <c r="O2221" s="116">
        <v>89.8</v>
      </c>
      <c r="P2221" s="116">
        <v>90</v>
      </c>
      <c r="Q2221" s="116">
        <v>91.75</v>
      </c>
      <c r="R2221">
        <v>6434058</v>
      </c>
    </row>
    <row r="2222" spans="1:18" x14ac:dyDescent="0.25">
      <c r="A2222" s="170">
        <v>45275</v>
      </c>
      <c r="B2222" s="116">
        <v>93.34</v>
      </c>
      <c r="C2222" s="116">
        <v>91.13</v>
      </c>
      <c r="D2222" s="116">
        <v>90.76</v>
      </c>
      <c r="E2222" s="116">
        <v>91.99</v>
      </c>
      <c r="F2222" s="116">
        <v>91.13</v>
      </c>
      <c r="G2222">
        <v>353009</v>
      </c>
      <c r="H2222" s="116"/>
      <c r="I2222" s="116"/>
      <c r="L2222" s="170">
        <v>45275</v>
      </c>
      <c r="M2222" s="116">
        <v>91.15</v>
      </c>
      <c r="N2222" s="116">
        <v>93.4</v>
      </c>
      <c r="O2222" s="116">
        <v>90.7</v>
      </c>
      <c r="P2222" s="116">
        <v>92</v>
      </c>
      <c r="Q2222" s="116">
        <v>91.15</v>
      </c>
      <c r="R2222">
        <v>4336773</v>
      </c>
    </row>
    <row r="2223" spans="1:18" x14ac:dyDescent="0.25">
      <c r="A2223" s="170">
        <v>45278</v>
      </c>
      <c r="B2223" s="116">
        <v>98.21</v>
      </c>
      <c r="C2223" s="116">
        <v>97.6</v>
      </c>
      <c r="D2223" s="116">
        <v>92.24</v>
      </c>
      <c r="E2223" s="116">
        <v>92.69</v>
      </c>
      <c r="F2223" s="116">
        <v>97.6</v>
      </c>
      <c r="G2223">
        <v>1953476</v>
      </c>
      <c r="H2223" s="116"/>
      <c r="I2223" s="116"/>
      <c r="L2223" s="170">
        <v>45278</v>
      </c>
      <c r="M2223" s="116">
        <v>97.55</v>
      </c>
      <c r="N2223" s="116">
        <v>98.3</v>
      </c>
      <c r="O2223" s="116">
        <v>92.5</v>
      </c>
      <c r="P2223" s="116">
        <v>92.5</v>
      </c>
      <c r="Q2223" s="116">
        <v>97.55</v>
      </c>
      <c r="R2223">
        <v>27687040</v>
      </c>
    </row>
    <row r="2224" spans="1:18" x14ac:dyDescent="0.25">
      <c r="A2224" s="170">
        <v>45279</v>
      </c>
      <c r="B2224" s="116">
        <v>98.3</v>
      </c>
      <c r="C2224" s="116">
        <v>94.56</v>
      </c>
      <c r="D2224" s="116">
        <v>94</v>
      </c>
      <c r="E2224" s="116">
        <v>97.95</v>
      </c>
      <c r="F2224" s="116">
        <v>94.56</v>
      </c>
      <c r="G2224">
        <v>1033090</v>
      </c>
      <c r="H2224" s="116"/>
      <c r="I2224" s="116"/>
      <c r="L2224" s="170">
        <v>45279</v>
      </c>
      <c r="M2224" s="116">
        <v>94.65</v>
      </c>
      <c r="N2224" s="116">
        <v>98.2</v>
      </c>
      <c r="O2224" s="116">
        <v>94.2</v>
      </c>
      <c r="P2224" s="116">
        <v>97.95</v>
      </c>
      <c r="Q2224" s="116">
        <v>94.65</v>
      </c>
      <c r="R2224">
        <v>7425019</v>
      </c>
    </row>
    <row r="2225" spans="1:18" x14ac:dyDescent="0.25">
      <c r="A2225" s="170">
        <v>45280</v>
      </c>
      <c r="B2225" s="116">
        <v>95.75</v>
      </c>
      <c r="C2225" s="116">
        <v>89.42</v>
      </c>
      <c r="D2225" s="116">
        <v>88.75</v>
      </c>
      <c r="E2225" s="116">
        <v>95.01</v>
      </c>
      <c r="F2225" s="116">
        <v>89.42</v>
      </c>
      <c r="G2225">
        <v>795163</v>
      </c>
      <c r="H2225" s="116"/>
      <c r="I2225" s="116"/>
      <c r="L2225" s="170">
        <v>45280</v>
      </c>
      <c r="M2225" s="116">
        <v>89.3</v>
      </c>
      <c r="N2225" s="116">
        <v>95.85</v>
      </c>
      <c r="O2225" s="116">
        <v>88.65</v>
      </c>
      <c r="P2225" s="116">
        <v>95.45</v>
      </c>
      <c r="Q2225" s="116">
        <v>89.3</v>
      </c>
      <c r="R2225">
        <v>10281177</v>
      </c>
    </row>
    <row r="2226" spans="1:18" x14ac:dyDescent="0.25">
      <c r="A2226" s="170">
        <v>45281</v>
      </c>
      <c r="B2226" s="116">
        <v>91.34</v>
      </c>
      <c r="C2226" s="116">
        <v>89.51</v>
      </c>
      <c r="D2226" s="116">
        <v>87.07</v>
      </c>
      <c r="E2226" s="116">
        <v>88.77</v>
      </c>
      <c r="F2226" s="116">
        <v>89.51</v>
      </c>
      <c r="G2226">
        <v>943715</v>
      </c>
      <c r="H2226" s="116"/>
      <c r="I2226" s="116"/>
      <c r="L2226" s="170">
        <v>45281</v>
      </c>
      <c r="M2226" s="116">
        <v>89.5</v>
      </c>
      <c r="N2226" s="116">
        <v>91.3</v>
      </c>
      <c r="O2226" s="116">
        <v>87.2</v>
      </c>
      <c r="P2226" s="116">
        <v>88.2</v>
      </c>
      <c r="Q2226" s="116">
        <v>89.5</v>
      </c>
      <c r="R2226">
        <v>4835738</v>
      </c>
    </row>
    <row r="2227" spans="1:18" x14ac:dyDescent="0.25">
      <c r="A2227" s="170">
        <v>45282</v>
      </c>
      <c r="B2227" s="116">
        <v>93.45</v>
      </c>
      <c r="C2227" s="116">
        <v>91.88</v>
      </c>
      <c r="D2227" s="116">
        <v>90.51</v>
      </c>
      <c r="E2227" s="116">
        <v>90.59</v>
      </c>
      <c r="F2227" s="116">
        <v>91.88</v>
      </c>
      <c r="G2227">
        <v>935113</v>
      </c>
      <c r="H2227" s="116"/>
      <c r="I2227" s="116"/>
      <c r="L2227" s="170">
        <v>45282</v>
      </c>
      <c r="M2227" s="116">
        <v>92</v>
      </c>
      <c r="N2227" s="116">
        <v>93.45</v>
      </c>
      <c r="O2227" s="116">
        <v>90.45</v>
      </c>
      <c r="P2227" s="116">
        <v>90.45</v>
      </c>
      <c r="Q2227" s="116">
        <v>92</v>
      </c>
      <c r="R2227">
        <v>5391518</v>
      </c>
    </row>
    <row r="2228" spans="1:18" x14ac:dyDescent="0.25">
      <c r="A2228" s="170">
        <v>45286</v>
      </c>
      <c r="B2228" s="116">
        <v>92.39</v>
      </c>
      <c r="C2228" s="116">
        <v>90.31</v>
      </c>
      <c r="D2228" s="116">
        <v>89.85</v>
      </c>
      <c r="E2228" s="116">
        <v>92.01</v>
      </c>
      <c r="F2228" s="116">
        <v>90.31</v>
      </c>
      <c r="G2228">
        <v>227819</v>
      </c>
      <c r="H2228" s="116"/>
      <c r="I2228" s="116"/>
      <c r="L2228" s="170">
        <v>45286</v>
      </c>
      <c r="M2228" s="116">
        <v>90.25</v>
      </c>
      <c r="N2228" s="116">
        <v>92.45</v>
      </c>
      <c r="O2228" s="116">
        <v>89.8</v>
      </c>
      <c r="P2228" s="116">
        <v>92.15</v>
      </c>
      <c r="Q2228" s="116">
        <v>90.25</v>
      </c>
      <c r="R2228">
        <v>2803388</v>
      </c>
    </row>
    <row r="2229" spans="1:18" x14ac:dyDescent="0.25">
      <c r="A2229" s="170">
        <v>45287</v>
      </c>
      <c r="B2229" s="116">
        <v>93.93</v>
      </c>
      <c r="C2229" s="116">
        <v>91.94</v>
      </c>
      <c r="D2229" s="116">
        <v>90.49</v>
      </c>
      <c r="E2229" s="116">
        <v>90.99</v>
      </c>
      <c r="F2229" s="116">
        <v>91.94</v>
      </c>
      <c r="G2229">
        <v>800517</v>
      </c>
      <c r="H2229" s="116"/>
      <c r="I2229" s="116"/>
      <c r="L2229" s="170">
        <v>45287</v>
      </c>
      <c r="M2229" s="116">
        <v>92.05</v>
      </c>
      <c r="N2229" s="116">
        <v>94.05</v>
      </c>
      <c r="O2229" s="116">
        <v>90.6</v>
      </c>
      <c r="P2229" s="116">
        <v>90.75</v>
      </c>
      <c r="Q2229" s="116">
        <v>92.05</v>
      </c>
      <c r="R2229">
        <v>4392782</v>
      </c>
    </row>
    <row r="2230" spans="1:18" x14ac:dyDescent="0.25">
      <c r="A2230" s="170">
        <v>45288</v>
      </c>
      <c r="B2230" s="116">
        <v>92.75</v>
      </c>
      <c r="C2230" s="116">
        <v>91.08</v>
      </c>
      <c r="D2230" s="116">
        <v>90.72</v>
      </c>
      <c r="E2230" s="116">
        <v>92.54</v>
      </c>
      <c r="F2230" s="116">
        <v>91.08</v>
      </c>
      <c r="G2230">
        <v>282928</v>
      </c>
      <c r="H2230" s="116"/>
      <c r="I2230" s="116"/>
      <c r="L2230" s="170">
        <v>45288</v>
      </c>
      <c r="M2230" s="116">
        <v>90.95</v>
      </c>
      <c r="N2230" s="116">
        <v>92.7</v>
      </c>
      <c r="O2230" s="116">
        <v>90.65</v>
      </c>
      <c r="P2230" s="116">
        <v>92.65</v>
      </c>
      <c r="Q2230" s="116">
        <v>90.95</v>
      </c>
      <c r="R2230">
        <v>2403152</v>
      </c>
    </row>
    <row r="2231" spans="1:18" x14ac:dyDescent="0.25">
      <c r="A2231" s="170">
        <v>45289</v>
      </c>
      <c r="B2231" s="116">
        <v>92.83</v>
      </c>
      <c r="C2231" s="116">
        <v>91.72</v>
      </c>
      <c r="D2231" s="116">
        <v>90.32</v>
      </c>
      <c r="E2231" s="116">
        <v>91.42</v>
      </c>
      <c r="F2231" s="116">
        <v>91.72</v>
      </c>
      <c r="G2231">
        <v>744701</v>
      </c>
      <c r="H2231" s="116"/>
      <c r="I2231" s="116"/>
      <c r="L2231" s="170">
        <v>45289</v>
      </c>
      <c r="M2231" s="116">
        <v>91.65</v>
      </c>
      <c r="N2231" s="116">
        <v>92.9</v>
      </c>
      <c r="O2231" s="116">
        <v>90.35</v>
      </c>
      <c r="P2231" s="116">
        <v>91.15</v>
      </c>
      <c r="Q2231" s="116">
        <v>91.65</v>
      </c>
      <c r="R2231">
        <v>3588574</v>
      </c>
    </row>
    <row r="2232" spans="1:18" x14ac:dyDescent="0.25">
      <c r="A2232" s="170">
        <v>45292</v>
      </c>
      <c r="B2232" s="116">
        <v>92.71</v>
      </c>
      <c r="C2232" s="116">
        <v>91.36</v>
      </c>
      <c r="D2232" s="116">
        <v>91</v>
      </c>
      <c r="E2232" s="116">
        <v>91.99</v>
      </c>
      <c r="F2232" s="116">
        <v>91.36</v>
      </c>
      <c r="G2232">
        <v>671589</v>
      </c>
      <c r="H2232" s="116"/>
      <c r="I2232" s="116"/>
      <c r="L2232" s="170">
        <v>45292</v>
      </c>
      <c r="M2232" s="116">
        <v>91.4</v>
      </c>
      <c r="N2232" s="116">
        <v>92.75</v>
      </c>
      <c r="O2232" s="116">
        <v>91.1</v>
      </c>
      <c r="P2232" s="116">
        <v>91.7</v>
      </c>
      <c r="Q2232" s="116">
        <v>91.4</v>
      </c>
      <c r="R2232">
        <v>2624139</v>
      </c>
    </row>
    <row r="2233" spans="1:18" x14ac:dyDescent="0.25">
      <c r="A2233" s="170">
        <v>45293</v>
      </c>
      <c r="B2233" s="116">
        <v>92.4</v>
      </c>
      <c r="C2233" s="116">
        <v>91.37</v>
      </c>
      <c r="D2233" s="116">
        <v>90.46</v>
      </c>
      <c r="E2233" s="116">
        <v>91.64</v>
      </c>
      <c r="F2233" s="116">
        <v>91.37</v>
      </c>
      <c r="G2233">
        <v>335273</v>
      </c>
      <c r="H2233" s="116"/>
      <c r="I2233" s="116"/>
      <c r="L2233" s="170">
        <v>45293</v>
      </c>
      <c r="M2233" s="116">
        <v>91.25</v>
      </c>
      <c r="N2233" s="116">
        <v>92.4</v>
      </c>
      <c r="O2233" s="116">
        <v>90.45</v>
      </c>
      <c r="P2233" s="116">
        <v>91.7</v>
      </c>
      <c r="Q2233" s="116">
        <v>91.25</v>
      </c>
      <c r="R2233">
        <v>3298817</v>
      </c>
    </row>
    <row r="2234" spans="1:18" x14ac:dyDescent="0.25">
      <c r="A2234" s="170">
        <v>45294</v>
      </c>
      <c r="B2234" s="116">
        <v>92.25</v>
      </c>
      <c r="C2234" s="116">
        <v>90.72</v>
      </c>
      <c r="D2234" s="116">
        <v>90.38</v>
      </c>
      <c r="E2234" s="116">
        <v>91.06</v>
      </c>
      <c r="F2234" s="116">
        <v>90.72</v>
      </c>
      <c r="G2234">
        <v>704420</v>
      </c>
      <c r="H2234" s="116"/>
      <c r="I2234" s="116"/>
      <c r="L2234" s="170">
        <v>45294</v>
      </c>
      <c r="M2234" s="116">
        <v>90.7</v>
      </c>
      <c r="N2234" s="116">
        <v>92.3</v>
      </c>
      <c r="O2234" s="116">
        <v>90.45</v>
      </c>
      <c r="P2234" s="116">
        <v>91.2</v>
      </c>
      <c r="Q2234" s="116">
        <v>90.7</v>
      </c>
      <c r="R2234">
        <v>2415922</v>
      </c>
    </row>
    <row r="2235" spans="1:18" x14ac:dyDescent="0.25">
      <c r="A2235" s="170">
        <v>45295</v>
      </c>
      <c r="B2235" s="116">
        <v>94</v>
      </c>
      <c r="C2235" s="116">
        <v>91.76</v>
      </c>
      <c r="D2235" s="116">
        <v>91.01</v>
      </c>
      <c r="E2235" s="116">
        <v>91.01</v>
      </c>
      <c r="F2235" s="116">
        <v>91.76</v>
      </c>
      <c r="G2235">
        <v>1343040</v>
      </c>
      <c r="H2235" s="116"/>
      <c r="I2235" s="116"/>
      <c r="L2235" s="170">
        <v>45295</v>
      </c>
      <c r="M2235" s="116">
        <v>91.8</v>
      </c>
      <c r="N2235" s="116">
        <v>94.25</v>
      </c>
      <c r="O2235" s="116">
        <v>91.1</v>
      </c>
      <c r="P2235" s="116">
        <v>91.15</v>
      </c>
      <c r="Q2235" s="116">
        <v>91.8</v>
      </c>
      <c r="R2235">
        <v>7588091</v>
      </c>
    </row>
    <row r="2236" spans="1:18" x14ac:dyDescent="0.25">
      <c r="A2236" s="170">
        <v>45296</v>
      </c>
      <c r="B2236" s="116">
        <v>94</v>
      </c>
      <c r="C2236" s="116">
        <v>91.69</v>
      </c>
      <c r="D2236" s="116">
        <v>91.4</v>
      </c>
      <c r="E2236" s="116">
        <v>91.95</v>
      </c>
      <c r="F2236" s="116">
        <v>91.69</v>
      </c>
      <c r="G2236">
        <v>568001</v>
      </c>
      <c r="H2236" s="116"/>
      <c r="I2236" s="116"/>
      <c r="L2236" s="170">
        <v>45296</v>
      </c>
      <c r="M2236" s="116">
        <v>91.6</v>
      </c>
      <c r="N2236" s="116">
        <v>94</v>
      </c>
      <c r="O2236" s="116">
        <v>91.35</v>
      </c>
      <c r="P2236" s="116">
        <v>92.1</v>
      </c>
      <c r="Q2236" s="116">
        <v>91.6</v>
      </c>
      <c r="R2236">
        <v>6131970</v>
      </c>
    </row>
    <row r="2237" spans="1:18" x14ac:dyDescent="0.25">
      <c r="A2237" s="170">
        <v>45299</v>
      </c>
      <c r="B2237" s="116">
        <v>98.81</v>
      </c>
      <c r="C2237" s="116">
        <v>94.85</v>
      </c>
      <c r="D2237" s="116">
        <v>90.94</v>
      </c>
      <c r="E2237" s="116">
        <v>92</v>
      </c>
      <c r="F2237" s="116">
        <v>94.85</v>
      </c>
      <c r="G2237">
        <v>5137056</v>
      </c>
      <c r="H2237" s="116"/>
      <c r="I2237" s="116"/>
      <c r="L2237" s="170">
        <v>45299</v>
      </c>
      <c r="M2237" s="116">
        <v>94.8</v>
      </c>
      <c r="N2237" s="116">
        <v>98.85</v>
      </c>
      <c r="O2237" s="116">
        <v>90.9</v>
      </c>
      <c r="P2237" s="116">
        <v>92</v>
      </c>
      <c r="Q2237" s="116">
        <v>94.8</v>
      </c>
      <c r="R2237">
        <v>34812235</v>
      </c>
    </row>
    <row r="2238" spans="1:18" x14ac:dyDescent="0.25">
      <c r="A2238" s="170">
        <v>45300</v>
      </c>
      <c r="B2238" s="116">
        <v>99</v>
      </c>
      <c r="C2238" s="116">
        <v>95.43</v>
      </c>
      <c r="D2238" s="116">
        <v>92.75</v>
      </c>
      <c r="E2238" s="116">
        <v>95.95</v>
      </c>
      <c r="F2238" s="116">
        <v>95.43</v>
      </c>
      <c r="G2238">
        <v>2700872</v>
      </c>
      <c r="H2238" s="116"/>
      <c r="I2238" s="116"/>
      <c r="L2238" s="170">
        <v>45300</v>
      </c>
      <c r="M2238" s="116">
        <v>95.4</v>
      </c>
      <c r="N2238" s="116">
        <v>99.25</v>
      </c>
      <c r="O2238" s="116">
        <v>92.55</v>
      </c>
      <c r="P2238" s="116">
        <v>95.85</v>
      </c>
      <c r="Q2238" s="116">
        <v>95.4</v>
      </c>
      <c r="R2238">
        <v>19878964</v>
      </c>
    </row>
    <row r="2239" spans="1:18" x14ac:dyDescent="0.25">
      <c r="A2239" s="170">
        <v>45301</v>
      </c>
      <c r="B2239" s="116">
        <v>95.2</v>
      </c>
      <c r="C2239" s="116">
        <v>93.68</v>
      </c>
      <c r="D2239" s="116">
        <v>92.75</v>
      </c>
      <c r="E2239" s="116">
        <v>94.9</v>
      </c>
      <c r="F2239" s="116">
        <v>93.68</v>
      </c>
      <c r="G2239">
        <v>1011393</v>
      </c>
      <c r="H2239" s="116"/>
      <c r="I2239" s="116"/>
      <c r="L2239" s="170">
        <v>45301</v>
      </c>
      <c r="M2239" s="116">
        <v>93.65</v>
      </c>
      <c r="N2239" s="116">
        <v>95.3</v>
      </c>
      <c r="O2239" s="116">
        <v>92.7</v>
      </c>
      <c r="P2239" s="116">
        <v>95.05</v>
      </c>
      <c r="Q2239" s="116">
        <v>93.65</v>
      </c>
      <c r="R2239">
        <v>7170635</v>
      </c>
    </row>
    <row r="2240" spans="1:18" x14ac:dyDescent="0.25">
      <c r="A2240" s="170">
        <v>45302</v>
      </c>
      <c r="B2240" s="116">
        <v>95.35</v>
      </c>
      <c r="C2240" s="116">
        <v>92.94</v>
      </c>
      <c r="D2240" s="116">
        <v>92.3</v>
      </c>
      <c r="E2240" s="116">
        <v>94.25</v>
      </c>
      <c r="F2240" s="116">
        <v>92.94</v>
      </c>
      <c r="G2240">
        <v>704667</v>
      </c>
      <c r="H2240" s="116"/>
      <c r="I2240" s="116"/>
      <c r="L2240" s="170">
        <v>45302</v>
      </c>
      <c r="M2240" s="116">
        <v>93</v>
      </c>
      <c r="N2240" s="116">
        <v>95.4</v>
      </c>
      <c r="O2240" s="116">
        <v>92.7</v>
      </c>
      <c r="P2240" s="116">
        <v>94.1</v>
      </c>
      <c r="Q2240" s="116">
        <v>93</v>
      </c>
      <c r="R2240">
        <v>5525819</v>
      </c>
    </row>
    <row r="2241" spans="1:18" x14ac:dyDescent="0.25">
      <c r="A2241" s="170">
        <v>45303</v>
      </c>
      <c r="B2241" s="116">
        <v>95.63</v>
      </c>
      <c r="C2241" s="116">
        <v>93.76</v>
      </c>
      <c r="D2241" s="116">
        <v>93.37</v>
      </c>
      <c r="E2241" s="116">
        <v>93.85</v>
      </c>
      <c r="F2241" s="116">
        <v>93.76</v>
      </c>
      <c r="G2241">
        <v>552922</v>
      </c>
      <c r="H2241" s="116"/>
      <c r="I2241" s="116"/>
      <c r="L2241" s="170">
        <v>45303</v>
      </c>
      <c r="M2241" s="116">
        <v>93.7</v>
      </c>
      <c r="N2241" s="116">
        <v>95.6</v>
      </c>
      <c r="O2241" s="116">
        <v>93.35</v>
      </c>
      <c r="P2241" s="116">
        <v>93.7</v>
      </c>
      <c r="Q2241" s="116">
        <v>93.7</v>
      </c>
      <c r="R2241">
        <v>6748121</v>
      </c>
    </row>
    <row r="2242" spans="1:18" x14ac:dyDescent="0.25">
      <c r="A2242" s="170">
        <v>45306</v>
      </c>
      <c r="B2242" s="116">
        <v>94.67</v>
      </c>
      <c r="C2242" s="116">
        <v>92.91</v>
      </c>
      <c r="D2242" s="116">
        <v>92.6</v>
      </c>
      <c r="E2242" s="116">
        <v>94.06</v>
      </c>
      <c r="F2242" s="116">
        <v>92.91</v>
      </c>
      <c r="G2242">
        <v>813261</v>
      </c>
      <c r="H2242" s="116"/>
      <c r="I2242" s="116"/>
      <c r="L2242" s="170">
        <v>45306</v>
      </c>
      <c r="M2242" s="116">
        <v>92.9</v>
      </c>
      <c r="N2242" s="116">
        <v>94.8</v>
      </c>
      <c r="O2242" s="116">
        <v>92.55</v>
      </c>
      <c r="P2242" s="116">
        <v>94.2</v>
      </c>
      <c r="Q2242" s="116">
        <v>92.9</v>
      </c>
      <c r="R2242">
        <v>4779470</v>
      </c>
    </row>
    <row r="2243" spans="1:18" x14ac:dyDescent="0.25">
      <c r="A2243" s="170">
        <v>45307</v>
      </c>
      <c r="B2243" s="116">
        <v>93.57</v>
      </c>
      <c r="C2243" s="116">
        <v>90.69</v>
      </c>
      <c r="D2243" s="116">
        <v>89.45</v>
      </c>
      <c r="E2243" s="116">
        <v>93</v>
      </c>
      <c r="F2243" s="116">
        <v>90.69</v>
      </c>
      <c r="G2243">
        <v>1384836</v>
      </c>
      <c r="H2243" s="116"/>
      <c r="I2243" s="116"/>
      <c r="L2243" s="170">
        <v>45307</v>
      </c>
      <c r="M2243" s="116">
        <v>90.65</v>
      </c>
      <c r="N2243" s="116">
        <v>93.6</v>
      </c>
      <c r="O2243" s="116">
        <v>89.3</v>
      </c>
      <c r="P2243" s="116">
        <v>92.95</v>
      </c>
      <c r="Q2243" s="116">
        <v>90.65</v>
      </c>
      <c r="R2243">
        <v>6201153</v>
      </c>
    </row>
    <row r="2244" spans="1:18" x14ac:dyDescent="0.25">
      <c r="A2244" s="170">
        <v>45308</v>
      </c>
      <c r="B2244" s="116">
        <v>90.16</v>
      </c>
      <c r="C2244" s="116">
        <v>88.6</v>
      </c>
      <c r="D2244" s="116">
        <v>88.31</v>
      </c>
      <c r="E2244" s="116">
        <v>89.71</v>
      </c>
      <c r="F2244" s="116">
        <v>88.6</v>
      </c>
      <c r="G2244">
        <v>916321</v>
      </c>
      <c r="H2244" s="116"/>
      <c r="I2244" s="116"/>
      <c r="L2244" s="170">
        <v>45308</v>
      </c>
      <c r="M2244" s="116">
        <v>88.6</v>
      </c>
      <c r="N2244" s="116">
        <v>90.25</v>
      </c>
      <c r="O2244" s="116">
        <v>88.3</v>
      </c>
      <c r="P2244" s="116">
        <v>89.75</v>
      </c>
      <c r="Q2244" s="116">
        <v>88.6</v>
      </c>
      <c r="R2244">
        <v>5692232</v>
      </c>
    </row>
    <row r="2245" spans="1:18" x14ac:dyDescent="0.25">
      <c r="A2245" s="170">
        <v>45309</v>
      </c>
      <c r="B2245" s="116">
        <v>90.2</v>
      </c>
      <c r="C2245" s="116">
        <v>89.27</v>
      </c>
      <c r="D2245" s="116">
        <v>85.71</v>
      </c>
      <c r="E2245" s="116">
        <v>88.6</v>
      </c>
      <c r="F2245" s="116">
        <v>89.27</v>
      </c>
      <c r="G2245">
        <v>924258</v>
      </c>
      <c r="H2245" s="116"/>
      <c r="I2245" s="116"/>
      <c r="L2245" s="170">
        <v>45309</v>
      </c>
      <c r="M2245" s="116">
        <v>89.35</v>
      </c>
      <c r="N2245" s="116">
        <v>90.25</v>
      </c>
      <c r="O2245" s="116">
        <v>85.85</v>
      </c>
      <c r="P2245" s="116">
        <v>88.6</v>
      </c>
      <c r="Q2245" s="116">
        <v>89.35</v>
      </c>
      <c r="R2245">
        <v>5332156</v>
      </c>
    </row>
    <row r="2246" spans="1:18" x14ac:dyDescent="0.25">
      <c r="A2246" s="170">
        <v>45310</v>
      </c>
      <c r="B2246" s="116">
        <v>91.4</v>
      </c>
      <c r="C2246" s="116">
        <v>89.44</v>
      </c>
      <c r="D2246" s="116">
        <v>89.1</v>
      </c>
      <c r="E2246" s="116">
        <v>90.29</v>
      </c>
      <c r="F2246" s="116">
        <v>89.44</v>
      </c>
      <c r="G2246">
        <v>419808</v>
      </c>
      <c r="H2246" s="116"/>
      <c r="I2246" s="116"/>
      <c r="L2246" s="170">
        <v>45310</v>
      </c>
      <c r="M2246" s="116">
        <v>89.35</v>
      </c>
      <c r="N2246" s="116">
        <v>91.45</v>
      </c>
      <c r="O2246" s="116">
        <v>89.05</v>
      </c>
      <c r="P2246" s="116">
        <v>90.35</v>
      </c>
      <c r="Q2246" s="116">
        <v>89.35</v>
      </c>
      <c r="R2246">
        <v>3567816</v>
      </c>
    </row>
    <row r="2247" spans="1:18" x14ac:dyDescent="0.25">
      <c r="A2247" s="170">
        <v>45311</v>
      </c>
      <c r="B2247" s="116">
        <v>92.5</v>
      </c>
      <c r="C2247" s="116">
        <v>89.36</v>
      </c>
      <c r="D2247" s="116">
        <v>89.07</v>
      </c>
      <c r="E2247" s="116">
        <v>89.07</v>
      </c>
      <c r="F2247" s="116">
        <v>89.36</v>
      </c>
      <c r="G2247">
        <v>1228689</v>
      </c>
      <c r="H2247" s="116"/>
      <c r="I2247" s="116"/>
      <c r="L2247" s="170">
        <v>45311</v>
      </c>
      <c r="M2247" s="116">
        <v>89.4</v>
      </c>
      <c r="N2247" s="116">
        <v>92.25</v>
      </c>
      <c r="O2247" s="116">
        <v>89.15</v>
      </c>
      <c r="P2247" s="116">
        <v>89.75</v>
      </c>
      <c r="Q2247" s="116">
        <v>89.4</v>
      </c>
      <c r="R2247">
        <v>4864331</v>
      </c>
    </row>
    <row r="2248" spans="1:18" x14ac:dyDescent="0.25">
      <c r="A2248" s="170">
        <v>45314</v>
      </c>
      <c r="B2248" s="116">
        <v>93.1</v>
      </c>
      <c r="C2248" s="116">
        <v>87.23</v>
      </c>
      <c r="D2248" s="116">
        <v>86.15</v>
      </c>
      <c r="E2248" s="116">
        <v>89.49</v>
      </c>
      <c r="F2248" s="116">
        <v>87.23</v>
      </c>
      <c r="G2248">
        <v>950391</v>
      </c>
      <c r="H2248" s="116"/>
      <c r="I2248" s="116"/>
      <c r="L2248" s="170">
        <v>45314</v>
      </c>
      <c r="M2248" s="116">
        <v>87.25</v>
      </c>
      <c r="N2248" s="116">
        <v>93.1</v>
      </c>
      <c r="O2248" s="116">
        <v>86.05</v>
      </c>
      <c r="P2248" s="116">
        <v>89.65</v>
      </c>
      <c r="Q2248" s="116">
        <v>87.25</v>
      </c>
      <c r="R2248">
        <v>8996562</v>
      </c>
    </row>
    <row r="2249" spans="1:18" x14ac:dyDescent="0.25">
      <c r="A2249" s="170">
        <v>45315</v>
      </c>
      <c r="B2249" s="116">
        <v>91.52</v>
      </c>
      <c r="C2249" s="116">
        <v>89.94</v>
      </c>
      <c r="D2249" s="116">
        <v>86.35</v>
      </c>
      <c r="E2249" s="116">
        <v>87.3</v>
      </c>
      <c r="F2249" s="116">
        <v>89.94</v>
      </c>
      <c r="G2249">
        <v>641390</v>
      </c>
      <c r="H2249" s="116"/>
      <c r="I2249" s="116"/>
      <c r="L2249" s="170">
        <v>45315</v>
      </c>
      <c r="M2249" s="116">
        <v>89.9</v>
      </c>
      <c r="N2249" s="116">
        <v>91.6</v>
      </c>
      <c r="O2249" s="116">
        <v>86.3</v>
      </c>
      <c r="P2249" s="116">
        <v>87.15</v>
      </c>
      <c r="Q2249" s="116">
        <v>89.9</v>
      </c>
      <c r="R2249">
        <v>6695299</v>
      </c>
    </row>
    <row r="2250" spans="1:18" x14ac:dyDescent="0.25">
      <c r="A2250" s="170">
        <v>45316</v>
      </c>
      <c r="B2250" s="116">
        <v>93.25</v>
      </c>
      <c r="C2250" s="116">
        <v>90.9</v>
      </c>
      <c r="D2250" s="116">
        <v>89.72</v>
      </c>
      <c r="E2250" s="116">
        <v>89.94</v>
      </c>
      <c r="F2250" s="116">
        <v>90.9</v>
      </c>
      <c r="G2250">
        <v>1517488</v>
      </c>
      <c r="H2250" s="116"/>
      <c r="I2250" s="116"/>
      <c r="L2250" s="170">
        <v>45316</v>
      </c>
      <c r="M2250" s="116">
        <v>91</v>
      </c>
      <c r="N2250" s="116">
        <v>93.3</v>
      </c>
      <c r="O2250" s="116">
        <v>89.65</v>
      </c>
      <c r="P2250" s="116">
        <v>89.85</v>
      </c>
      <c r="Q2250" s="116">
        <v>91</v>
      </c>
      <c r="R2250">
        <v>11939538</v>
      </c>
    </row>
    <row r="2251" spans="1:18" x14ac:dyDescent="0.25">
      <c r="A2251" s="170">
        <v>45320</v>
      </c>
      <c r="B2251" s="116">
        <v>92.84</v>
      </c>
      <c r="C2251" s="116">
        <v>90.23</v>
      </c>
      <c r="D2251" s="116">
        <v>89.52</v>
      </c>
      <c r="E2251" s="116">
        <v>91.16</v>
      </c>
      <c r="F2251" s="116">
        <v>90.23</v>
      </c>
      <c r="G2251">
        <v>579010</v>
      </c>
      <c r="H2251" s="116"/>
      <c r="I2251" s="116"/>
      <c r="L2251" s="170">
        <v>45320</v>
      </c>
      <c r="M2251" s="116">
        <v>90.2</v>
      </c>
      <c r="N2251" s="116">
        <v>92.8</v>
      </c>
      <c r="O2251" s="116">
        <v>89.1</v>
      </c>
      <c r="P2251" s="116">
        <v>91.05</v>
      </c>
      <c r="Q2251" s="116">
        <v>90.2</v>
      </c>
      <c r="R2251">
        <v>5841783</v>
      </c>
    </row>
    <row r="2252" spans="1:18" x14ac:dyDescent="0.25">
      <c r="A2252" s="170">
        <v>45321</v>
      </c>
      <c r="B2252" s="116">
        <v>91.03</v>
      </c>
      <c r="C2252" s="116">
        <v>88.53</v>
      </c>
      <c r="D2252" s="116">
        <v>88.2</v>
      </c>
      <c r="E2252" s="116">
        <v>90.53</v>
      </c>
      <c r="F2252" s="116">
        <v>88.53</v>
      </c>
      <c r="G2252">
        <v>756534</v>
      </c>
      <c r="H2252" s="116"/>
      <c r="I2252" s="116"/>
      <c r="L2252" s="170">
        <v>45321</v>
      </c>
      <c r="M2252" s="116">
        <v>88.55</v>
      </c>
      <c r="N2252" s="116">
        <v>91.05</v>
      </c>
      <c r="O2252" s="116">
        <v>88.2</v>
      </c>
      <c r="P2252" s="116">
        <v>90.65</v>
      </c>
      <c r="Q2252" s="116">
        <v>88.55</v>
      </c>
      <c r="R2252">
        <v>5088339</v>
      </c>
    </row>
    <row r="2253" spans="1:18" x14ac:dyDescent="0.25">
      <c r="A2253" s="170">
        <v>45322</v>
      </c>
      <c r="B2253" s="116">
        <v>94.5</v>
      </c>
      <c r="C2253" s="116">
        <v>92.68</v>
      </c>
      <c r="D2253" s="116">
        <v>88.35</v>
      </c>
      <c r="E2253" s="116">
        <v>88.97</v>
      </c>
      <c r="F2253" s="116">
        <v>92.68</v>
      </c>
      <c r="G2253">
        <v>1194324</v>
      </c>
      <c r="H2253" s="116"/>
      <c r="I2253" s="116"/>
      <c r="L2253" s="170">
        <v>45322</v>
      </c>
      <c r="M2253" s="116">
        <v>92.7</v>
      </c>
      <c r="N2253" s="116">
        <v>94.45</v>
      </c>
      <c r="O2253" s="116">
        <v>88.3</v>
      </c>
      <c r="P2253" s="116">
        <v>88.75</v>
      </c>
      <c r="Q2253" s="116">
        <v>92.7</v>
      </c>
      <c r="R2253">
        <v>15568290</v>
      </c>
    </row>
    <row r="2254" spans="1:18" x14ac:dyDescent="0.25">
      <c r="A2254" s="170">
        <v>45323</v>
      </c>
      <c r="B2254" s="116">
        <v>93.85</v>
      </c>
      <c r="C2254" s="116">
        <v>90.85</v>
      </c>
      <c r="D2254" s="116">
        <v>90.55</v>
      </c>
      <c r="E2254" s="116">
        <v>93.26</v>
      </c>
      <c r="F2254" s="116">
        <v>90.85</v>
      </c>
      <c r="G2254">
        <v>391118</v>
      </c>
      <c r="H2254" s="116"/>
      <c r="I2254" s="116"/>
      <c r="L2254" s="170">
        <v>45323</v>
      </c>
      <c r="M2254" s="116">
        <v>90.8</v>
      </c>
      <c r="N2254" s="116">
        <v>93.6</v>
      </c>
      <c r="O2254" s="116">
        <v>90.5</v>
      </c>
      <c r="P2254" s="116">
        <v>93.15</v>
      </c>
      <c r="Q2254" s="116">
        <v>90.8</v>
      </c>
      <c r="R2254">
        <v>4630329</v>
      </c>
    </row>
    <row r="2255" spans="1:18" x14ac:dyDescent="0.25">
      <c r="A2255" s="170">
        <v>45324</v>
      </c>
      <c r="B2255" s="116">
        <v>95.65</v>
      </c>
      <c r="C2255" s="116">
        <v>92.4</v>
      </c>
      <c r="D2255" s="116">
        <v>91.07</v>
      </c>
      <c r="E2255" s="116">
        <v>91.07</v>
      </c>
      <c r="F2255" s="116">
        <v>92.4</v>
      </c>
      <c r="G2255">
        <v>2411562</v>
      </c>
      <c r="H2255" s="116"/>
      <c r="I2255" s="116"/>
      <c r="L2255" s="170">
        <v>45324</v>
      </c>
      <c r="M2255" s="116">
        <v>92.35</v>
      </c>
      <c r="N2255" s="116">
        <v>95.8</v>
      </c>
      <c r="O2255" s="116">
        <v>91.1</v>
      </c>
      <c r="P2255" s="116">
        <v>91.45</v>
      </c>
      <c r="Q2255" s="116">
        <v>92.35</v>
      </c>
      <c r="R2255">
        <v>16696893</v>
      </c>
    </row>
    <row r="2256" spans="1:18" x14ac:dyDescent="0.25">
      <c r="A2256" s="170">
        <v>45327</v>
      </c>
      <c r="B2256" s="116">
        <v>96.95</v>
      </c>
      <c r="C2256" s="116">
        <v>92.79</v>
      </c>
      <c r="D2256" s="116">
        <v>91.46</v>
      </c>
      <c r="E2256" s="116">
        <v>92.63</v>
      </c>
      <c r="F2256" s="116">
        <v>92.79</v>
      </c>
      <c r="G2256">
        <v>2581071</v>
      </c>
      <c r="H2256" s="116"/>
      <c r="I2256" s="116"/>
      <c r="L2256" s="170">
        <v>45327</v>
      </c>
      <c r="M2256" s="116">
        <v>92.75</v>
      </c>
      <c r="N2256" s="116">
        <v>97</v>
      </c>
      <c r="O2256" s="116">
        <v>91.4</v>
      </c>
      <c r="P2256" s="116">
        <v>93</v>
      </c>
      <c r="Q2256" s="116">
        <v>92.75</v>
      </c>
      <c r="R2256">
        <v>18933299</v>
      </c>
    </row>
    <row r="2257" spans="1:18" x14ac:dyDescent="0.25">
      <c r="A2257" s="170">
        <v>45328</v>
      </c>
      <c r="B2257" s="116">
        <v>94.44</v>
      </c>
      <c r="C2257" s="116">
        <v>92.02</v>
      </c>
      <c r="D2257" s="116">
        <v>91.5</v>
      </c>
      <c r="E2257" s="116">
        <v>93.01</v>
      </c>
      <c r="F2257" s="116">
        <v>92.02</v>
      </c>
      <c r="G2257">
        <v>1148401</v>
      </c>
      <c r="H2257" s="116"/>
      <c r="I2257" s="116"/>
      <c r="L2257" s="170">
        <v>45328</v>
      </c>
      <c r="M2257" s="116">
        <v>92.1</v>
      </c>
      <c r="N2257" s="116">
        <v>94.5</v>
      </c>
      <c r="O2257" s="116">
        <v>91.2</v>
      </c>
      <c r="P2257" s="116">
        <v>93.2</v>
      </c>
      <c r="Q2257" s="116">
        <v>92.1</v>
      </c>
      <c r="R2257">
        <v>7613636</v>
      </c>
    </row>
    <row r="2258" spans="1:18" x14ac:dyDescent="0.25">
      <c r="A2258" s="170">
        <v>45329</v>
      </c>
      <c r="B2258" s="116">
        <v>98.65</v>
      </c>
      <c r="C2258" s="116">
        <v>96.06</v>
      </c>
      <c r="D2258" s="116">
        <v>92.19</v>
      </c>
      <c r="E2258" s="116">
        <v>92.19</v>
      </c>
      <c r="F2258" s="116">
        <v>96.06</v>
      </c>
      <c r="G2258">
        <v>2348221</v>
      </c>
      <c r="H2258" s="116"/>
      <c r="I2258" s="116"/>
      <c r="L2258" s="170">
        <v>45329</v>
      </c>
      <c r="M2258" s="116">
        <v>96.1</v>
      </c>
      <c r="N2258" s="116">
        <v>98.75</v>
      </c>
      <c r="O2258" s="116">
        <v>92.2</v>
      </c>
      <c r="P2258" s="116">
        <v>92.35</v>
      </c>
      <c r="Q2258" s="116">
        <v>96.1</v>
      </c>
      <c r="R2258">
        <v>27860777</v>
      </c>
    </row>
    <row r="2259" spans="1:18" x14ac:dyDescent="0.25">
      <c r="A2259" s="170">
        <v>45330</v>
      </c>
      <c r="B2259" s="116">
        <v>105.34</v>
      </c>
      <c r="C2259" s="116">
        <v>103.92</v>
      </c>
      <c r="D2259" s="116">
        <v>95.81</v>
      </c>
      <c r="E2259" s="116">
        <v>96.99</v>
      </c>
      <c r="F2259" s="116">
        <v>103.92</v>
      </c>
      <c r="G2259">
        <v>4322634</v>
      </c>
      <c r="H2259" s="116"/>
      <c r="I2259" s="116"/>
      <c r="L2259" s="170">
        <v>45330</v>
      </c>
      <c r="M2259" s="116">
        <v>103.75</v>
      </c>
      <c r="N2259" s="116">
        <v>105.2</v>
      </c>
      <c r="O2259" s="116">
        <v>95.75</v>
      </c>
      <c r="P2259" s="116">
        <v>96.75</v>
      </c>
      <c r="Q2259" s="116">
        <v>103.75</v>
      </c>
      <c r="R2259">
        <v>63703367</v>
      </c>
    </row>
    <row r="2260" spans="1:18" x14ac:dyDescent="0.25">
      <c r="A2260" s="170">
        <v>45331</v>
      </c>
      <c r="B2260" s="116">
        <v>106.56</v>
      </c>
      <c r="C2260" s="116">
        <v>98.19</v>
      </c>
      <c r="D2260" s="116">
        <v>93.7</v>
      </c>
      <c r="E2260" s="116">
        <v>105.38</v>
      </c>
      <c r="F2260" s="116">
        <v>98.19</v>
      </c>
      <c r="G2260">
        <v>4076402</v>
      </c>
      <c r="H2260" s="116"/>
      <c r="I2260" s="116"/>
      <c r="L2260" s="170">
        <v>45331</v>
      </c>
      <c r="M2260" s="116">
        <v>98.25</v>
      </c>
      <c r="N2260" s="116">
        <v>106.6</v>
      </c>
      <c r="O2260" s="116">
        <v>93.7</v>
      </c>
      <c r="P2260" s="116">
        <v>105.2</v>
      </c>
      <c r="Q2260" s="116">
        <v>98.25</v>
      </c>
      <c r="R2260">
        <v>34628454</v>
      </c>
    </row>
    <row r="2261" spans="1:18" x14ac:dyDescent="0.25">
      <c r="A2261" s="170">
        <v>45334</v>
      </c>
      <c r="B2261" s="116">
        <v>99.63</v>
      </c>
      <c r="C2261" s="116">
        <v>89.47</v>
      </c>
      <c r="D2261" s="116">
        <v>88.15</v>
      </c>
      <c r="E2261" s="116">
        <v>99.63</v>
      </c>
      <c r="F2261" s="116">
        <v>89.47</v>
      </c>
      <c r="G2261">
        <v>1071953</v>
      </c>
      <c r="H2261" s="116"/>
      <c r="I2261" s="116"/>
      <c r="L2261" s="170">
        <v>45334</v>
      </c>
      <c r="M2261" s="116">
        <v>89.3</v>
      </c>
      <c r="N2261" s="116">
        <v>99.45</v>
      </c>
      <c r="O2261" s="116">
        <v>88.1</v>
      </c>
      <c r="P2261" s="116">
        <v>99.35</v>
      </c>
      <c r="Q2261" s="116">
        <v>89.3</v>
      </c>
      <c r="R2261">
        <v>16690661</v>
      </c>
    </row>
    <row r="2262" spans="1:18" x14ac:dyDescent="0.25">
      <c r="A2262" s="170">
        <v>45335</v>
      </c>
      <c r="B2262" s="116">
        <v>91.6</v>
      </c>
      <c r="C2262" s="116">
        <v>91.07</v>
      </c>
      <c r="D2262" s="116">
        <v>87.07</v>
      </c>
      <c r="E2262" s="116">
        <v>88.72</v>
      </c>
      <c r="F2262" s="116">
        <v>91.07</v>
      </c>
      <c r="G2262">
        <v>1306421</v>
      </c>
      <c r="H2262" s="116"/>
      <c r="I2262" s="116"/>
      <c r="L2262" s="170">
        <v>45335</v>
      </c>
      <c r="M2262" s="116">
        <v>91.05</v>
      </c>
      <c r="N2262" s="116">
        <v>91.65</v>
      </c>
      <c r="O2262" s="116">
        <v>87</v>
      </c>
      <c r="P2262" s="116">
        <v>89.25</v>
      </c>
      <c r="Q2262" s="116">
        <v>91.05</v>
      </c>
      <c r="R2262">
        <v>8729003</v>
      </c>
    </row>
    <row r="2263" spans="1:18" x14ac:dyDescent="0.25">
      <c r="A2263" s="170">
        <v>45336</v>
      </c>
      <c r="B2263" s="116">
        <v>93.33</v>
      </c>
      <c r="C2263" s="116">
        <v>92.35</v>
      </c>
      <c r="D2263" s="116">
        <v>88.89</v>
      </c>
      <c r="E2263" s="116">
        <v>89.01</v>
      </c>
      <c r="F2263" s="116">
        <v>92.35</v>
      </c>
      <c r="G2263">
        <v>804226</v>
      </c>
      <c r="H2263" s="116"/>
      <c r="I2263" s="116"/>
      <c r="L2263" s="170">
        <v>45336</v>
      </c>
      <c r="M2263" s="116">
        <v>92.4</v>
      </c>
      <c r="N2263" s="116">
        <v>93.4</v>
      </c>
      <c r="O2263" s="116">
        <v>88.6</v>
      </c>
      <c r="P2263" s="116">
        <v>89.15</v>
      </c>
      <c r="Q2263" s="116">
        <v>92.4</v>
      </c>
      <c r="R2263">
        <v>6008673</v>
      </c>
    </row>
    <row r="2264" spans="1:18" x14ac:dyDescent="0.25">
      <c r="A2264" s="170">
        <v>45337</v>
      </c>
      <c r="B2264" s="116">
        <v>94.33</v>
      </c>
      <c r="C2264" s="116">
        <v>92.48</v>
      </c>
      <c r="D2264" s="116">
        <v>91.7</v>
      </c>
      <c r="E2264" s="116">
        <v>93.3</v>
      </c>
      <c r="F2264" s="116">
        <v>92.48</v>
      </c>
      <c r="G2264">
        <v>336473</v>
      </c>
      <c r="H2264" s="116"/>
      <c r="I2264" s="116"/>
      <c r="L2264" s="170">
        <v>45337</v>
      </c>
      <c r="M2264" s="116">
        <v>92.5</v>
      </c>
      <c r="N2264" s="116">
        <v>94.4</v>
      </c>
      <c r="O2264" s="116">
        <v>91.7</v>
      </c>
      <c r="P2264" s="116">
        <v>93</v>
      </c>
      <c r="Q2264" s="116">
        <v>92.5</v>
      </c>
      <c r="R2264">
        <v>4857041</v>
      </c>
    </row>
    <row r="2265" spans="1:18" x14ac:dyDescent="0.25">
      <c r="A2265" s="170">
        <v>45338</v>
      </c>
      <c r="B2265" s="116">
        <v>93.35</v>
      </c>
      <c r="C2265" s="116">
        <v>90.81</v>
      </c>
      <c r="D2265" s="116">
        <v>90.36</v>
      </c>
      <c r="E2265" s="116">
        <v>92.78</v>
      </c>
      <c r="F2265" s="116">
        <v>90.81</v>
      </c>
      <c r="G2265">
        <v>400722</v>
      </c>
      <c r="H2265" s="116"/>
      <c r="I2265" s="116"/>
      <c r="L2265" s="170">
        <v>45338</v>
      </c>
      <c r="M2265" s="116">
        <v>90.75</v>
      </c>
      <c r="N2265" s="116">
        <v>93.4</v>
      </c>
      <c r="O2265" s="116">
        <v>90.1</v>
      </c>
      <c r="P2265" s="116">
        <v>92.95</v>
      </c>
      <c r="Q2265" s="116">
        <v>90.75</v>
      </c>
      <c r="R2265">
        <v>4541893</v>
      </c>
    </row>
    <row r="2266" spans="1:18" x14ac:dyDescent="0.25">
      <c r="A2266" s="170">
        <v>45341</v>
      </c>
      <c r="B2266" s="116">
        <v>93.25</v>
      </c>
      <c r="C2266" s="116">
        <v>92.05</v>
      </c>
      <c r="D2266" s="116">
        <v>90.93</v>
      </c>
      <c r="E2266" s="116">
        <v>90.96</v>
      </c>
      <c r="F2266" s="116">
        <v>92.05</v>
      </c>
      <c r="G2266">
        <v>700947</v>
      </c>
      <c r="H2266" s="116"/>
      <c r="I2266" s="116"/>
      <c r="L2266" s="170">
        <v>45341</v>
      </c>
      <c r="M2266" s="116">
        <v>92</v>
      </c>
      <c r="N2266" s="116">
        <v>93.3</v>
      </c>
      <c r="O2266" s="116">
        <v>90.9</v>
      </c>
      <c r="P2266" s="116">
        <v>91.25</v>
      </c>
      <c r="Q2266" s="116">
        <v>92</v>
      </c>
      <c r="R2266">
        <v>4540053</v>
      </c>
    </row>
    <row r="2267" spans="1:18" x14ac:dyDescent="0.25">
      <c r="A2267" s="170">
        <v>45342</v>
      </c>
      <c r="B2267" s="116">
        <v>92.73</v>
      </c>
      <c r="C2267" s="116">
        <v>91.19</v>
      </c>
      <c r="D2267" s="116">
        <v>90.7</v>
      </c>
      <c r="E2267" s="116">
        <v>92.47</v>
      </c>
      <c r="F2267" s="116">
        <v>91.19</v>
      </c>
      <c r="G2267">
        <v>542863</v>
      </c>
      <c r="H2267" s="116"/>
      <c r="I2267" s="116"/>
      <c r="L2267" s="170">
        <v>45342</v>
      </c>
      <c r="M2267" s="116">
        <v>91.25</v>
      </c>
      <c r="N2267" s="116">
        <v>92.7</v>
      </c>
      <c r="O2267" s="116">
        <v>90.9</v>
      </c>
      <c r="P2267" s="116">
        <v>92.2</v>
      </c>
      <c r="Q2267" s="116">
        <v>91.25</v>
      </c>
      <c r="R2267">
        <v>3152619</v>
      </c>
    </row>
    <row r="2268" spans="1:18" x14ac:dyDescent="0.25">
      <c r="A2268" s="170">
        <v>45343</v>
      </c>
      <c r="B2268" s="116">
        <v>92.05</v>
      </c>
      <c r="C2268" s="116">
        <v>88.83</v>
      </c>
      <c r="D2268" s="116">
        <v>88.44</v>
      </c>
      <c r="E2268" s="116">
        <v>91.85</v>
      </c>
      <c r="F2268" s="116">
        <v>88.83</v>
      </c>
      <c r="G2268">
        <v>590793</v>
      </c>
      <c r="H2268" s="116"/>
      <c r="I2268" s="116"/>
      <c r="L2268" s="170">
        <v>45343</v>
      </c>
      <c r="M2268" s="116">
        <v>88.9</v>
      </c>
      <c r="N2268" s="116">
        <v>92</v>
      </c>
      <c r="O2268" s="116">
        <v>88.45</v>
      </c>
      <c r="P2268" s="116">
        <v>91.6</v>
      </c>
      <c r="Q2268" s="116">
        <v>88.9</v>
      </c>
      <c r="R2268">
        <v>6129924</v>
      </c>
    </row>
    <row r="2269" spans="1:18" x14ac:dyDescent="0.25">
      <c r="A2269" s="170">
        <v>45344</v>
      </c>
      <c r="B2269" s="116">
        <v>91.25</v>
      </c>
      <c r="C2269" s="116">
        <v>90.51</v>
      </c>
      <c r="D2269" s="116">
        <v>88.35</v>
      </c>
      <c r="E2269" s="116">
        <v>89.47</v>
      </c>
      <c r="F2269" s="116">
        <v>90.51</v>
      </c>
      <c r="G2269">
        <v>387458</v>
      </c>
      <c r="H2269" s="116"/>
      <c r="I2269" s="116"/>
      <c r="L2269" s="170">
        <v>45344</v>
      </c>
      <c r="M2269" s="116">
        <v>90.45</v>
      </c>
      <c r="N2269" s="116">
        <v>91.3</v>
      </c>
      <c r="O2269" s="116">
        <v>88.3</v>
      </c>
      <c r="P2269" s="116">
        <v>89.35</v>
      </c>
      <c r="Q2269" s="116">
        <v>90.45</v>
      </c>
      <c r="R2269">
        <v>5221407</v>
      </c>
    </row>
    <row r="2270" spans="1:18" x14ac:dyDescent="0.25">
      <c r="A2270" s="170">
        <v>45345</v>
      </c>
      <c r="B2270" s="116">
        <v>91.18</v>
      </c>
      <c r="C2270" s="116">
        <v>89.89</v>
      </c>
      <c r="D2270" s="116">
        <v>89.47</v>
      </c>
      <c r="E2270" s="116">
        <v>90.97</v>
      </c>
      <c r="F2270" s="116">
        <v>89.89</v>
      </c>
      <c r="G2270">
        <v>765443</v>
      </c>
      <c r="H2270" s="116"/>
      <c r="I2270" s="116"/>
      <c r="L2270" s="170">
        <v>45345</v>
      </c>
      <c r="M2270" s="116">
        <v>89.9</v>
      </c>
      <c r="N2270" s="116">
        <v>91.2</v>
      </c>
      <c r="O2270" s="116">
        <v>89.5</v>
      </c>
      <c r="P2270" s="116">
        <v>90.8</v>
      </c>
      <c r="Q2270" s="116">
        <v>89.9</v>
      </c>
      <c r="R2270">
        <v>2530801</v>
      </c>
    </row>
    <row r="2271" spans="1:18" x14ac:dyDescent="0.25">
      <c r="A2271" s="170">
        <v>45348</v>
      </c>
      <c r="B2271" s="116">
        <v>91.05</v>
      </c>
      <c r="C2271" s="116">
        <v>89.51</v>
      </c>
      <c r="D2271" s="116">
        <v>88.75</v>
      </c>
      <c r="E2271" s="116">
        <v>90.11</v>
      </c>
      <c r="F2271" s="116">
        <v>89.51</v>
      </c>
      <c r="G2271">
        <v>282215</v>
      </c>
      <c r="H2271" s="116"/>
      <c r="I2271" s="116"/>
      <c r="L2271" s="170">
        <v>45348</v>
      </c>
      <c r="M2271" s="116">
        <v>89.1</v>
      </c>
      <c r="N2271" s="116">
        <v>90.3</v>
      </c>
      <c r="O2271" s="116">
        <v>88.6</v>
      </c>
      <c r="P2271" s="116">
        <v>90.25</v>
      </c>
      <c r="Q2271" s="116">
        <v>89.1</v>
      </c>
      <c r="R2271">
        <v>3077574</v>
      </c>
    </row>
    <row r="2272" spans="1:18" x14ac:dyDescent="0.25">
      <c r="A2272" s="170">
        <v>45349</v>
      </c>
      <c r="B2272" s="116">
        <v>91.64</v>
      </c>
      <c r="C2272" s="116">
        <v>89.15</v>
      </c>
      <c r="D2272" s="116">
        <v>88.4</v>
      </c>
      <c r="E2272" s="116">
        <v>88.63</v>
      </c>
      <c r="F2272" s="116">
        <v>89.15</v>
      </c>
      <c r="G2272">
        <v>710541</v>
      </c>
      <c r="H2272" s="116"/>
      <c r="I2272" s="116"/>
      <c r="L2272" s="170">
        <v>45349</v>
      </c>
      <c r="M2272" s="116">
        <v>89</v>
      </c>
      <c r="N2272" s="116">
        <v>91.75</v>
      </c>
      <c r="O2272" s="116">
        <v>88.4</v>
      </c>
      <c r="P2272" s="116">
        <v>89.15</v>
      </c>
      <c r="Q2272" s="116">
        <v>89</v>
      </c>
      <c r="R2272">
        <v>3782462</v>
      </c>
    </row>
    <row r="2273" spans="1:18" x14ac:dyDescent="0.25">
      <c r="A2273" s="170">
        <v>45350</v>
      </c>
      <c r="B2273" s="116">
        <v>89.44</v>
      </c>
      <c r="C2273" s="116">
        <v>86.67</v>
      </c>
      <c r="D2273" s="116">
        <v>86.11</v>
      </c>
      <c r="E2273" s="116">
        <v>89.1</v>
      </c>
      <c r="F2273" s="116">
        <v>86.67</v>
      </c>
      <c r="G2273">
        <v>754335</v>
      </c>
      <c r="H2273" s="116"/>
      <c r="I2273" s="116"/>
      <c r="L2273" s="170">
        <v>45350</v>
      </c>
      <c r="M2273" s="116">
        <v>86.6</v>
      </c>
      <c r="N2273" s="116">
        <v>89.45</v>
      </c>
      <c r="O2273" s="116">
        <v>86.2</v>
      </c>
      <c r="P2273" s="116">
        <v>89</v>
      </c>
      <c r="Q2273" s="116">
        <v>86.6</v>
      </c>
      <c r="R2273">
        <v>3597501</v>
      </c>
    </row>
    <row r="2274" spans="1:18" x14ac:dyDescent="0.25">
      <c r="A2274" s="170">
        <v>45351</v>
      </c>
      <c r="B2274" s="116">
        <v>88.79</v>
      </c>
      <c r="C2274" s="116">
        <v>87.34</v>
      </c>
      <c r="D2274" s="116">
        <v>84.55</v>
      </c>
      <c r="E2274" s="116">
        <v>86.42</v>
      </c>
      <c r="F2274" s="116">
        <v>87.34</v>
      </c>
      <c r="G2274">
        <v>711667</v>
      </c>
      <c r="H2274" s="116"/>
      <c r="I2274" s="116"/>
      <c r="L2274" s="170">
        <v>45351</v>
      </c>
      <c r="M2274" s="116">
        <v>87.45</v>
      </c>
      <c r="N2274" s="116">
        <v>88.75</v>
      </c>
      <c r="O2274" s="116">
        <v>84.45</v>
      </c>
      <c r="P2274" s="116">
        <v>86.75</v>
      </c>
      <c r="Q2274" s="116">
        <v>87.45</v>
      </c>
      <c r="R2274">
        <v>4003248</v>
      </c>
    </row>
    <row r="2275" spans="1:18" x14ac:dyDescent="0.25">
      <c r="A2275" s="170">
        <v>45352</v>
      </c>
      <c r="B2275" s="116">
        <v>88.89</v>
      </c>
      <c r="C2275" s="116">
        <v>86.92</v>
      </c>
      <c r="D2275" s="116">
        <v>85.7</v>
      </c>
      <c r="E2275" s="116">
        <v>87.99</v>
      </c>
      <c r="F2275" s="116">
        <v>86.92</v>
      </c>
      <c r="G2275">
        <v>528440</v>
      </c>
      <c r="H2275" s="116"/>
      <c r="I2275" s="116"/>
      <c r="L2275" s="170">
        <v>45352</v>
      </c>
      <c r="M2275" s="116">
        <v>87.3</v>
      </c>
      <c r="N2275" s="116">
        <v>88.9</v>
      </c>
      <c r="O2275" s="116">
        <v>86.75</v>
      </c>
      <c r="P2275" s="116">
        <v>87.65</v>
      </c>
      <c r="Q2275" s="116">
        <v>87.3</v>
      </c>
      <c r="R2275">
        <v>2488127</v>
      </c>
    </row>
    <row r="2276" spans="1:18" x14ac:dyDescent="0.25">
      <c r="A2276" s="170">
        <v>45353</v>
      </c>
      <c r="B2276" s="116">
        <v>88.25</v>
      </c>
      <c r="C2276" s="116">
        <v>87.84</v>
      </c>
      <c r="D2276" s="116">
        <v>87</v>
      </c>
      <c r="E2276" s="116">
        <v>87.47</v>
      </c>
      <c r="F2276" s="116">
        <v>87.84</v>
      </c>
      <c r="G2276">
        <v>29950</v>
      </c>
      <c r="H2276" s="116"/>
      <c r="I2276" s="116"/>
      <c r="L2276" s="170">
        <v>45353</v>
      </c>
      <c r="M2276" s="116">
        <v>87.85</v>
      </c>
      <c r="N2276" s="116">
        <v>88.2</v>
      </c>
      <c r="O2276" s="116">
        <v>87</v>
      </c>
      <c r="P2276" s="116">
        <v>87.3</v>
      </c>
      <c r="Q2276" s="116">
        <v>87.85</v>
      </c>
      <c r="R2276">
        <v>483518</v>
      </c>
    </row>
    <row r="2277" spans="1:18" x14ac:dyDescent="0.25">
      <c r="A2277" s="170">
        <v>45355</v>
      </c>
      <c r="B2277" s="116">
        <v>88.4</v>
      </c>
      <c r="C2277" s="116">
        <v>86.57</v>
      </c>
      <c r="D2277" s="116">
        <v>85.9</v>
      </c>
      <c r="E2277" s="116">
        <v>88.37</v>
      </c>
      <c r="F2277" s="116">
        <v>86.57</v>
      </c>
      <c r="G2277">
        <v>333101</v>
      </c>
      <c r="H2277" s="116"/>
      <c r="I2277" s="116"/>
      <c r="L2277" s="170">
        <v>45355</v>
      </c>
      <c r="M2277" s="116">
        <v>86.65</v>
      </c>
      <c r="N2277" s="116">
        <v>88.45</v>
      </c>
      <c r="O2277" s="116">
        <v>86.3</v>
      </c>
      <c r="P2277" s="116">
        <v>88</v>
      </c>
      <c r="Q2277" s="116">
        <v>86.65</v>
      </c>
      <c r="R2277">
        <v>2613610</v>
      </c>
    </row>
    <row r="2278" spans="1:18" x14ac:dyDescent="0.25">
      <c r="A2278" s="170">
        <v>45356</v>
      </c>
      <c r="B2278" s="116">
        <v>87.38</v>
      </c>
      <c r="C2278" s="116">
        <v>85.75</v>
      </c>
      <c r="D2278" s="116">
        <v>85.29</v>
      </c>
      <c r="E2278" s="116">
        <v>86.97</v>
      </c>
      <c r="F2278" s="116">
        <v>85.75</v>
      </c>
      <c r="G2278">
        <v>270745</v>
      </c>
      <c r="H2278" s="116"/>
      <c r="I2278" s="116"/>
      <c r="L2278" s="170">
        <v>45356</v>
      </c>
      <c r="M2278" s="116">
        <v>85.8</v>
      </c>
      <c r="N2278" s="116">
        <v>87.4</v>
      </c>
      <c r="O2278" s="116">
        <v>85.5</v>
      </c>
      <c r="P2278" s="116">
        <v>86.65</v>
      </c>
      <c r="Q2278" s="116">
        <v>85.8</v>
      </c>
      <c r="R2278">
        <v>2347087</v>
      </c>
    </row>
    <row r="2279" spans="1:18" x14ac:dyDescent="0.25">
      <c r="A2279" s="170">
        <v>45357</v>
      </c>
      <c r="B2279" s="116">
        <v>86.27</v>
      </c>
      <c r="C2279" s="116">
        <v>83.35</v>
      </c>
      <c r="D2279" s="116">
        <v>81.099999999999994</v>
      </c>
      <c r="E2279" s="116">
        <v>85.85</v>
      </c>
      <c r="F2279" s="116">
        <v>83.35</v>
      </c>
      <c r="G2279">
        <v>457705</v>
      </c>
      <c r="H2279" s="116"/>
      <c r="I2279" s="116"/>
      <c r="L2279" s="170">
        <v>45357</v>
      </c>
      <c r="M2279" s="116">
        <v>83.35</v>
      </c>
      <c r="N2279" s="116">
        <v>86.3</v>
      </c>
      <c r="O2279" s="116">
        <v>81</v>
      </c>
      <c r="P2279" s="116">
        <v>85.9</v>
      </c>
      <c r="Q2279" s="116">
        <v>83.35</v>
      </c>
      <c r="R2279">
        <v>4441213</v>
      </c>
    </row>
    <row r="2280" spans="1:18" x14ac:dyDescent="0.25">
      <c r="A2280" s="170">
        <v>45358</v>
      </c>
      <c r="B2280" s="116">
        <v>91</v>
      </c>
      <c r="C2280" s="116">
        <v>89.89</v>
      </c>
      <c r="D2280" s="116">
        <v>83.6</v>
      </c>
      <c r="E2280" s="116">
        <v>84.19</v>
      </c>
      <c r="F2280" s="116">
        <v>89.89</v>
      </c>
      <c r="G2280">
        <v>2711728</v>
      </c>
      <c r="H2280" s="116"/>
      <c r="I2280" s="116"/>
      <c r="L2280" s="170">
        <v>45358</v>
      </c>
      <c r="M2280" s="116">
        <v>89.95</v>
      </c>
      <c r="N2280" s="116">
        <v>91.15</v>
      </c>
      <c r="O2280" s="116">
        <v>83.55</v>
      </c>
      <c r="P2280" s="116">
        <v>83.65</v>
      </c>
      <c r="Q2280" s="116">
        <v>89.95</v>
      </c>
      <c r="R2280">
        <v>20278143</v>
      </c>
    </row>
    <row r="2281" spans="1:18" x14ac:dyDescent="0.25">
      <c r="A2281" s="170">
        <v>45362</v>
      </c>
      <c r="B2281" s="116">
        <v>90.46</v>
      </c>
      <c r="C2281" s="116">
        <v>85.72</v>
      </c>
      <c r="D2281" s="116">
        <v>85</v>
      </c>
      <c r="E2281" s="116">
        <v>90.46</v>
      </c>
      <c r="F2281" s="116">
        <v>85.72</v>
      </c>
      <c r="G2281">
        <v>591099</v>
      </c>
      <c r="H2281" s="116"/>
      <c r="I2281" s="116"/>
      <c r="L2281" s="170">
        <v>45362</v>
      </c>
      <c r="M2281" s="116">
        <v>85.6</v>
      </c>
      <c r="N2281" s="116">
        <v>90.3</v>
      </c>
      <c r="O2281" s="116">
        <v>85</v>
      </c>
      <c r="P2281" s="116">
        <v>90.3</v>
      </c>
      <c r="Q2281" s="116">
        <v>85.6</v>
      </c>
      <c r="R2281">
        <v>5165341</v>
      </c>
    </row>
    <row r="2282" spans="1:18" x14ac:dyDescent="0.25">
      <c r="A2282" s="170">
        <v>45363</v>
      </c>
      <c r="B2282" s="116">
        <v>86.28</v>
      </c>
      <c r="C2282" s="116">
        <v>81.5</v>
      </c>
      <c r="D2282" s="116">
        <v>81.010000000000005</v>
      </c>
      <c r="E2282" s="116">
        <v>85.43</v>
      </c>
      <c r="F2282" s="116">
        <v>81.5</v>
      </c>
      <c r="G2282">
        <v>994479</v>
      </c>
      <c r="H2282" s="116"/>
      <c r="I2282" s="116"/>
      <c r="L2282" s="170">
        <v>45363</v>
      </c>
      <c r="M2282" s="116">
        <v>81.45</v>
      </c>
      <c r="N2282" s="116">
        <v>86.25</v>
      </c>
      <c r="O2282" s="116">
        <v>81</v>
      </c>
      <c r="P2282" s="116">
        <v>85.6</v>
      </c>
      <c r="Q2282" s="116">
        <v>81.45</v>
      </c>
      <c r="R2282">
        <v>5360962</v>
      </c>
    </row>
    <row r="2283" spans="1:18" x14ac:dyDescent="0.25">
      <c r="A2283" s="170">
        <v>45364</v>
      </c>
      <c r="B2283" s="116">
        <v>83.59</v>
      </c>
      <c r="C2283" s="116">
        <v>74.37</v>
      </c>
      <c r="D2283" s="116">
        <v>73.349999999999994</v>
      </c>
      <c r="E2283" s="116">
        <v>81.25</v>
      </c>
      <c r="F2283" s="116">
        <v>74.37</v>
      </c>
      <c r="G2283">
        <v>1817174</v>
      </c>
      <c r="H2283" s="116"/>
      <c r="I2283" s="116"/>
      <c r="L2283" s="170">
        <v>45364</v>
      </c>
      <c r="M2283" s="116">
        <v>74.2</v>
      </c>
      <c r="N2283" s="116">
        <v>83.55</v>
      </c>
      <c r="O2283" s="116">
        <v>73.150000000000006</v>
      </c>
      <c r="P2283" s="116">
        <v>81.099999999999994</v>
      </c>
      <c r="Q2283" s="116">
        <v>74.2</v>
      </c>
      <c r="R2283">
        <v>9408255</v>
      </c>
    </row>
    <row r="2284" spans="1:18" x14ac:dyDescent="0.25">
      <c r="A2284" s="170">
        <v>45365</v>
      </c>
      <c r="B2284" s="116">
        <v>81.25</v>
      </c>
      <c r="C2284" s="116">
        <v>80.599999999999994</v>
      </c>
      <c r="D2284" s="116">
        <v>73.72</v>
      </c>
      <c r="E2284" s="116">
        <v>74.989999999999995</v>
      </c>
      <c r="F2284" s="116">
        <v>80.599999999999994</v>
      </c>
      <c r="G2284">
        <v>1336599</v>
      </c>
      <c r="H2284" s="116"/>
      <c r="I2284" s="116"/>
      <c r="L2284" s="170">
        <v>45365</v>
      </c>
      <c r="M2284" s="116">
        <v>80.650000000000006</v>
      </c>
      <c r="N2284" s="116">
        <v>81.3</v>
      </c>
      <c r="O2284" s="116">
        <v>73.5</v>
      </c>
      <c r="P2284" s="116">
        <v>74.25</v>
      </c>
      <c r="Q2284" s="116">
        <v>80.650000000000006</v>
      </c>
      <c r="R2284">
        <v>7717171</v>
      </c>
    </row>
    <row r="2285" spans="1:18" x14ac:dyDescent="0.25">
      <c r="A2285" s="170">
        <v>45366</v>
      </c>
      <c r="B2285" s="116">
        <v>82.19</v>
      </c>
      <c r="C2285" s="116">
        <v>78.989999999999995</v>
      </c>
      <c r="D2285" s="116">
        <v>78.05</v>
      </c>
      <c r="E2285" s="116">
        <v>80.989999999999995</v>
      </c>
      <c r="F2285" s="116">
        <v>78.989999999999995</v>
      </c>
      <c r="G2285">
        <v>466701</v>
      </c>
      <c r="H2285" s="116"/>
      <c r="I2285" s="116"/>
      <c r="L2285" s="170">
        <v>45366</v>
      </c>
      <c r="M2285" s="116">
        <v>79.05</v>
      </c>
      <c r="N2285" s="116">
        <v>82.2</v>
      </c>
      <c r="O2285" s="116">
        <v>78</v>
      </c>
      <c r="P2285" s="116">
        <v>80.900000000000006</v>
      </c>
      <c r="Q2285" s="116">
        <v>79.05</v>
      </c>
      <c r="R2285">
        <v>4415878</v>
      </c>
    </row>
    <row r="2286" spans="1:18" x14ac:dyDescent="0.25">
      <c r="A2286" s="170">
        <v>45369</v>
      </c>
      <c r="B2286" s="116">
        <v>82.23</v>
      </c>
      <c r="C2286" s="116">
        <v>79.98</v>
      </c>
      <c r="D2286" s="116">
        <v>79.11</v>
      </c>
      <c r="E2286" s="116">
        <v>79.11</v>
      </c>
      <c r="F2286" s="116">
        <v>79.98</v>
      </c>
      <c r="G2286">
        <v>807465</v>
      </c>
      <c r="H2286" s="116"/>
      <c r="I2286" s="116"/>
      <c r="L2286" s="170">
        <v>45369</v>
      </c>
      <c r="M2286" s="116">
        <v>80</v>
      </c>
      <c r="N2286" s="116">
        <v>82.25</v>
      </c>
      <c r="O2286" s="116">
        <v>79.400000000000006</v>
      </c>
      <c r="P2286" s="116">
        <v>79.55</v>
      </c>
      <c r="Q2286" s="116">
        <v>80</v>
      </c>
      <c r="R2286">
        <v>6285697</v>
      </c>
    </row>
    <row r="2287" spans="1:18" x14ac:dyDescent="0.25">
      <c r="A2287" s="170">
        <v>45370</v>
      </c>
      <c r="B2287" s="116">
        <v>80.47</v>
      </c>
      <c r="C2287" s="116">
        <v>77.540000000000006</v>
      </c>
      <c r="D2287" s="116">
        <v>76.900000000000006</v>
      </c>
      <c r="E2287" s="116">
        <v>80.47</v>
      </c>
      <c r="F2287" s="116">
        <v>77.540000000000006</v>
      </c>
      <c r="G2287">
        <v>503289</v>
      </c>
      <c r="H2287" s="116"/>
      <c r="I2287" s="116"/>
      <c r="L2287" s="170">
        <v>45370</v>
      </c>
      <c r="M2287" s="116">
        <v>77.400000000000006</v>
      </c>
      <c r="N2287" s="116">
        <v>80.25</v>
      </c>
      <c r="O2287" s="116">
        <v>76.900000000000006</v>
      </c>
      <c r="P2287" s="116">
        <v>80</v>
      </c>
      <c r="Q2287" s="116">
        <v>77.400000000000006</v>
      </c>
      <c r="R2287">
        <v>3780174</v>
      </c>
    </row>
    <row r="2288" spans="1:18" x14ac:dyDescent="0.25">
      <c r="A2288" s="170">
        <v>45371</v>
      </c>
      <c r="B2288" s="116">
        <v>79.75</v>
      </c>
      <c r="C2288" s="116">
        <v>78.13</v>
      </c>
      <c r="D2288" s="116">
        <v>76.900000000000006</v>
      </c>
      <c r="E2288" s="116">
        <v>77.73</v>
      </c>
      <c r="F2288" s="116">
        <v>78.13</v>
      </c>
      <c r="G2288">
        <v>1053525</v>
      </c>
      <c r="H2288" s="116"/>
      <c r="I2288" s="116"/>
      <c r="L2288" s="170">
        <v>45371</v>
      </c>
      <c r="M2288" s="116">
        <v>78.099999999999994</v>
      </c>
      <c r="N2288" s="116">
        <v>79.8</v>
      </c>
      <c r="O2288" s="116">
        <v>76.849999999999994</v>
      </c>
      <c r="P2288" s="116">
        <v>78.2</v>
      </c>
      <c r="Q2288" s="116">
        <v>78.099999999999994</v>
      </c>
      <c r="R2288">
        <v>4259519</v>
      </c>
    </row>
    <row r="2289" spans="1:18" x14ac:dyDescent="0.25">
      <c r="A2289" s="170">
        <v>45372</v>
      </c>
      <c r="B2289" s="116">
        <v>80.739999999999995</v>
      </c>
      <c r="C2289" s="116">
        <v>78.319999999999993</v>
      </c>
      <c r="D2289" s="116">
        <v>77.900000000000006</v>
      </c>
      <c r="E2289" s="116">
        <v>79.42</v>
      </c>
      <c r="F2289" s="116">
        <v>78.319999999999993</v>
      </c>
      <c r="G2289">
        <v>779473</v>
      </c>
      <c r="H2289" s="116"/>
      <c r="I2289" s="116"/>
      <c r="L2289" s="170">
        <v>45372</v>
      </c>
      <c r="M2289" s="116">
        <v>78.25</v>
      </c>
      <c r="N2289" s="116">
        <v>80.7</v>
      </c>
      <c r="O2289" s="116">
        <v>77.849999999999994</v>
      </c>
      <c r="P2289" s="116">
        <v>79.2</v>
      </c>
      <c r="Q2289" s="116">
        <v>78.25</v>
      </c>
      <c r="R2289">
        <v>3141215</v>
      </c>
    </row>
    <row r="2290" spans="1:18" x14ac:dyDescent="0.25">
      <c r="A2290" s="170">
        <v>45373</v>
      </c>
      <c r="B2290" s="116">
        <v>80.2</v>
      </c>
      <c r="C2290" s="116">
        <v>78.52</v>
      </c>
      <c r="D2290" s="116">
        <v>78.400000000000006</v>
      </c>
      <c r="E2290" s="116">
        <v>78.400000000000006</v>
      </c>
      <c r="F2290" s="116">
        <v>78.52</v>
      </c>
      <c r="G2290">
        <v>645255</v>
      </c>
      <c r="H2290" s="116"/>
      <c r="I2290" s="116"/>
      <c r="L2290" s="170">
        <v>45373</v>
      </c>
      <c r="M2290" s="116">
        <v>78.55</v>
      </c>
      <c r="N2290" s="116">
        <v>80.2</v>
      </c>
      <c r="O2290" s="116">
        <v>78.25</v>
      </c>
      <c r="P2290" s="116">
        <v>78.45</v>
      </c>
      <c r="Q2290" s="116">
        <v>78.55</v>
      </c>
      <c r="R2290">
        <v>3558835</v>
      </c>
    </row>
    <row r="2291" spans="1:18" x14ac:dyDescent="0.25">
      <c r="A2291" s="170">
        <v>45377</v>
      </c>
      <c r="B2291" s="116">
        <v>79.72</v>
      </c>
      <c r="C2291" s="116">
        <v>76.260000000000005</v>
      </c>
      <c r="D2291" s="116">
        <v>75.150000000000006</v>
      </c>
      <c r="E2291" s="116">
        <v>78.489999999999995</v>
      </c>
      <c r="F2291" s="116">
        <v>76.260000000000005</v>
      </c>
      <c r="G2291">
        <v>612331</v>
      </c>
      <c r="H2291" s="116"/>
      <c r="I2291" s="116"/>
      <c r="L2291" s="170">
        <v>45377</v>
      </c>
      <c r="M2291" s="116">
        <v>76.650000000000006</v>
      </c>
      <c r="N2291" s="116">
        <v>79.75</v>
      </c>
      <c r="O2291" s="116">
        <v>76.099999999999994</v>
      </c>
      <c r="P2291" s="116">
        <v>78.349999999999994</v>
      </c>
      <c r="Q2291" s="116">
        <v>76.650000000000006</v>
      </c>
      <c r="R2291">
        <v>3979851</v>
      </c>
    </row>
    <row r="2292" spans="1:18" x14ac:dyDescent="0.25">
      <c r="A2292" s="170">
        <v>45378</v>
      </c>
      <c r="B2292" s="116">
        <v>77.81</v>
      </c>
      <c r="C2292" s="116">
        <v>75.05</v>
      </c>
      <c r="D2292" s="116">
        <v>74.5</v>
      </c>
      <c r="E2292" s="116">
        <v>76.900000000000006</v>
      </c>
      <c r="F2292" s="116">
        <v>75.05</v>
      </c>
      <c r="G2292">
        <v>1049539</v>
      </c>
      <c r="H2292" s="116"/>
      <c r="I2292" s="116"/>
      <c r="L2292" s="170">
        <v>45378</v>
      </c>
      <c r="M2292" s="116">
        <v>74.900000000000006</v>
      </c>
      <c r="N2292" s="116">
        <v>77.95</v>
      </c>
      <c r="O2292" s="116">
        <v>74.25</v>
      </c>
      <c r="P2292" s="116">
        <v>76.95</v>
      </c>
      <c r="Q2292" s="116">
        <v>74.900000000000006</v>
      </c>
      <c r="R2292">
        <v>7095523</v>
      </c>
    </row>
    <row r="2293" spans="1:18" x14ac:dyDescent="0.25">
      <c r="A2293" s="170">
        <v>45379</v>
      </c>
      <c r="B2293" s="116">
        <v>76.8</v>
      </c>
      <c r="C2293" s="116">
        <v>73.959999999999994</v>
      </c>
      <c r="D2293" s="116">
        <v>73.5</v>
      </c>
      <c r="E2293" s="116">
        <v>75.08</v>
      </c>
      <c r="F2293" s="116">
        <v>73.959999999999994</v>
      </c>
      <c r="G2293">
        <v>1408121</v>
      </c>
      <c r="H2293" s="116"/>
      <c r="I2293" s="116"/>
      <c r="L2293" s="170">
        <v>45379</v>
      </c>
      <c r="M2293" s="116">
        <v>74</v>
      </c>
      <c r="N2293" s="116">
        <v>76.8</v>
      </c>
      <c r="O2293" s="116">
        <v>73.5</v>
      </c>
      <c r="P2293" s="116">
        <v>75.5</v>
      </c>
      <c r="Q2293" s="116">
        <v>74</v>
      </c>
      <c r="R2293">
        <v>5250643</v>
      </c>
    </row>
    <row r="2294" spans="1:18" x14ac:dyDescent="0.25">
      <c r="A2294" s="170">
        <v>45383</v>
      </c>
      <c r="B2294" s="116">
        <v>79.8</v>
      </c>
      <c r="C2294" s="116">
        <v>79.180000000000007</v>
      </c>
      <c r="D2294" s="116">
        <v>74.709999999999994</v>
      </c>
      <c r="E2294" s="116">
        <v>74.97</v>
      </c>
      <c r="F2294" s="116">
        <v>79.180000000000007</v>
      </c>
      <c r="G2294">
        <v>891860</v>
      </c>
      <c r="H2294" s="116"/>
      <c r="I2294" s="116"/>
      <c r="L2294" s="170">
        <v>45383</v>
      </c>
      <c r="M2294" s="116">
        <v>79.150000000000006</v>
      </c>
      <c r="N2294" s="116">
        <v>79.8</v>
      </c>
      <c r="O2294" s="116">
        <v>74.599999999999994</v>
      </c>
      <c r="P2294" s="116">
        <v>74.599999999999994</v>
      </c>
      <c r="Q2294" s="116">
        <v>79.150000000000006</v>
      </c>
      <c r="R2294">
        <v>5408817</v>
      </c>
    </row>
    <row r="2295" spans="1:18" x14ac:dyDescent="0.25">
      <c r="A2295" s="170">
        <v>45384</v>
      </c>
      <c r="B2295" s="116">
        <v>82.6</v>
      </c>
      <c r="C2295" s="116">
        <v>81.56</v>
      </c>
      <c r="D2295" s="116">
        <v>78.27</v>
      </c>
      <c r="E2295" s="116">
        <v>79.87</v>
      </c>
      <c r="F2295" s="116">
        <v>81.56</v>
      </c>
      <c r="G2295">
        <v>1572128</v>
      </c>
      <c r="H2295" s="116"/>
      <c r="I2295" s="116"/>
      <c r="L2295" s="170">
        <v>45384</v>
      </c>
      <c r="M2295" s="116">
        <v>81.400000000000006</v>
      </c>
      <c r="N2295" s="116">
        <v>82.3</v>
      </c>
      <c r="O2295" s="116">
        <v>78.3</v>
      </c>
      <c r="P2295" s="116">
        <v>79.5</v>
      </c>
      <c r="Q2295" s="116">
        <v>81.400000000000006</v>
      </c>
      <c r="R2295">
        <v>6501149</v>
      </c>
    </row>
    <row r="2296" spans="1:18" x14ac:dyDescent="0.25">
      <c r="A2296" s="170">
        <v>45385</v>
      </c>
      <c r="B2296" s="116">
        <v>82.23</v>
      </c>
      <c r="C2296" s="116">
        <v>81.41</v>
      </c>
      <c r="D2296" s="116">
        <v>80.52</v>
      </c>
      <c r="E2296" s="116">
        <v>81.27</v>
      </c>
      <c r="F2296" s="116">
        <v>81.41</v>
      </c>
      <c r="G2296">
        <v>819201</v>
      </c>
      <c r="H2296" s="116"/>
      <c r="I2296" s="116"/>
      <c r="L2296" s="170">
        <v>45385</v>
      </c>
      <c r="M2296" s="116">
        <v>81.400000000000006</v>
      </c>
      <c r="N2296" s="116">
        <v>82.25</v>
      </c>
      <c r="O2296" s="116">
        <v>80.55</v>
      </c>
      <c r="P2296" s="116">
        <v>81</v>
      </c>
      <c r="Q2296" s="116">
        <v>81.400000000000006</v>
      </c>
      <c r="R2296">
        <v>3563598</v>
      </c>
    </row>
    <row r="2297" spans="1:18" x14ac:dyDescent="0.25">
      <c r="A2297" s="170">
        <v>45386</v>
      </c>
      <c r="B2297" s="116">
        <v>83.19</v>
      </c>
      <c r="C2297" s="116">
        <v>82.12</v>
      </c>
      <c r="D2297" s="116">
        <v>80.83</v>
      </c>
      <c r="E2297" s="116">
        <v>81.510000000000005</v>
      </c>
      <c r="F2297" s="116">
        <v>82.12</v>
      </c>
      <c r="G2297">
        <v>675266</v>
      </c>
      <c r="H2297" s="116"/>
      <c r="I2297" s="116"/>
      <c r="L2297" s="170">
        <v>45386</v>
      </c>
      <c r="M2297" s="116">
        <v>82.2</v>
      </c>
      <c r="N2297" s="116">
        <v>83.25</v>
      </c>
      <c r="O2297" s="116">
        <v>80.849999999999994</v>
      </c>
      <c r="P2297" s="116">
        <v>82</v>
      </c>
      <c r="Q2297" s="116">
        <v>82.2</v>
      </c>
      <c r="R2297">
        <v>3451543</v>
      </c>
    </row>
    <row r="2298" spans="1:18" x14ac:dyDescent="0.25">
      <c r="A2298" s="170">
        <v>45387</v>
      </c>
      <c r="B2298" s="116">
        <v>82.37</v>
      </c>
      <c r="C2298" s="116">
        <v>81.53</v>
      </c>
      <c r="D2298" s="116">
        <v>80.45</v>
      </c>
      <c r="E2298" s="116">
        <v>82.09</v>
      </c>
      <c r="F2298" s="116">
        <v>81.53</v>
      </c>
      <c r="G2298">
        <v>274429</v>
      </c>
      <c r="H2298" s="116"/>
      <c r="I2298" s="116"/>
      <c r="L2298" s="170">
        <v>45387</v>
      </c>
      <c r="M2298" s="116">
        <v>81.55</v>
      </c>
      <c r="N2298" s="116">
        <v>82.35</v>
      </c>
      <c r="O2298" s="116">
        <v>80.349999999999994</v>
      </c>
      <c r="P2298" s="116">
        <v>81.849999999999994</v>
      </c>
      <c r="Q2298" s="116">
        <v>81.55</v>
      </c>
      <c r="R2298">
        <v>3069247</v>
      </c>
    </row>
    <row r="2299" spans="1:18" x14ac:dyDescent="0.25">
      <c r="A2299" s="170">
        <v>45390</v>
      </c>
      <c r="B2299" s="116">
        <v>82.9</v>
      </c>
      <c r="C2299" s="116">
        <v>80.849999999999994</v>
      </c>
      <c r="D2299" s="116">
        <v>80.510000000000005</v>
      </c>
      <c r="E2299" s="116">
        <v>81.03</v>
      </c>
      <c r="F2299" s="116">
        <v>80.849999999999994</v>
      </c>
      <c r="G2299">
        <v>257286</v>
      </c>
      <c r="H2299" s="116"/>
      <c r="I2299" s="116"/>
      <c r="L2299" s="170">
        <v>45390</v>
      </c>
      <c r="M2299" s="116">
        <v>80.849999999999994</v>
      </c>
      <c r="N2299" s="116">
        <v>82.9</v>
      </c>
      <c r="O2299" s="116">
        <v>80.5</v>
      </c>
      <c r="P2299" s="116">
        <v>82</v>
      </c>
      <c r="Q2299" s="116">
        <v>80.849999999999994</v>
      </c>
      <c r="R2299">
        <v>2518259</v>
      </c>
    </row>
    <row r="2300" spans="1:18" x14ac:dyDescent="0.25">
      <c r="A2300" s="170">
        <v>45391</v>
      </c>
      <c r="B2300" s="116">
        <v>81.849999999999994</v>
      </c>
      <c r="C2300" s="116">
        <v>80.05</v>
      </c>
      <c r="D2300" s="116">
        <v>79.349999999999994</v>
      </c>
      <c r="E2300" s="116">
        <v>81.849999999999994</v>
      </c>
      <c r="F2300" s="116">
        <v>80.05</v>
      </c>
      <c r="G2300">
        <v>432724</v>
      </c>
      <c r="H2300" s="116"/>
      <c r="I2300" s="116"/>
      <c r="L2300" s="170">
        <v>45391</v>
      </c>
      <c r="M2300" s="116">
        <v>80.099999999999994</v>
      </c>
      <c r="N2300" s="116">
        <v>81.3</v>
      </c>
      <c r="O2300" s="116">
        <v>79.2</v>
      </c>
      <c r="P2300" s="116">
        <v>81.2</v>
      </c>
      <c r="Q2300" s="116">
        <v>80.099999999999994</v>
      </c>
      <c r="R2300">
        <v>2133948</v>
      </c>
    </row>
    <row r="2301" spans="1:18" x14ac:dyDescent="0.25">
      <c r="A2301" s="170">
        <v>45392</v>
      </c>
      <c r="B2301" s="116">
        <v>81.3</v>
      </c>
      <c r="C2301" s="116">
        <v>80.959999999999994</v>
      </c>
      <c r="D2301" s="116">
        <v>79.08</v>
      </c>
      <c r="E2301" s="116">
        <v>80.010000000000005</v>
      </c>
      <c r="F2301" s="116">
        <v>80.959999999999994</v>
      </c>
      <c r="G2301">
        <v>232534</v>
      </c>
      <c r="H2301" s="116"/>
      <c r="I2301" s="116"/>
      <c r="L2301" s="170">
        <v>45392</v>
      </c>
      <c r="M2301" s="116">
        <v>80.75</v>
      </c>
      <c r="N2301" s="116">
        <v>81.25</v>
      </c>
      <c r="O2301" s="116">
        <v>79.099999999999994</v>
      </c>
      <c r="P2301" s="116">
        <v>80.099999999999994</v>
      </c>
      <c r="Q2301" s="116">
        <v>80.75</v>
      </c>
      <c r="R2301">
        <v>2569915</v>
      </c>
    </row>
    <row r="2302" spans="1:18" x14ac:dyDescent="0.25">
      <c r="A2302" s="170">
        <v>45394</v>
      </c>
      <c r="B2302" s="116">
        <v>80.75</v>
      </c>
      <c r="C2302" s="116">
        <v>78.38</v>
      </c>
      <c r="D2302" s="116">
        <v>77.75</v>
      </c>
      <c r="E2302" s="116">
        <v>80.44</v>
      </c>
      <c r="F2302" s="116">
        <v>78.38</v>
      </c>
      <c r="G2302">
        <v>436597</v>
      </c>
      <c r="H2302" s="116"/>
      <c r="I2302" s="116"/>
      <c r="L2302" s="170">
        <v>45394</v>
      </c>
      <c r="M2302" s="116">
        <v>78.5</v>
      </c>
      <c r="N2302" s="116">
        <v>80.75</v>
      </c>
      <c r="O2302" s="116">
        <v>78.150000000000006</v>
      </c>
      <c r="P2302" s="116">
        <v>80.3</v>
      </c>
      <c r="Q2302" s="116">
        <v>78.5</v>
      </c>
      <c r="R2302">
        <v>2371006</v>
      </c>
    </row>
    <row r="2303" spans="1:18" x14ac:dyDescent="0.25">
      <c r="A2303" s="170">
        <v>45397</v>
      </c>
      <c r="B2303" s="116">
        <v>77.8</v>
      </c>
      <c r="C2303" s="116">
        <v>76.38</v>
      </c>
      <c r="D2303" s="116">
        <v>75.010000000000005</v>
      </c>
      <c r="E2303" s="116">
        <v>75.510000000000005</v>
      </c>
      <c r="F2303" s="116">
        <v>76.38</v>
      </c>
      <c r="G2303">
        <v>336113</v>
      </c>
      <c r="H2303" s="116"/>
      <c r="I2303" s="116"/>
      <c r="L2303" s="170">
        <v>45397</v>
      </c>
      <c r="M2303" s="116">
        <v>76.25</v>
      </c>
      <c r="N2303" s="116">
        <v>77.8</v>
      </c>
      <c r="O2303" s="116">
        <v>75</v>
      </c>
      <c r="P2303" s="116">
        <v>77.8</v>
      </c>
      <c r="Q2303" s="116">
        <v>76.25</v>
      </c>
      <c r="R2303">
        <v>2813009</v>
      </c>
    </row>
    <row r="2304" spans="1:18" x14ac:dyDescent="0.25">
      <c r="A2304" s="170">
        <v>45398</v>
      </c>
      <c r="B2304" s="116">
        <v>77.31</v>
      </c>
      <c r="C2304" s="116">
        <v>76.52</v>
      </c>
      <c r="D2304" s="116">
        <v>75.56</v>
      </c>
      <c r="E2304" s="116">
        <v>75.86</v>
      </c>
      <c r="F2304" s="116">
        <v>76.52</v>
      </c>
      <c r="G2304">
        <v>273190</v>
      </c>
      <c r="H2304" s="116"/>
      <c r="I2304" s="116"/>
      <c r="L2304" s="170">
        <v>45398</v>
      </c>
      <c r="M2304" s="116">
        <v>76.55</v>
      </c>
      <c r="N2304" s="116">
        <v>77.3</v>
      </c>
      <c r="O2304" s="116">
        <v>75.55</v>
      </c>
      <c r="P2304" s="116">
        <v>76</v>
      </c>
      <c r="Q2304" s="116">
        <v>76.55</v>
      </c>
      <c r="R2304">
        <v>1530080</v>
      </c>
    </row>
    <row r="2305" spans="1:18" x14ac:dyDescent="0.25">
      <c r="A2305" s="170">
        <v>45400</v>
      </c>
      <c r="B2305" s="116">
        <v>78.05</v>
      </c>
      <c r="C2305" s="116">
        <v>76.36</v>
      </c>
      <c r="D2305" s="116">
        <v>76.03</v>
      </c>
      <c r="E2305" s="116">
        <v>77.569999999999993</v>
      </c>
      <c r="F2305" s="116">
        <v>76.36</v>
      </c>
      <c r="G2305">
        <v>256201</v>
      </c>
      <c r="H2305" s="116"/>
      <c r="I2305" s="116"/>
      <c r="L2305" s="170">
        <v>45400</v>
      </c>
      <c r="M2305" s="116">
        <v>76.3</v>
      </c>
      <c r="N2305" s="116">
        <v>78.2</v>
      </c>
      <c r="O2305" s="116">
        <v>76</v>
      </c>
      <c r="P2305" s="116">
        <v>77.150000000000006</v>
      </c>
      <c r="Q2305" s="116">
        <v>76.3</v>
      </c>
      <c r="R2305">
        <v>2007657</v>
      </c>
    </row>
    <row r="2306" spans="1:18" x14ac:dyDescent="0.25">
      <c r="A2306" s="170">
        <v>45401</v>
      </c>
      <c r="B2306" s="116">
        <v>75.8</v>
      </c>
      <c r="C2306" s="116">
        <v>75.27</v>
      </c>
      <c r="D2306" s="116">
        <v>74.5</v>
      </c>
      <c r="E2306" s="116">
        <v>75</v>
      </c>
      <c r="F2306" s="116">
        <v>75.27</v>
      </c>
      <c r="G2306">
        <v>437248</v>
      </c>
      <c r="H2306" s="116"/>
      <c r="I2306" s="116"/>
      <c r="L2306" s="170">
        <v>45401</v>
      </c>
      <c r="M2306" s="116">
        <v>75.2</v>
      </c>
      <c r="N2306" s="116">
        <v>75.849999999999994</v>
      </c>
      <c r="O2306" s="116">
        <v>74.5</v>
      </c>
      <c r="P2306" s="116">
        <v>75.05</v>
      </c>
      <c r="Q2306" s="116">
        <v>75.2</v>
      </c>
      <c r="R2306">
        <v>1891454</v>
      </c>
    </row>
    <row r="2307" spans="1:18" x14ac:dyDescent="0.25">
      <c r="A2307" s="170">
        <v>45404</v>
      </c>
      <c r="B2307" s="116">
        <v>79.28</v>
      </c>
      <c r="C2307" s="116">
        <v>77.760000000000005</v>
      </c>
      <c r="D2307" s="116">
        <v>75.5</v>
      </c>
      <c r="E2307" s="116">
        <v>75.930000000000007</v>
      </c>
      <c r="F2307" s="116">
        <v>77.760000000000005</v>
      </c>
      <c r="G2307">
        <v>657873</v>
      </c>
      <c r="H2307" s="116"/>
      <c r="I2307" s="116"/>
      <c r="L2307" s="170">
        <v>45404</v>
      </c>
      <c r="M2307" s="116">
        <v>77.7</v>
      </c>
      <c r="N2307" s="116">
        <v>79.3</v>
      </c>
      <c r="O2307" s="116">
        <v>75.900000000000006</v>
      </c>
      <c r="P2307" s="116">
        <v>75.900000000000006</v>
      </c>
      <c r="Q2307" s="116">
        <v>77.7</v>
      </c>
      <c r="R2307">
        <v>3114230</v>
      </c>
    </row>
    <row r="2308" spans="1:18" x14ac:dyDescent="0.25">
      <c r="A2308" s="170">
        <v>45405</v>
      </c>
      <c r="B2308" s="116">
        <v>89.75</v>
      </c>
      <c r="C2308" s="116">
        <v>84.89</v>
      </c>
      <c r="D2308" s="116">
        <v>77.94</v>
      </c>
      <c r="E2308" s="116">
        <v>77.94</v>
      </c>
      <c r="F2308" s="116">
        <v>84.89</v>
      </c>
      <c r="G2308">
        <v>5981282</v>
      </c>
      <c r="H2308" s="116"/>
      <c r="I2308" s="116"/>
      <c r="L2308" s="170">
        <v>45405</v>
      </c>
      <c r="M2308" s="116">
        <v>84.9</v>
      </c>
      <c r="N2308" s="116">
        <v>89.75</v>
      </c>
      <c r="O2308" s="116">
        <v>78.2</v>
      </c>
      <c r="P2308" s="116">
        <v>78.3</v>
      </c>
      <c r="Q2308" s="116">
        <v>84.9</v>
      </c>
      <c r="R2308">
        <v>47570238</v>
      </c>
    </row>
    <row r="2309" spans="1:18" x14ac:dyDescent="0.25">
      <c r="A2309" s="170">
        <v>45406</v>
      </c>
      <c r="B2309" s="116">
        <v>87.01</v>
      </c>
      <c r="C2309" s="116">
        <v>85.23</v>
      </c>
      <c r="D2309" s="116">
        <v>83.9</v>
      </c>
      <c r="E2309" s="116">
        <v>85.89</v>
      </c>
      <c r="F2309" s="116">
        <v>85.23</v>
      </c>
      <c r="G2309">
        <v>1090423</v>
      </c>
      <c r="H2309" s="116"/>
      <c r="I2309" s="116"/>
      <c r="L2309" s="170">
        <v>45406</v>
      </c>
      <c r="M2309" s="116">
        <v>85.3</v>
      </c>
      <c r="N2309" s="116">
        <v>87.1</v>
      </c>
      <c r="O2309" s="116">
        <v>83.9</v>
      </c>
      <c r="P2309" s="116">
        <v>85.55</v>
      </c>
      <c r="Q2309" s="116">
        <v>85.3</v>
      </c>
      <c r="R2309">
        <v>8651946</v>
      </c>
    </row>
    <row r="2310" spans="1:18" x14ac:dyDescent="0.25">
      <c r="A2310" s="170">
        <v>45407</v>
      </c>
      <c r="B2310" s="116">
        <v>85.41</v>
      </c>
      <c r="C2310" s="116">
        <v>83.55</v>
      </c>
      <c r="D2310" s="116">
        <v>83</v>
      </c>
      <c r="E2310" s="116">
        <v>84.78</v>
      </c>
      <c r="F2310" s="116">
        <v>83.55</v>
      </c>
      <c r="G2310">
        <v>609369</v>
      </c>
      <c r="H2310" s="116"/>
      <c r="I2310" s="116"/>
      <c r="L2310" s="170">
        <v>45407</v>
      </c>
      <c r="M2310" s="116">
        <v>83.35</v>
      </c>
      <c r="N2310" s="116">
        <v>85.5</v>
      </c>
      <c r="O2310" s="116">
        <v>82.9</v>
      </c>
      <c r="P2310" s="116">
        <v>85.3</v>
      </c>
      <c r="Q2310" s="116">
        <v>83.35</v>
      </c>
      <c r="R2310">
        <v>4510805</v>
      </c>
    </row>
    <row r="2311" spans="1:18" x14ac:dyDescent="0.25">
      <c r="A2311" s="170">
        <v>45408</v>
      </c>
      <c r="B2311" s="116">
        <v>83.95</v>
      </c>
      <c r="C2311" s="116">
        <v>82.34</v>
      </c>
      <c r="D2311" s="116">
        <v>82.16</v>
      </c>
      <c r="E2311" s="116">
        <v>83.3</v>
      </c>
      <c r="F2311" s="116">
        <v>82.34</v>
      </c>
      <c r="G2311">
        <v>718736</v>
      </c>
      <c r="H2311" s="116"/>
      <c r="I2311" s="116"/>
      <c r="L2311" s="170">
        <v>45408</v>
      </c>
      <c r="M2311" s="116">
        <v>82.35</v>
      </c>
      <c r="N2311" s="116">
        <v>83.95</v>
      </c>
      <c r="O2311" s="116">
        <v>82.2</v>
      </c>
      <c r="P2311" s="116">
        <v>83.2</v>
      </c>
      <c r="Q2311" s="116">
        <v>82.35</v>
      </c>
      <c r="R2311">
        <v>3320767</v>
      </c>
    </row>
    <row r="2312" spans="1:18" x14ac:dyDescent="0.25">
      <c r="A2312" s="170">
        <v>45411</v>
      </c>
      <c r="B2312" s="116">
        <v>84.81</v>
      </c>
      <c r="C2312" s="116">
        <v>83.56</v>
      </c>
      <c r="D2312" s="116">
        <v>82.4</v>
      </c>
      <c r="E2312" s="116">
        <v>82.4</v>
      </c>
      <c r="F2312" s="116">
        <v>83.56</v>
      </c>
      <c r="G2312">
        <v>529145</v>
      </c>
      <c r="H2312" s="116"/>
      <c r="I2312" s="116"/>
      <c r="L2312" s="170">
        <v>45411</v>
      </c>
      <c r="M2312" s="116">
        <v>83.5</v>
      </c>
      <c r="N2312" s="116">
        <v>84.9</v>
      </c>
      <c r="O2312" s="116">
        <v>82.45</v>
      </c>
      <c r="P2312" s="116">
        <v>82.5</v>
      </c>
      <c r="Q2312" s="116">
        <v>83.5</v>
      </c>
      <c r="R2312">
        <v>4823436</v>
      </c>
    </row>
    <row r="2313" spans="1:18" x14ac:dyDescent="0.25">
      <c r="A2313" s="170">
        <v>45412</v>
      </c>
      <c r="B2313" s="116">
        <v>84.09</v>
      </c>
      <c r="C2313" s="116">
        <v>82.26</v>
      </c>
      <c r="D2313" s="116">
        <v>82</v>
      </c>
      <c r="E2313" s="116">
        <v>84.09</v>
      </c>
      <c r="F2313" s="116">
        <v>82.26</v>
      </c>
      <c r="G2313">
        <v>460054</v>
      </c>
      <c r="H2313" s="116"/>
      <c r="I2313" s="116"/>
      <c r="L2313" s="170">
        <v>45412</v>
      </c>
      <c r="M2313" s="116">
        <v>82.25</v>
      </c>
      <c r="N2313" s="116">
        <v>83.95</v>
      </c>
      <c r="O2313" s="116">
        <v>82</v>
      </c>
      <c r="P2313" s="116">
        <v>83.95</v>
      </c>
      <c r="Q2313" s="116">
        <v>82.25</v>
      </c>
      <c r="R2313">
        <v>2464944</v>
      </c>
    </row>
    <row r="2314" spans="1:18" x14ac:dyDescent="0.25">
      <c r="A2314" s="170">
        <v>45414</v>
      </c>
      <c r="B2314" s="116">
        <v>83.13</v>
      </c>
      <c r="C2314" s="116">
        <v>81.99</v>
      </c>
      <c r="D2314" s="116">
        <v>81.55</v>
      </c>
      <c r="E2314" s="116">
        <v>82.91</v>
      </c>
      <c r="F2314" s="116">
        <v>81.99</v>
      </c>
      <c r="G2314">
        <v>509096</v>
      </c>
      <c r="H2314" s="116"/>
      <c r="I2314" s="116"/>
      <c r="L2314" s="170">
        <v>45414</v>
      </c>
      <c r="M2314" s="116">
        <v>82</v>
      </c>
      <c r="N2314" s="116">
        <v>83.2</v>
      </c>
      <c r="O2314" s="116">
        <v>81.55</v>
      </c>
      <c r="P2314" s="116">
        <v>82.25</v>
      </c>
      <c r="Q2314" s="116">
        <v>82</v>
      </c>
      <c r="R2314">
        <v>2062940</v>
      </c>
    </row>
    <row r="2315" spans="1:18" x14ac:dyDescent="0.25">
      <c r="A2315" s="170">
        <v>45415</v>
      </c>
      <c r="B2315" s="116">
        <v>82.92</v>
      </c>
      <c r="C2315" s="116">
        <v>80.8</v>
      </c>
      <c r="D2315" s="116">
        <v>80.17</v>
      </c>
      <c r="E2315" s="116">
        <v>82.92</v>
      </c>
      <c r="F2315" s="116">
        <v>80.8</v>
      </c>
      <c r="G2315">
        <v>235980</v>
      </c>
      <c r="H2315" s="116"/>
      <c r="I2315" s="116"/>
      <c r="L2315" s="170">
        <v>45415</v>
      </c>
      <c r="M2315" s="116">
        <v>80.75</v>
      </c>
      <c r="N2315" s="116">
        <v>82.8</v>
      </c>
      <c r="O2315" s="116">
        <v>80.2</v>
      </c>
      <c r="P2315" s="116">
        <v>82.6</v>
      </c>
      <c r="Q2315" s="116">
        <v>80.75</v>
      </c>
      <c r="R2315">
        <v>1971022</v>
      </c>
    </row>
    <row r="2316" spans="1:18" x14ac:dyDescent="0.25">
      <c r="A2316" s="170">
        <v>45418</v>
      </c>
      <c r="B2316" s="116">
        <v>81.209999999999994</v>
      </c>
      <c r="C2316" s="116">
        <v>78.86</v>
      </c>
      <c r="D2316" s="116">
        <v>78.56</v>
      </c>
      <c r="E2316" s="116">
        <v>81.09</v>
      </c>
      <c r="F2316" s="116">
        <v>78.86</v>
      </c>
      <c r="G2316">
        <v>465162</v>
      </c>
      <c r="H2316" s="116"/>
      <c r="I2316" s="116"/>
      <c r="L2316" s="170">
        <v>45418</v>
      </c>
      <c r="M2316" s="116">
        <v>78.849999999999994</v>
      </c>
      <c r="N2316" s="116">
        <v>81.25</v>
      </c>
      <c r="O2316" s="116">
        <v>78.5</v>
      </c>
      <c r="P2316" s="116">
        <v>80.75</v>
      </c>
      <c r="Q2316" s="116">
        <v>78.849999999999994</v>
      </c>
      <c r="R2316">
        <v>1927411</v>
      </c>
    </row>
    <row r="2317" spans="1:18" x14ac:dyDescent="0.25">
      <c r="A2317" s="170">
        <v>45419</v>
      </c>
      <c r="B2317" s="116">
        <v>79.64</v>
      </c>
      <c r="C2317" s="116">
        <v>77.209999999999994</v>
      </c>
      <c r="D2317" s="116">
        <v>76.61</v>
      </c>
      <c r="E2317" s="116">
        <v>78.87</v>
      </c>
      <c r="F2317" s="116">
        <v>77.209999999999994</v>
      </c>
      <c r="G2317">
        <v>445290</v>
      </c>
      <c r="H2317" s="116"/>
      <c r="I2317" s="116"/>
      <c r="L2317" s="170">
        <v>45419</v>
      </c>
      <c r="M2317" s="116">
        <v>77.150000000000006</v>
      </c>
      <c r="N2317" s="116">
        <v>79.7</v>
      </c>
      <c r="O2317" s="116">
        <v>76.5</v>
      </c>
      <c r="P2317" s="116">
        <v>78.95</v>
      </c>
      <c r="Q2317" s="116">
        <v>77.150000000000006</v>
      </c>
      <c r="R2317">
        <v>2114700</v>
      </c>
    </row>
    <row r="2318" spans="1:18" x14ac:dyDescent="0.25">
      <c r="A2318" s="170">
        <v>45420</v>
      </c>
      <c r="B2318" s="116">
        <v>78.34</v>
      </c>
      <c r="C2318" s="116">
        <v>77.14</v>
      </c>
      <c r="D2318" s="116">
        <v>77</v>
      </c>
      <c r="E2318" s="116">
        <v>77.03</v>
      </c>
      <c r="F2318" s="116">
        <v>77.14</v>
      </c>
      <c r="G2318">
        <v>447360</v>
      </c>
      <c r="H2318" s="116"/>
      <c r="I2318" s="116"/>
      <c r="L2318" s="170">
        <v>45420</v>
      </c>
      <c r="M2318" s="116">
        <v>77.099999999999994</v>
      </c>
      <c r="N2318" s="116">
        <v>78.349999999999994</v>
      </c>
      <c r="O2318" s="116">
        <v>76.95</v>
      </c>
      <c r="P2318" s="116">
        <v>77.150000000000006</v>
      </c>
      <c r="Q2318" s="116">
        <v>77.099999999999994</v>
      </c>
      <c r="R2318">
        <v>1964439</v>
      </c>
    </row>
    <row r="2319" spans="1:18" x14ac:dyDescent="0.25">
      <c r="A2319" s="170">
        <v>45421</v>
      </c>
      <c r="B2319" s="116">
        <v>77.86</v>
      </c>
      <c r="C2319" s="116">
        <v>75.88</v>
      </c>
      <c r="D2319" s="116">
        <v>75.31</v>
      </c>
      <c r="E2319" s="116">
        <v>77.5</v>
      </c>
      <c r="F2319" s="116">
        <v>75.88</v>
      </c>
      <c r="G2319">
        <v>417415</v>
      </c>
      <c r="H2319" s="116"/>
      <c r="I2319" s="116"/>
      <c r="L2319" s="170">
        <v>45421</v>
      </c>
      <c r="M2319" s="116">
        <v>75.8</v>
      </c>
      <c r="N2319" s="116">
        <v>77.900000000000006</v>
      </c>
      <c r="O2319" s="116">
        <v>75.349999999999994</v>
      </c>
      <c r="P2319" s="116">
        <v>77.150000000000006</v>
      </c>
      <c r="Q2319" s="116">
        <v>75.8</v>
      </c>
      <c r="R2319">
        <v>1633802</v>
      </c>
    </row>
    <row r="2320" spans="1:18" x14ac:dyDescent="0.25">
      <c r="A2320" s="170">
        <v>45422</v>
      </c>
      <c r="B2320" s="116">
        <v>76.8</v>
      </c>
      <c r="C2320" s="116">
        <v>75.86</v>
      </c>
      <c r="D2320" s="116">
        <v>74.69</v>
      </c>
      <c r="E2320" s="116">
        <v>76.11</v>
      </c>
      <c r="F2320" s="116">
        <v>75.86</v>
      </c>
      <c r="G2320">
        <v>418886</v>
      </c>
      <c r="H2320" s="116"/>
      <c r="I2320" s="116"/>
      <c r="L2320" s="170">
        <v>45422</v>
      </c>
      <c r="M2320" s="116">
        <v>75.900000000000006</v>
      </c>
      <c r="N2320" s="116">
        <v>76.45</v>
      </c>
      <c r="O2320" s="116">
        <v>74.650000000000006</v>
      </c>
      <c r="P2320" s="116">
        <v>76.25</v>
      </c>
      <c r="Q2320" s="116">
        <v>75.900000000000006</v>
      </c>
      <c r="R2320">
        <v>1759429</v>
      </c>
    </row>
    <row r="2321" spans="1:18" x14ac:dyDescent="0.25">
      <c r="A2321" s="170">
        <v>45425</v>
      </c>
      <c r="B2321" s="116">
        <v>76.069999999999993</v>
      </c>
      <c r="C2321" s="116">
        <v>75.2</v>
      </c>
      <c r="D2321" s="116">
        <v>74.19</v>
      </c>
      <c r="E2321" s="116">
        <v>75.790000000000006</v>
      </c>
      <c r="F2321" s="116">
        <v>75.2</v>
      </c>
      <c r="G2321">
        <v>212279</v>
      </c>
      <c r="H2321" s="116"/>
      <c r="I2321" s="116"/>
      <c r="L2321" s="170">
        <v>45425</v>
      </c>
      <c r="M2321" s="116">
        <v>75.150000000000006</v>
      </c>
      <c r="N2321" s="116">
        <v>76.05</v>
      </c>
      <c r="O2321" s="116">
        <v>74.150000000000006</v>
      </c>
      <c r="P2321" s="116">
        <v>75.650000000000006</v>
      </c>
      <c r="Q2321" s="116">
        <v>75.150000000000006</v>
      </c>
      <c r="R2321">
        <v>1861689</v>
      </c>
    </row>
    <row r="2322" spans="1:18" x14ac:dyDescent="0.25">
      <c r="A2322" s="170">
        <v>45426</v>
      </c>
      <c r="B2322" s="116">
        <v>78.25</v>
      </c>
      <c r="C2322" s="116">
        <v>77.73</v>
      </c>
      <c r="D2322" s="116">
        <v>75.209999999999994</v>
      </c>
      <c r="E2322" s="116">
        <v>75.989999999999995</v>
      </c>
      <c r="F2322" s="116">
        <v>77.73</v>
      </c>
      <c r="G2322">
        <v>516059</v>
      </c>
      <c r="H2322" s="116"/>
      <c r="I2322" s="116"/>
      <c r="L2322" s="170">
        <v>45426</v>
      </c>
      <c r="M2322" s="116">
        <v>77.75</v>
      </c>
      <c r="N2322" s="116">
        <v>78.2</v>
      </c>
      <c r="O2322" s="116">
        <v>75.3</v>
      </c>
      <c r="P2322" s="116">
        <v>75.400000000000006</v>
      </c>
      <c r="Q2322" s="116">
        <v>77.75</v>
      </c>
      <c r="R2322">
        <v>2403944</v>
      </c>
    </row>
    <row r="2323" spans="1:18" x14ac:dyDescent="0.25">
      <c r="A2323" s="170">
        <v>45427</v>
      </c>
      <c r="B2323" s="116">
        <v>79.599999999999994</v>
      </c>
      <c r="C2323" s="116">
        <v>77.67</v>
      </c>
      <c r="D2323" s="116">
        <v>77.3</v>
      </c>
      <c r="E2323" s="116">
        <v>78.650000000000006</v>
      </c>
      <c r="F2323" s="116">
        <v>77.67</v>
      </c>
      <c r="G2323">
        <v>231504</v>
      </c>
      <c r="H2323" s="116"/>
      <c r="I2323" s="116"/>
      <c r="L2323" s="170">
        <v>45427</v>
      </c>
      <c r="M2323" s="116">
        <v>77.650000000000006</v>
      </c>
      <c r="N2323" s="116">
        <v>79.7</v>
      </c>
      <c r="O2323" s="116">
        <v>77.3</v>
      </c>
      <c r="P2323" s="116">
        <v>78</v>
      </c>
      <c r="Q2323" s="116">
        <v>77.650000000000006</v>
      </c>
      <c r="R2323">
        <v>2037109</v>
      </c>
    </row>
    <row r="2324" spans="1:18" x14ac:dyDescent="0.25">
      <c r="A2324" s="170">
        <v>45428</v>
      </c>
      <c r="B2324" s="116">
        <v>78.5</v>
      </c>
      <c r="C2324" s="116">
        <v>76.86</v>
      </c>
      <c r="D2324" s="116">
        <v>76.5</v>
      </c>
      <c r="E2324" s="116">
        <v>78.209999999999994</v>
      </c>
      <c r="F2324" s="116">
        <v>76.86</v>
      </c>
      <c r="G2324">
        <v>333441</v>
      </c>
      <c r="H2324" s="116"/>
      <c r="I2324" s="116"/>
      <c r="L2324" s="170">
        <v>45428</v>
      </c>
      <c r="M2324" s="116">
        <v>76.849999999999994</v>
      </c>
      <c r="N2324" s="116">
        <v>78.599999999999994</v>
      </c>
      <c r="O2324" s="116">
        <v>76.400000000000006</v>
      </c>
      <c r="P2324" s="116">
        <v>78.2</v>
      </c>
      <c r="Q2324" s="116">
        <v>76.849999999999994</v>
      </c>
      <c r="R2324">
        <v>1492645</v>
      </c>
    </row>
    <row r="2325" spans="1:18" x14ac:dyDescent="0.25">
      <c r="A2325" s="170">
        <v>45429</v>
      </c>
      <c r="B2325" s="116">
        <v>79.38</v>
      </c>
      <c r="C2325" s="116">
        <v>77.8</v>
      </c>
      <c r="D2325" s="116">
        <v>76.87</v>
      </c>
      <c r="E2325" s="116">
        <v>76.87</v>
      </c>
      <c r="F2325" s="116">
        <v>77.8</v>
      </c>
      <c r="G2325">
        <v>390738</v>
      </c>
      <c r="H2325" s="116"/>
      <c r="I2325" s="116"/>
      <c r="L2325" s="170">
        <v>45429</v>
      </c>
      <c r="M2325" s="116">
        <v>77.8</v>
      </c>
      <c r="N2325" s="116">
        <v>79.400000000000006</v>
      </c>
      <c r="O2325" s="116">
        <v>77</v>
      </c>
      <c r="P2325" s="116">
        <v>77</v>
      </c>
      <c r="Q2325" s="116">
        <v>77.8</v>
      </c>
      <c r="R2325">
        <v>1794404</v>
      </c>
    </row>
    <row r="2326" spans="1:18" x14ac:dyDescent="0.25">
      <c r="A2326" s="170">
        <v>45430</v>
      </c>
      <c r="B2326" s="116">
        <v>78.47</v>
      </c>
      <c r="C2326" s="116">
        <v>77.66</v>
      </c>
      <c r="D2326" s="116">
        <v>77.349999999999994</v>
      </c>
      <c r="E2326" s="116">
        <v>78.47</v>
      </c>
      <c r="F2326" s="116">
        <v>77.66</v>
      </c>
      <c r="G2326">
        <v>104074</v>
      </c>
      <c r="H2326" s="116"/>
      <c r="I2326" s="116"/>
      <c r="L2326" s="170">
        <v>45430</v>
      </c>
      <c r="M2326" s="116">
        <v>77.7</v>
      </c>
      <c r="N2326" s="116">
        <v>78.3</v>
      </c>
      <c r="O2326" s="116">
        <v>77.150000000000006</v>
      </c>
      <c r="P2326" s="116">
        <v>78</v>
      </c>
      <c r="Q2326" s="116">
        <v>77.7</v>
      </c>
      <c r="R2326">
        <v>402693</v>
      </c>
    </row>
    <row r="2327" spans="1:18" x14ac:dyDescent="0.25">
      <c r="A2327" s="170">
        <v>45433</v>
      </c>
      <c r="B2327" s="116">
        <v>78.63</v>
      </c>
      <c r="C2327" s="116">
        <v>77.34</v>
      </c>
      <c r="D2327" s="116">
        <v>77</v>
      </c>
      <c r="E2327" s="116">
        <v>77.66</v>
      </c>
      <c r="F2327" s="116">
        <v>77.34</v>
      </c>
      <c r="G2327">
        <v>233822</v>
      </c>
      <c r="H2327" s="116"/>
      <c r="I2327" s="116"/>
      <c r="L2327" s="170">
        <v>45433</v>
      </c>
      <c r="M2327" s="116">
        <v>77.349999999999994</v>
      </c>
      <c r="N2327" s="116">
        <v>78.599999999999994</v>
      </c>
      <c r="O2327" s="116">
        <v>77</v>
      </c>
      <c r="P2327" s="116">
        <v>77.7</v>
      </c>
      <c r="Q2327" s="116">
        <v>77.349999999999994</v>
      </c>
      <c r="R2327">
        <v>1971794</v>
      </c>
    </row>
    <row r="2328" spans="1:18" x14ac:dyDescent="0.25">
      <c r="A2328" s="170">
        <v>45434</v>
      </c>
      <c r="B2328" s="116">
        <v>78.17</v>
      </c>
      <c r="C2328" s="116">
        <v>76.63</v>
      </c>
      <c r="D2328" s="116">
        <v>76.5</v>
      </c>
      <c r="E2328" s="116">
        <v>77.540000000000006</v>
      </c>
      <c r="F2328" s="116">
        <v>76.63</v>
      </c>
      <c r="G2328">
        <v>205202</v>
      </c>
      <c r="H2328" s="116"/>
      <c r="I2328" s="116"/>
      <c r="L2328" s="170">
        <v>45434</v>
      </c>
      <c r="M2328" s="116">
        <v>76.7</v>
      </c>
      <c r="N2328" s="116">
        <v>78.150000000000006</v>
      </c>
      <c r="O2328" s="116">
        <v>76.45</v>
      </c>
      <c r="P2328" s="116">
        <v>77.400000000000006</v>
      </c>
      <c r="Q2328" s="116">
        <v>76.7</v>
      </c>
      <c r="R2328">
        <v>1702718</v>
      </c>
    </row>
    <row r="2329" spans="1:18" x14ac:dyDescent="0.25">
      <c r="A2329" s="170">
        <v>45435</v>
      </c>
      <c r="B2329" s="116">
        <v>78.28</v>
      </c>
      <c r="C2329" s="116">
        <v>77.06</v>
      </c>
      <c r="D2329" s="116">
        <v>76.62</v>
      </c>
      <c r="E2329" s="116">
        <v>76.73</v>
      </c>
      <c r="F2329" s="116">
        <v>77.06</v>
      </c>
      <c r="G2329">
        <v>183099</v>
      </c>
      <c r="H2329" s="116"/>
      <c r="I2329" s="116"/>
      <c r="L2329" s="170">
        <v>45435</v>
      </c>
      <c r="M2329" s="116">
        <v>77</v>
      </c>
      <c r="N2329" s="116">
        <v>78.349999999999994</v>
      </c>
      <c r="O2329" s="116">
        <v>76.5</v>
      </c>
      <c r="P2329" s="116">
        <v>76.900000000000006</v>
      </c>
      <c r="Q2329" s="116">
        <v>77</v>
      </c>
      <c r="R2329">
        <v>1934661</v>
      </c>
    </row>
    <row r="2330" spans="1:18" x14ac:dyDescent="0.25">
      <c r="A2330" s="170">
        <v>45436</v>
      </c>
      <c r="B2330" s="116">
        <v>78.489999999999995</v>
      </c>
      <c r="C2330" s="116">
        <v>76.680000000000007</v>
      </c>
      <c r="D2330" s="116">
        <v>76.010000000000005</v>
      </c>
      <c r="E2330" s="116">
        <v>77.48</v>
      </c>
      <c r="F2330" s="116">
        <v>76.680000000000007</v>
      </c>
      <c r="G2330">
        <v>583288</v>
      </c>
      <c r="H2330" s="116"/>
      <c r="I2330" s="116"/>
      <c r="L2330" s="170">
        <v>45436</v>
      </c>
      <c r="M2330" s="116">
        <v>76.849999999999994</v>
      </c>
      <c r="N2330" s="116">
        <v>78.400000000000006</v>
      </c>
      <c r="O2330" s="116">
        <v>76.599999999999994</v>
      </c>
      <c r="P2330" s="116">
        <v>77.400000000000006</v>
      </c>
      <c r="Q2330" s="116">
        <v>76.849999999999994</v>
      </c>
      <c r="R2330">
        <v>2529474</v>
      </c>
    </row>
    <row r="2331" spans="1:18" x14ac:dyDescent="0.25">
      <c r="A2331" s="170">
        <v>45439</v>
      </c>
      <c r="B2331" s="116">
        <v>77.64</v>
      </c>
      <c r="C2331" s="116">
        <v>76.16</v>
      </c>
      <c r="D2331" s="116">
        <v>76.02</v>
      </c>
      <c r="E2331" s="116">
        <v>77.010000000000005</v>
      </c>
      <c r="F2331" s="116">
        <v>76.16</v>
      </c>
      <c r="G2331">
        <v>223231</v>
      </c>
      <c r="H2331" s="116"/>
      <c r="I2331" s="116"/>
      <c r="L2331" s="170">
        <v>45439</v>
      </c>
      <c r="M2331" s="116">
        <v>76.099999999999994</v>
      </c>
      <c r="N2331" s="116">
        <v>77.650000000000006</v>
      </c>
      <c r="O2331" s="116">
        <v>76</v>
      </c>
      <c r="P2331" s="116">
        <v>77.150000000000006</v>
      </c>
      <c r="Q2331" s="116">
        <v>76.099999999999994</v>
      </c>
      <c r="R2331">
        <v>1970445</v>
      </c>
    </row>
    <row r="2332" spans="1:18" x14ac:dyDescent="0.25">
      <c r="A2332" s="170">
        <v>45440</v>
      </c>
      <c r="B2332" s="116">
        <v>76.97</v>
      </c>
      <c r="C2332" s="116">
        <v>75.14</v>
      </c>
      <c r="D2332" s="116">
        <v>75</v>
      </c>
      <c r="E2332" s="116">
        <v>76.16</v>
      </c>
      <c r="F2332" s="116">
        <v>75.14</v>
      </c>
      <c r="G2332">
        <v>543642</v>
      </c>
      <c r="H2332" s="116"/>
      <c r="I2332" s="116"/>
      <c r="L2332" s="170">
        <v>45440</v>
      </c>
      <c r="M2332" s="116">
        <v>75.150000000000006</v>
      </c>
      <c r="N2332" s="116">
        <v>77</v>
      </c>
      <c r="O2332" s="116">
        <v>75.05</v>
      </c>
      <c r="P2332" s="116">
        <v>76.099999999999994</v>
      </c>
      <c r="Q2332" s="116">
        <v>75.150000000000006</v>
      </c>
      <c r="R2332">
        <v>1549006</v>
      </c>
    </row>
    <row r="2333" spans="1:18" x14ac:dyDescent="0.25">
      <c r="A2333" s="170">
        <v>45441</v>
      </c>
      <c r="B2333" s="116">
        <v>75.78</v>
      </c>
      <c r="C2333" s="116">
        <v>74.62</v>
      </c>
      <c r="D2333" s="116">
        <v>74.489999999999995</v>
      </c>
      <c r="E2333" s="116">
        <v>75.45</v>
      </c>
      <c r="F2333" s="116">
        <v>74.62</v>
      </c>
      <c r="G2333">
        <v>271713</v>
      </c>
      <c r="H2333" s="116"/>
      <c r="I2333" s="116"/>
      <c r="L2333" s="170">
        <v>45441</v>
      </c>
      <c r="M2333" s="116">
        <v>74.650000000000006</v>
      </c>
      <c r="N2333" s="116">
        <v>75.8</v>
      </c>
      <c r="O2333" s="116">
        <v>74.5</v>
      </c>
      <c r="P2333" s="116">
        <v>74.900000000000006</v>
      </c>
      <c r="Q2333" s="116">
        <v>74.650000000000006</v>
      </c>
      <c r="R2333">
        <v>1690622</v>
      </c>
    </row>
    <row r="2334" spans="1:18" x14ac:dyDescent="0.25">
      <c r="A2334" s="170">
        <v>45442</v>
      </c>
      <c r="B2334" s="116">
        <v>75.010000000000005</v>
      </c>
      <c r="C2334" s="116">
        <v>73.89</v>
      </c>
      <c r="D2334" s="116">
        <v>73.569999999999993</v>
      </c>
      <c r="E2334" s="116">
        <v>74.95</v>
      </c>
      <c r="F2334" s="116">
        <v>73.89</v>
      </c>
      <c r="G2334">
        <v>205970</v>
      </c>
      <c r="H2334" s="116"/>
      <c r="I2334" s="116"/>
      <c r="L2334" s="170">
        <v>45442</v>
      </c>
      <c r="M2334" s="116">
        <v>73.900000000000006</v>
      </c>
      <c r="N2334" s="116">
        <v>75.150000000000006</v>
      </c>
      <c r="O2334" s="116">
        <v>73.55</v>
      </c>
      <c r="P2334" s="116">
        <v>74.599999999999994</v>
      </c>
      <c r="Q2334" s="116">
        <v>73.900000000000006</v>
      </c>
      <c r="R2334">
        <v>1651208</v>
      </c>
    </row>
    <row r="2335" spans="1:18" x14ac:dyDescent="0.25">
      <c r="A2335" s="170">
        <v>45443</v>
      </c>
      <c r="B2335" s="116">
        <v>74.91</v>
      </c>
      <c r="C2335" s="116">
        <v>74.58</v>
      </c>
      <c r="D2335" s="116">
        <v>73.22</v>
      </c>
      <c r="E2335" s="116">
        <v>74.37</v>
      </c>
      <c r="F2335" s="116">
        <v>74.58</v>
      </c>
      <c r="G2335">
        <v>181363</v>
      </c>
      <c r="H2335" s="116"/>
      <c r="I2335" s="116"/>
      <c r="L2335" s="170">
        <v>45443</v>
      </c>
      <c r="M2335" s="116">
        <v>74.599999999999994</v>
      </c>
      <c r="N2335" s="116">
        <v>74.95</v>
      </c>
      <c r="O2335" s="116">
        <v>73.2</v>
      </c>
      <c r="P2335" s="116">
        <v>74.45</v>
      </c>
      <c r="Q2335" s="116">
        <v>74.599999999999994</v>
      </c>
      <c r="R2335">
        <v>2010842</v>
      </c>
    </row>
    <row r="2336" spans="1:18" x14ac:dyDescent="0.25">
      <c r="A2336" s="170">
        <v>45446</v>
      </c>
      <c r="B2336" s="116">
        <v>77.459999999999994</v>
      </c>
      <c r="C2336" s="116">
        <v>75.17</v>
      </c>
      <c r="D2336" s="116">
        <v>74.8</v>
      </c>
      <c r="E2336" s="116">
        <v>76.209999999999994</v>
      </c>
      <c r="F2336" s="116">
        <v>75.17</v>
      </c>
      <c r="G2336">
        <v>237664</v>
      </c>
      <c r="H2336" s="116"/>
      <c r="I2336" s="116"/>
      <c r="L2336" s="170">
        <v>45446</v>
      </c>
      <c r="M2336" s="116">
        <v>75.25</v>
      </c>
      <c r="N2336" s="116">
        <v>77.8</v>
      </c>
      <c r="O2336" s="116">
        <v>74.849999999999994</v>
      </c>
      <c r="P2336" s="116">
        <v>76.599999999999994</v>
      </c>
      <c r="Q2336" s="116">
        <v>75.25</v>
      </c>
      <c r="R2336">
        <v>2495060</v>
      </c>
    </row>
    <row r="2337" spans="1:18" x14ac:dyDescent="0.25">
      <c r="A2337" s="170">
        <v>45447</v>
      </c>
      <c r="B2337" s="116">
        <v>75.17</v>
      </c>
      <c r="C2337" s="116">
        <v>68.790000000000006</v>
      </c>
      <c r="D2337" s="116">
        <v>65.290000000000006</v>
      </c>
      <c r="E2337" s="116">
        <v>75.17</v>
      </c>
      <c r="F2337" s="116">
        <v>68.790000000000006</v>
      </c>
      <c r="G2337">
        <v>503031</v>
      </c>
      <c r="H2337" s="116"/>
      <c r="I2337" s="116"/>
      <c r="L2337" s="170">
        <v>45447</v>
      </c>
      <c r="M2337" s="116">
        <v>68.75</v>
      </c>
      <c r="N2337" s="116">
        <v>75.25</v>
      </c>
      <c r="O2337" s="116">
        <v>65.05</v>
      </c>
      <c r="P2337" s="116">
        <v>75.05</v>
      </c>
      <c r="Q2337" s="116">
        <v>68.75</v>
      </c>
      <c r="R2337">
        <v>5006990</v>
      </c>
    </row>
    <row r="2338" spans="1:18" x14ac:dyDescent="0.25">
      <c r="A2338" s="170">
        <v>45448</v>
      </c>
      <c r="B2338" s="116">
        <v>72.64</v>
      </c>
      <c r="C2338" s="116">
        <v>71.53</v>
      </c>
      <c r="D2338" s="116">
        <v>68.349999999999994</v>
      </c>
      <c r="E2338" s="116">
        <v>70.180000000000007</v>
      </c>
      <c r="F2338" s="116">
        <v>71.53</v>
      </c>
      <c r="G2338">
        <v>659465</v>
      </c>
      <c r="H2338" s="116"/>
      <c r="I2338" s="116"/>
      <c r="L2338" s="170">
        <v>45448</v>
      </c>
      <c r="M2338" s="116">
        <v>71.5</v>
      </c>
      <c r="N2338" s="116">
        <v>72.599999999999994</v>
      </c>
      <c r="O2338" s="116">
        <v>68.400000000000006</v>
      </c>
      <c r="P2338" s="116">
        <v>70.75</v>
      </c>
      <c r="Q2338" s="116">
        <v>71.5</v>
      </c>
      <c r="R2338">
        <v>2511529</v>
      </c>
    </row>
    <row r="2339" spans="1:18" x14ac:dyDescent="0.25">
      <c r="A2339" s="170">
        <v>45449</v>
      </c>
      <c r="B2339" s="116">
        <v>74.900000000000006</v>
      </c>
      <c r="C2339" s="116">
        <v>74.31</v>
      </c>
      <c r="D2339" s="116">
        <v>72.069999999999993</v>
      </c>
      <c r="E2339" s="116">
        <v>72.900000000000006</v>
      </c>
      <c r="F2339" s="116">
        <v>74.31</v>
      </c>
      <c r="G2339">
        <v>432869</v>
      </c>
      <c r="H2339" s="116"/>
      <c r="I2339" s="116"/>
      <c r="L2339" s="170">
        <v>45449</v>
      </c>
      <c r="M2339" s="116">
        <v>74.349999999999994</v>
      </c>
      <c r="N2339" s="116">
        <v>75</v>
      </c>
      <c r="O2339" s="116">
        <v>72.05</v>
      </c>
      <c r="P2339" s="116">
        <v>72.099999999999994</v>
      </c>
      <c r="Q2339" s="116">
        <v>74.349999999999994</v>
      </c>
      <c r="R2339">
        <v>1860325</v>
      </c>
    </row>
    <row r="2340" spans="1:18" x14ac:dyDescent="0.25">
      <c r="A2340" s="170">
        <v>45450</v>
      </c>
      <c r="B2340" s="116">
        <v>75.63</v>
      </c>
      <c r="C2340" s="116">
        <v>74.709999999999994</v>
      </c>
      <c r="D2340" s="116">
        <v>73.63</v>
      </c>
      <c r="E2340" s="116">
        <v>75.63</v>
      </c>
      <c r="F2340" s="116">
        <v>74.709999999999994</v>
      </c>
      <c r="G2340">
        <v>194865</v>
      </c>
      <c r="H2340" s="116"/>
      <c r="I2340" s="116"/>
      <c r="L2340" s="170">
        <v>45450</v>
      </c>
      <c r="M2340" s="116">
        <v>74.650000000000006</v>
      </c>
      <c r="N2340" s="116">
        <v>75.400000000000006</v>
      </c>
      <c r="O2340" s="116">
        <v>73.599999999999994</v>
      </c>
      <c r="P2340" s="116">
        <v>74.849999999999994</v>
      </c>
      <c r="Q2340" s="116">
        <v>74.650000000000006</v>
      </c>
      <c r="R2340">
        <v>1814188</v>
      </c>
    </row>
    <row r="2341" spans="1:18" x14ac:dyDescent="0.25">
      <c r="A2341" s="170">
        <v>45453</v>
      </c>
      <c r="B2341" s="116">
        <v>76.09</v>
      </c>
      <c r="C2341" s="116">
        <v>74.489999999999995</v>
      </c>
      <c r="D2341" s="116">
        <v>74.209999999999994</v>
      </c>
      <c r="E2341" s="116">
        <v>75.930000000000007</v>
      </c>
      <c r="F2341" s="116">
        <v>74.489999999999995</v>
      </c>
      <c r="G2341">
        <v>467298</v>
      </c>
      <c r="H2341" s="116"/>
      <c r="I2341" s="116"/>
      <c r="L2341" s="170">
        <v>45453</v>
      </c>
      <c r="M2341" s="116">
        <v>74.489999999999995</v>
      </c>
      <c r="N2341" s="116">
        <v>76.099999999999994</v>
      </c>
      <c r="O2341" s="116">
        <v>74.2</v>
      </c>
      <c r="P2341" s="116">
        <v>75</v>
      </c>
      <c r="Q2341" s="116">
        <v>74.489999999999995</v>
      </c>
      <c r="R2341">
        <v>2216538</v>
      </c>
    </row>
    <row r="2342" spans="1:18" x14ac:dyDescent="0.25">
      <c r="A2342" s="170">
        <v>45454</v>
      </c>
      <c r="B2342" s="116">
        <v>77.78</v>
      </c>
      <c r="C2342" s="116">
        <v>76.239999999999995</v>
      </c>
      <c r="D2342" s="116">
        <v>74.38</v>
      </c>
      <c r="E2342" s="116">
        <v>74.94</v>
      </c>
      <c r="F2342" s="116">
        <v>76.239999999999995</v>
      </c>
      <c r="G2342">
        <v>941567</v>
      </c>
      <c r="H2342" s="116"/>
      <c r="I2342" s="116"/>
      <c r="L2342" s="170">
        <v>45454</v>
      </c>
      <c r="M2342" s="116">
        <v>76.25</v>
      </c>
      <c r="N2342" s="116">
        <v>77.78</v>
      </c>
      <c r="O2342" s="116">
        <v>74.36</v>
      </c>
      <c r="P2342" s="116">
        <v>74.599999999999994</v>
      </c>
      <c r="Q2342" s="116">
        <v>76.25</v>
      </c>
      <c r="R2342">
        <v>6116646</v>
      </c>
    </row>
    <row r="2343" spans="1:18" x14ac:dyDescent="0.25">
      <c r="A2343" s="170">
        <v>45455</v>
      </c>
      <c r="B2343" s="116">
        <v>82.58</v>
      </c>
      <c r="C2343" s="116">
        <v>81.14</v>
      </c>
      <c r="D2343" s="116">
        <v>76.260000000000005</v>
      </c>
      <c r="E2343" s="116">
        <v>76.63</v>
      </c>
      <c r="F2343" s="116">
        <v>81.14</v>
      </c>
      <c r="G2343">
        <v>1593076</v>
      </c>
      <c r="H2343" s="116"/>
      <c r="I2343" s="116"/>
      <c r="L2343" s="170">
        <v>45455</v>
      </c>
      <c r="M2343" s="116">
        <v>80.959999999999994</v>
      </c>
      <c r="N2343" s="116">
        <v>82.5</v>
      </c>
      <c r="O2343" s="116">
        <v>76.25</v>
      </c>
      <c r="P2343" s="116">
        <v>76.540000000000006</v>
      </c>
      <c r="Q2343" s="116">
        <v>80.959999999999994</v>
      </c>
      <c r="R2343">
        <v>26480372</v>
      </c>
    </row>
    <row r="2344" spans="1:18" x14ac:dyDescent="0.25">
      <c r="A2344" s="170">
        <v>45456</v>
      </c>
      <c r="B2344" s="116">
        <v>81.8</v>
      </c>
      <c r="C2344" s="116">
        <v>80.05</v>
      </c>
      <c r="D2344" s="116">
        <v>79.52</v>
      </c>
      <c r="E2344" s="116">
        <v>81.69</v>
      </c>
      <c r="F2344" s="116">
        <v>80.05</v>
      </c>
      <c r="G2344">
        <v>751071</v>
      </c>
      <c r="H2344" s="116"/>
      <c r="I2344" s="116"/>
      <c r="L2344" s="170">
        <v>45456</v>
      </c>
      <c r="M2344" s="116">
        <v>80.16</v>
      </c>
      <c r="N2344" s="116">
        <v>81.900000000000006</v>
      </c>
      <c r="O2344" s="116">
        <v>79.540000000000006</v>
      </c>
      <c r="P2344" s="116">
        <v>81.599999999999994</v>
      </c>
      <c r="Q2344" s="116">
        <v>80.16</v>
      </c>
      <c r="R2344">
        <v>4954538</v>
      </c>
    </row>
    <row r="2345" spans="1:18" x14ac:dyDescent="0.25">
      <c r="A2345" s="170">
        <v>45457</v>
      </c>
      <c r="B2345" s="116">
        <v>80.75</v>
      </c>
      <c r="C2345" s="116">
        <v>78.8</v>
      </c>
      <c r="D2345" s="116">
        <v>78.599999999999994</v>
      </c>
      <c r="E2345" s="116">
        <v>80.150000000000006</v>
      </c>
      <c r="F2345" s="116">
        <v>78.8</v>
      </c>
      <c r="G2345">
        <v>306826</v>
      </c>
      <c r="H2345" s="116"/>
      <c r="I2345" s="116"/>
      <c r="L2345" s="170">
        <v>45457</v>
      </c>
      <c r="M2345" s="116">
        <v>78.81</v>
      </c>
      <c r="N2345" s="116">
        <v>80.78</v>
      </c>
      <c r="O2345" s="116">
        <v>78.5</v>
      </c>
      <c r="P2345" s="116">
        <v>80.599999999999994</v>
      </c>
      <c r="Q2345" s="116">
        <v>78.81</v>
      </c>
      <c r="R2345">
        <v>5303491</v>
      </c>
    </row>
    <row r="2346" spans="1:18" x14ac:dyDescent="0.25">
      <c r="A2346" s="170">
        <v>45461</v>
      </c>
      <c r="B2346" s="116">
        <v>79.709999999999994</v>
      </c>
      <c r="C2346" s="116">
        <v>78.489999999999995</v>
      </c>
      <c r="D2346" s="116">
        <v>78.209999999999994</v>
      </c>
      <c r="E2346" s="116">
        <v>78.8</v>
      </c>
      <c r="F2346" s="116">
        <v>78.489999999999995</v>
      </c>
      <c r="G2346">
        <v>256735</v>
      </c>
      <c r="H2346" s="116"/>
      <c r="I2346" s="116"/>
      <c r="L2346" s="170">
        <v>45461</v>
      </c>
      <c r="M2346" s="116">
        <v>78.489999999999995</v>
      </c>
      <c r="N2346" s="116">
        <v>79.75</v>
      </c>
      <c r="O2346" s="116">
        <v>78.22</v>
      </c>
      <c r="P2346" s="116">
        <v>79</v>
      </c>
      <c r="Q2346" s="116">
        <v>78.489999999999995</v>
      </c>
      <c r="R2346">
        <v>3106680</v>
      </c>
    </row>
    <row r="2347" spans="1:18" x14ac:dyDescent="0.25">
      <c r="A2347" s="170">
        <v>45462</v>
      </c>
      <c r="B2347" s="116">
        <v>79.56</v>
      </c>
      <c r="C2347" s="116">
        <v>77.400000000000006</v>
      </c>
      <c r="D2347" s="116">
        <v>76.760000000000005</v>
      </c>
      <c r="E2347" s="116">
        <v>78.8</v>
      </c>
      <c r="F2347" s="116">
        <v>77.400000000000006</v>
      </c>
      <c r="G2347">
        <v>468892</v>
      </c>
      <c r="H2347" s="116"/>
      <c r="I2347" s="116"/>
      <c r="L2347" s="170">
        <v>45462</v>
      </c>
      <c r="M2347" s="116">
        <v>77.56</v>
      </c>
      <c r="N2347" s="116">
        <v>79.400000000000006</v>
      </c>
      <c r="O2347" s="116">
        <v>76.8</v>
      </c>
      <c r="P2347" s="116">
        <v>78.900000000000006</v>
      </c>
      <c r="Q2347" s="116">
        <v>77.56</v>
      </c>
      <c r="R2347">
        <v>3681695</v>
      </c>
    </row>
    <row r="2348" spans="1:18" x14ac:dyDescent="0.25">
      <c r="A2348" s="170">
        <v>45463</v>
      </c>
      <c r="B2348" s="116">
        <v>81.180000000000007</v>
      </c>
      <c r="C2348" s="116">
        <v>79.900000000000006</v>
      </c>
      <c r="D2348" s="116">
        <v>76.849999999999994</v>
      </c>
      <c r="E2348" s="116">
        <v>76.900000000000006</v>
      </c>
      <c r="F2348" s="116">
        <v>79.900000000000006</v>
      </c>
      <c r="G2348">
        <v>728324</v>
      </c>
      <c r="H2348" s="116"/>
      <c r="I2348" s="116"/>
      <c r="L2348" s="170">
        <v>45463</v>
      </c>
      <c r="M2348" s="116">
        <v>79.959999999999994</v>
      </c>
      <c r="N2348" s="116">
        <v>81.2</v>
      </c>
      <c r="O2348" s="116">
        <v>76.81</v>
      </c>
      <c r="P2348" s="116">
        <v>77</v>
      </c>
      <c r="Q2348" s="116">
        <v>79.959999999999994</v>
      </c>
      <c r="R2348">
        <v>7800730</v>
      </c>
    </row>
    <row r="2349" spans="1:18" x14ac:dyDescent="0.25">
      <c r="A2349" s="170">
        <v>45464</v>
      </c>
      <c r="B2349" s="116">
        <v>80.67</v>
      </c>
      <c r="C2349" s="116">
        <v>78.430000000000007</v>
      </c>
      <c r="D2349" s="116">
        <v>78.099999999999994</v>
      </c>
      <c r="E2349" s="116">
        <v>80.67</v>
      </c>
      <c r="F2349" s="116">
        <v>78.430000000000007</v>
      </c>
      <c r="G2349">
        <v>280695</v>
      </c>
      <c r="H2349" s="116"/>
      <c r="I2349" s="116"/>
      <c r="L2349" s="170">
        <v>45464</v>
      </c>
      <c r="M2349" s="116">
        <v>78.47</v>
      </c>
      <c r="N2349" s="116">
        <v>80.45</v>
      </c>
      <c r="O2349" s="116">
        <v>78.040000000000006</v>
      </c>
      <c r="P2349" s="116">
        <v>80.2</v>
      </c>
      <c r="Q2349" s="116">
        <v>78.47</v>
      </c>
      <c r="R2349">
        <v>2935783</v>
      </c>
    </row>
    <row r="2350" spans="1:18" x14ac:dyDescent="0.25">
      <c r="A2350" s="170">
        <v>45467</v>
      </c>
      <c r="B2350" s="116">
        <v>79.150000000000006</v>
      </c>
      <c r="C2350" s="116">
        <v>77.38</v>
      </c>
      <c r="D2350" s="116">
        <v>77.010000000000005</v>
      </c>
      <c r="E2350" s="116">
        <v>77.52</v>
      </c>
      <c r="F2350" s="116">
        <v>77.38</v>
      </c>
      <c r="G2350">
        <v>331107</v>
      </c>
      <c r="H2350" s="116"/>
      <c r="I2350" s="116"/>
      <c r="L2350" s="170">
        <v>45467</v>
      </c>
      <c r="M2350" s="116">
        <v>77.38</v>
      </c>
      <c r="N2350" s="116">
        <v>79.37</v>
      </c>
      <c r="O2350" s="116">
        <v>77.05</v>
      </c>
      <c r="P2350" s="116">
        <v>78</v>
      </c>
      <c r="Q2350" s="116">
        <v>77.38</v>
      </c>
      <c r="R2350">
        <v>2719696</v>
      </c>
    </row>
    <row r="2351" spans="1:18" x14ac:dyDescent="0.25">
      <c r="A2351" s="170">
        <v>45468</v>
      </c>
      <c r="B2351" s="116">
        <v>79.36</v>
      </c>
      <c r="C2351" s="116">
        <v>77.37</v>
      </c>
      <c r="D2351" s="116">
        <v>77.209999999999994</v>
      </c>
      <c r="E2351" s="116">
        <v>77.98</v>
      </c>
      <c r="F2351" s="116">
        <v>77.37</v>
      </c>
      <c r="G2351">
        <v>442798</v>
      </c>
      <c r="H2351" s="116"/>
      <c r="I2351" s="116"/>
      <c r="L2351" s="170">
        <v>45468</v>
      </c>
      <c r="M2351" s="116">
        <v>77.42</v>
      </c>
      <c r="N2351" s="116">
        <v>79.39</v>
      </c>
      <c r="O2351" s="116">
        <v>77.23</v>
      </c>
      <c r="P2351" s="116">
        <v>77.8</v>
      </c>
      <c r="Q2351" s="116">
        <v>77.42</v>
      </c>
      <c r="R2351">
        <v>2791076</v>
      </c>
    </row>
    <row r="2352" spans="1:18" x14ac:dyDescent="0.25">
      <c r="A2352" s="170">
        <v>45469</v>
      </c>
      <c r="B2352" s="116">
        <v>82.32</v>
      </c>
      <c r="C2352" s="116">
        <v>80.72</v>
      </c>
      <c r="D2352" s="116">
        <v>77</v>
      </c>
      <c r="E2352" s="116">
        <v>77.8</v>
      </c>
      <c r="F2352" s="116">
        <v>80.72</v>
      </c>
      <c r="G2352">
        <v>1041520</v>
      </c>
      <c r="H2352" s="116"/>
      <c r="I2352" s="116"/>
      <c r="L2352" s="170">
        <v>45469</v>
      </c>
      <c r="M2352" s="116">
        <v>80.709999999999994</v>
      </c>
      <c r="N2352" s="116">
        <v>82.34</v>
      </c>
      <c r="O2352" s="116">
        <v>76.930000000000007</v>
      </c>
      <c r="P2352" s="116">
        <v>77.42</v>
      </c>
      <c r="Q2352" s="116">
        <v>80.709999999999994</v>
      </c>
      <c r="R2352">
        <v>11375267</v>
      </c>
    </row>
    <row r="2353" spans="1:18" x14ac:dyDescent="0.25">
      <c r="A2353" s="170">
        <v>45470</v>
      </c>
      <c r="B2353" s="116">
        <v>81.27</v>
      </c>
      <c r="C2353" s="116">
        <v>78.150000000000006</v>
      </c>
      <c r="D2353" s="116">
        <v>77.48</v>
      </c>
      <c r="E2353" s="116">
        <v>81.010000000000005</v>
      </c>
      <c r="F2353" s="116">
        <v>78.150000000000006</v>
      </c>
      <c r="G2353">
        <v>733470</v>
      </c>
      <c r="H2353" s="116"/>
      <c r="I2353" s="116"/>
      <c r="L2353" s="170">
        <v>45470</v>
      </c>
      <c r="M2353" s="116">
        <v>78.13</v>
      </c>
      <c r="N2353" s="116">
        <v>81.25</v>
      </c>
      <c r="O2353" s="116">
        <v>77.45</v>
      </c>
      <c r="P2353" s="116">
        <v>81.239999999999995</v>
      </c>
      <c r="Q2353" s="116">
        <v>78.13</v>
      </c>
      <c r="R2353">
        <v>5949288</v>
      </c>
    </row>
    <row r="2354" spans="1:18" x14ac:dyDescent="0.25">
      <c r="A2354" s="170">
        <v>45471</v>
      </c>
      <c r="B2354" s="116">
        <v>79.28</v>
      </c>
      <c r="C2354" s="116">
        <v>77.73</v>
      </c>
      <c r="D2354" s="116">
        <v>77.53</v>
      </c>
      <c r="E2354" s="116">
        <v>78.819999999999993</v>
      </c>
      <c r="F2354" s="116">
        <v>77.73</v>
      </c>
      <c r="G2354">
        <v>475421</v>
      </c>
      <c r="H2354" s="116"/>
      <c r="I2354" s="116"/>
      <c r="L2354" s="170">
        <v>45471</v>
      </c>
      <c r="M2354" s="116">
        <v>77.73</v>
      </c>
      <c r="N2354" s="116">
        <v>79.3</v>
      </c>
      <c r="O2354" s="116">
        <v>77.52</v>
      </c>
      <c r="P2354" s="116">
        <v>78.75</v>
      </c>
      <c r="Q2354" s="116">
        <v>77.73</v>
      </c>
      <c r="R2354">
        <v>3802616</v>
      </c>
    </row>
    <row r="2355" spans="1:18" x14ac:dyDescent="0.25">
      <c r="A2355" s="170">
        <v>45474</v>
      </c>
      <c r="B2355" s="116">
        <v>79.11</v>
      </c>
      <c r="C2355" s="116">
        <v>77.91</v>
      </c>
      <c r="D2355" s="116">
        <v>77.7</v>
      </c>
      <c r="E2355" s="116">
        <v>79.11</v>
      </c>
      <c r="F2355" s="116">
        <v>77.91</v>
      </c>
      <c r="G2355">
        <v>370691</v>
      </c>
      <c r="H2355" s="116"/>
      <c r="I2355" s="116"/>
      <c r="L2355" s="170">
        <v>45474</v>
      </c>
      <c r="M2355" s="116">
        <v>77.94</v>
      </c>
      <c r="N2355" s="116">
        <v>79</v>
      </c>
      <c r="O2355" s="116">
        <v>77.7</v>
      </c>
      <c r="P2355" s="116">
        <v>79</v>
      </c>
      <c r="Q2355" s="116">
        <v>77.94</v>
      </c>
      <c r="R2355">
        <v>1866014</v>
      </c>
    </row>
    <row r="2356" spans="1:18" x14ac:dyDescent="0.25">
      <c r="A2356" s="170">
        <v>45475</v>
      </c>
      <c r="B2356" s="116">
        <v>78.430000000000007</v>
      </c>
      <c r="C2356" s="116">
        <v>76.680000000000007</v>
      </c>
      <c r="D2356" s="116">
        <v>76.5</v>
      </c>
      <c r="E2356" s="116">
        <v>78.400000000000006</v>
      </c>
      <c r="F2356" s="116">
        <v>76.680000000000007</v>
      </c>
      <c r="G2356">
        <v>282605</v>
      </c>
      <c r="H2356" s="116"/>
      <c r="I2356" s="116"/>
      <c r="L2356" s="170">
        <v>45475</v>
      </c>
      <c r="M2356" s="116">
        <v>76.63</v>
      </c>
      <c r="N2356" s="116">
        <v>78.42</v>
      </c>
      <c r="O2356" s="116">
        <v>76.5</v>
      </c>
      <c r="P2356" s="116">
        <v>78.400000000000006</v>
      </c>
      <c r="Q2356" s="116">
        <v>76.63</v>
      </c>
      <c r="R2356">
        <v>2551111</v>
      </c>
    </row>
    <row r="2357" spans="1:18" x14ac:dyDescent="0.25">
      <c r="A2357" s="170">
        <v>45476</v>
      </c>
      <c r="B2357" s="116">
        <v>77.31</v>
      </c>
      <c r="C2357" s="116">
        <v>76.61</v>
      </c>
      <c r="D2357" s="116">
        <v>76.5</v>
      </c>
      <c r="E2357" s="116">
        <v>77.28</v>
      </c>
      <c r="F2357" s="116">
        <v>76.61</v>
      </c>
      <c r="G2357">
        <v>599738</v>
      </c>
      <c r="H2357" s="116"/>
      <c r="I2357" s="116"/>
      <c r="L2357" s="170">
        <v>45476</v>
      </c>
      <c r="M2357" s="116">
        <v>76.61</v>
      </c>
      <c r="N2357" s="116">
        <v>77.3</v>
      </c>
      <c r="O2357" s="116">
        <v>76.5</v>
      </c>
      <c r="P2357" s="116">
        <v>77.03</v>
      </c>
      <c r="Q2357" s="116">
        <v>76.61</v>
      </c>
      <c r="R2357">
        <v>2274938</v>
      </c>
    </row>
    <row r="2358" spans="1:18" x14ac:dyDescent="0.25">
      <c r="A2358" s="170">
        <v>45477</v>
      </c>
      <c r="B2358" s="116">
        <v>77.91</v>
      </c>
      <c r="C2358" s="116">
        <v>76.760000000000005</v>
      </c>
      <c r="D2358" s="116">
        <v>76.569999999999993</v>
      </c>
      <c r="E2358" s="116">
        <v>76.81</v>
      </c>
      <c r="F2358" s="116">
        <v>76.760000000000005</v>
      </c>
      <c r="G2358">
        <v>445080</v>
      </c>
      <c r="H2358" s="116"/>
      <c r="I2358" s="116"/>
      <c r="L2358" s="170">
        <v>45477</v>
      </c>
      <c r="M2358" s="116">
        <v>76.69</v>
      </c>
      <c r="N2358" s="116">
        <v>77.930000000000007</v>
      </c>
      <c r="O2358" s="116">
        <v>76.5</v>
      </c>
      <c r="P2358" s="116">
        <v>76.91</v>
      </c>
      <c r="Q2358" s="116">
        <v>76.69</v>
      </c>
      <c r="R2358">
        <v>2229593</v>
      </c>
    </row>
    <row r="2359" spans="1:18" x14ac:dyDescent="0.25">
      <c r="A2359" s="170">
        <v>45478</v>
      </c>
      <c r="B2359" s="116">
        <v>77.09</v>
      </c>
      <c r="C2359" s="116">
        <v>76.33</v>
      </c>
      <c r="D2359" s="116">
        <v>76.099999999999994</v>
      </c>
      <c r="E2359" s="116">
        <v>76.760000000000005</v>
      </c>
      <c r="F2359" s="116">
        <v>76.33</v>
      </c>
      <c r="G2359">
        <v>658704</v>
      </c>
      <c r="H2359" s="116"/>
      <c r="I2359" s="116"/>
      <c r="L2359" s="170">
        <v>45478</v>
      </c>
      <c r="M2359" s="116">
        <v>76.28</v>
      </c>
      <c r="N2359" s="116">
        <v>77.099999999999994</v>
      </c>
      <c r="O2359" s="116">
        <v>76.099999999999994</v>
      </c>
      <c r="P2359" s="116">
        <v>76.69</v>
      </c>
      <c r="Q2359" s="116">
        <v>76.28</v>
      </c>
      <c r="R2359">
        <v>2391233</v>
      </c>
    </row>
    <row r="2360" spans="1:18" x14ac:dyDescent="0.25">
      <c r="A2360" s="170">
        <v>45481</v>
      </c>
      <c r="B2360" s="116">
        <v>76.819999999999993</v>
      </c>
      <c r="C2360" s="116">
        <v>75.62</v>
      </c>
      <c r="D2360" s="116">
        <v>75.36</v>
      </c>
      <c r="E2360" s="116">
        <v>76.599999999999994</v>
      </c>
      <c r="F2360" s="116">
        <v>75.62</v>
      </c>
      <c r="G2360">
        <v>584170</v>
      </c>
      <c r="H2360" s="116"/>
      <c r="I2360" s="116"/>
      <c r="L2360" s="170">
        <v>45481</v>
      </c>
      <c r="M2360" s="116">
        <v>75.61</v>
      </c>
      <c r="N2360" s="116">
        <v>76.8</v>
      </c>
      <c r="O2360" s="116">
        <v>75.36</v>
      </c>
      <c r="P2360" s="116">
        <v>76.319999999999993</v>
      </c>
      <c r="Q2360" s="116">
        <v>75.61</v>
      </c>
      <c r="R2360">
        <v>1763158</v>
      </c>
    </row>
    <row r="2361" spans="1:18" x14ac:dyDescent="0.25">
      <c r="A2361" s="170">
        <v>45482</v>
      </c>
      <c r="B2361" s="116">
        <v>77.48</v>
      </c>
      <c r="C2361" s="116">
        <v>75.680000000000007</v>
      </c>
      <c r="D2361" s="116">
        <v>75.45</v>
      </c>
      <c r="E2361" s="116">
        <v>75.510000000000005</v>
      </c>
      <c r="F2361" s="116">
        <v>75.680000000000007</v>
      </c>
      <c r="G2361">
        <v>589632</v>
      </c>
      <c r="H2361" s="116"/>
      <c r="I2361" s="116"/>
      <c r="L2361" s="170">
        <v>45482</v>
      </c>
      <c r="M2361" s="116">
        <v>75.569999999999993</v>
      </c>
      <c r="N2361" s="116">
        <v>77.430000000000007</v>
      </c>
      <c r="O2361" s="116">
        <v>75.400000000000006</v>
      </c>
      <c r="P2361" s="116">
        <v>75.650000000000006</v>
      </c>
      <c r="Q2361" s="116">
        <v>75.569999999999993</v>
      </c>
      <c r="R2361">
        <v>2176837</v>
      </c>
    </row>
    <row r="2362" spans="1:18" x14ac:dyDescent="0.25">
      <c r="A2362" s="170">
        <v>45483</v>
      </c>
      <c r="B2362" s="116">
        <v>76.900000000000006</v>
      </c>
      <c r="C2362" s="116">
        <v>74.900000000000006</v>
      </c>
      <c r="D2362" s="116">
        <v>74.37</v>
      </c>
      <c r="E2362" s="116">
        <v>75.69</v>
      </c>
      <c r="F2362" s="116">
        <v>74.900000000000006</v>
      </c>
      <c r="G2362">
        <v>603396</v>
      </c>
      <c r="H2362" s="116"/>
      <c r="I2362" s="116"/>
      <c r="L2362" s="170">
        <v>45483</v>
      </c>
      <c r="M2362" s="116">
        <v>74.930000000000007</v>
      </c>
      <c r="N2362" s="116">
        <v>76.900000000000006</v>
      </c>
      <c r="O2362" s="116">
        <v>74.349999999999994</v>
      </c>
      <c r="P2362" s="116">
        <v>75.8</v>
      </c>
      <c r="Q2362" s="116">
        <v>74.930000000000007</v>
      </c>
      <c r="R2362">
        <v>2565942</v>
      </c>
    </row>
    <row r="2363" spans="1:18" x14ac:dyDescent="0.25">
      <c r="A2363" s="170">
        <v>45484</v>
      </c>
      <c r="B2363" s="116">
        <v>76.150000000000006</v>
      </c>
      <c r="C2363" s="116">
        <v>74.97</v>
      </c>
      <c r="D2363" s="116">
        <v>74.11</v>
      </c>
      <c r="E2363" s="116">
        <v>74.11</v>
      </c>
      <c r="F2363" s="116">
        <v>74.97</v>
      </c>
      <c r="G2363">
        <v>253439</v>
      </c>
      <c r="H2363" s="116"/>
      <c r="I2363" s="116"/>
      <c r="L2363" s="170">
        <v>45484</v>
      </c>
      <c r="M2363" s="116">
        <v>74.89</v>
      </c>
      <c r="N2363" s="116">
        <v>76.099999999999994</v>
      </c>
      <c r="O2363" s="116">
        <v>74.72</v>
      </c>
      <c r="P2363" s="116">
        <v>75.09</v>
      </c>
      <c r="Q2363" s="116">
        <v>74.89</v>
      </c>
      <c r="R2363">
        <v>2122889</v>
      </c>
    </row>
    <row r="2364" spans="1:18" x14ac:dyDescent="0.25">
      <c r="A2364" s="170">
        <v>45485</v>
      </c>
      <c r="B2364" s="116">
        <v>78.78</v>
      </c>
      <c r="C2364" s="116">
        <v>76.66</v>
      </c>
      <c r="D2364" s="116">
        <v>74.52</v>
      </c>
      <c r="E2364" s="116">
        <v>75.010000000000005</v>
      </c>
      <c r="F2364" s="116">
        <v>76.66</v>
      </c>
      <c r="G2364">
        <v>1451089</v>
      </c>
      <c r="H2364" s="116"/>
      <c r="I2364" s="116"/>
      <c r="L2364" s="170">
        <v>45485</v>
      </c>
      <c r="M2364" s="116">
        <v>76.69</v>
      </c>
      <c r="N2364" s="116">
        <v>78.900000000000006</v>
      </c>
      <c r="O2364" s="116">
        <v>74.55</v>
      </c>
      <c r="P2364" s="116">
        <v>75.099999999999994</v>
      </c>
      <c r="Q2364" s="116">
        <v>76.69</v>
      </c>
      <c r="R2364">
        <v>9410042</v>
      </c>
    </row>
    <row r="2365" spans="1:18" x14ac:dyDescent="0.25">
      <c r="A2365" s="170">
        <v>45488</v>
      </c>
      <c r="B2365" s="116">
        <v>78.94</v>
      </c>
      <c r="C2365" s="116">
        <v>77.099999999999994</v>
      </c>
      <c r="D2365" s="116">
        <v>76.08</v>
      </c>
      <c r="E2365" s="116">
        <v>77</v>
      </c>
      <c r="F2365" s="116">
        <v>77.099999999999994</v>
      </c>
      <c r="G2365">
        <v>683171</v>
      </c>
      <c r="H2365" s="116"/>
      <c r="I2365" s="116"/>
      <c r="L2365" s="170">
        <v>45488</v>
      </c>
      <c r="M2365" s="116">
        <v>77.099999999999994</v>
      </c>
      <c r="N2365" s="116">
        <v>78.95</v>
      </c>
      <c r="O2365" s="116">
        <v>76.010000000000005</v>
      </c>
      <c r="P2365" s="116">
        <v>77</v>
      </c>
      <c r="Q2365" s="116">
        <v>77.099999999999994</v>
      </c>
      <c r="R2365">
        <v>6427680</v>
      </c>
    </row>
    <row r="2366" spans="1:18" x14ac:dyDescent="0.25">
      <c r="A2366" s="170">
        <v>45489</v>
      </c>
      <c r="B2366" s="116">
        <v>83.65</v>
      </c>
      <c r="C2366" s="116">
        <v>81.33</v>
      </c>
      <c r="D2366" s="116">
        <v>77.61</v>
      </c>
      <c r="E2366" s="116">
        <v>78.42</v>
      </c>
      <c r="F2366" s="116">
        <v>81.33</v>
      </c>
      <c r="G2366">
        <v>4954137</v>
      </c>
      <c r="H2366" s="116"/>
      <c r="I2366" s="116"/>
      <c r="L2366" s="170">
        <v>45489</v>
      </c>
      <c r="M2366" s="116">
        <v>81.319999999999993</v>
      </c>
      <c r="N2366" s="116">
        <v>83.71</v>
      </c>
      <c r="O2366" s="116">
        <v>77.81</v>
      </c>
      <c r="P2366" s="116">
        <v>77.989999999999995</v>
      </c>
      <c r="Q2366" s="116">
        <v>81.319999999999993</v>
      </c>
      <c r="R2366">
        <v>39757389</v>
      </c>
    </row>
    <row r="2367" spans="1:18" x14ac:dyDescent="0.25">
      <c r="A2367" s="170">
        <v>45491</v>
      </c>
      <c r="B2367" s="116">
        <v>97.59</v>
      </c>
      <c r="C2367" s="116">
        <v>97.43</v>
      </c>
      <c r="D2367" s="116">
        <v>81.67</v>
      </c>
      <c r="E2367" s="116">
        <v>82.64</v>
      </c>
      <c r="F2367" s="116">
        <v>97.43</v>
      </c>
      <c r="G2367">
        <v>21113383</v>
      </c>
      <c r="H2367" s="116"/>
      <c r="I2367" s="116"/>
      <c r="L2367" s="170">
        <v>45491</v>
      </c>
      <c r="M2367" s="116">
        <v>97.31</v>
      </c>
      <c r="N2367" s="116">
        <v>97.58</v>
      </c>
      <c r="O2367" s="116">
        <v>81.599999999999994</v>
      </c>
      <c r="P2367" s="116">
        <v>81.599999999999994</v>
      </c>
      <c r="Q2367" s="116">
        <v>97.31</v>
      </c>
      <c r="R2367">
        <v>212750544</v>
      </c>
    </row>
    <row r="2368" spans="1:18" x14ac:dyDescent="0.25">
      <c r="A2368" s="170">
        <v>45492</v>
      </c>
      <c r="B2368" s="116">
        <v>111.48</v>
      </c>
      <c r="C2368" s="116">
        <v>102.11</v>
      </c>
      <c r="D2368" s="116">
        <v>93.38</v>
      </c>
      <c r="E2368" s="116">
        <v>99</v>
      </c>
      <c r="F2368" s="116">
        <v>102.11</v>
      </c>
      <c r="G2368">
        <v>28004764</v>
      </c>
      <c r="H2368" s="116"/>
      <c r="I2368" s="116"/>
      <c r="L2368" s="170">
        <v>45492</v>
      </c>
      <c r="M2368" s="116">
        <v>102.14</v>
      </c>
      <c r="N2368" s="116">
        <v>111.4</v>
      </c>
      <c r="O2368" s="116">
        <v>93.4</v>
      </c>
      <c r="P2368" s="116">
        <v>98.85</v>
      </c>
      <c r="Q2368" s="116">
        <v>102.14</v>
      </c>
      <c r="R2368">
        <v>334064145</v>
      </c>
    </row>
    <row r="2369" spans="1:18" x14ac:dyDescent="0.25">
      <c r="A2369" s="170">
        <v>45495</v>
      </c>
      <c r="B2369" s="116">
        <v>110</v>
      </c>
      <c r="C2369" s="116">
        <v>101.97</v>
      </c>
      <c r="D2369" s="116">
        <v>97.75</v>
      </c>
      <c r="E2369" s="116">
        <v>100</v>
      </c>
      <c r="F2369" s="116">
        <v>101.97</v>
      </c>
      <c r="G2369">
        <v>10658311</v>
      </c>
      <c r="H2369" s="116"/>
      <c r="I2369" s="116"/>
      <c r="L2369" s="170">
        <v>45495</v>
      </c>
      <c r="M2369" s="116">
        <v>102.03</v>
      </c>
      <c r="N2369" s="116">
        <v>110</v>
      </c>
      <c r="O2369" s="116">
        <v>97.85</v>
      </c>
      <c r="P2369" s="116">
        <v>99.99</v>
      </c>
      <c r="Q2369" s="116">
        <v>102.03</v>
      </c>
      <c r="R2369">
        <v>164179170</v>
      </c>
    </row>
    <row r="2370" spans="1:18" x14ac:dyDescent="0.25">
      <c r="A2370" s="170">
        <v>45496</v>
      </c>
      <c r="B2370" s="116">
        <v>108.52</v>
      </c>
      <c r="C2370" s="116">
        <v>99.87</v>
      </c>
      <c r="D2370" s="116">
        <v>85.1</v>
      </c>
      <c r="E2370" s="116">
        <v>103.97</v>
      </c>
      <c r="F2370" s="116">
        <v>99.87</v>
      </c>
      <c r="G2370">
        <v>7089417</v>
      </c>
      <c r="H2370" s="116"/>
      <c r="I2370" s="116"/>
      <c r="L2370" s="170">
        <v>45496</v>
      </c>
      <c r="M2370" s="116">
        <v>99.83</v>
      </c>
      <c r="N2370" s="116">
        <v>108.5</v>
      </c>
      <c r="O2370" s="116">
        <v>85</v>
      </c>
      <c r="P2370" s="116">
        <v>103.47</v>
      </c>
      <c r="Q2370" s="116">
        <v>99.83</v>
      </c>
      <c r="R2370">
        <v>115826031</v>
      </c>
    </row>
    <row r="2371" spans="1:18" x14ac:dyDescent="0.25">
      <c r="A2371" s="170">
        <v>45497</v>
      </c>
      <c r="B2371" s="116">
        <v>106.73</v>
      </c>
      <c r="C2371" s="116">
        <v>104</v>
      </c>
      <c r="D2371" s="116">
        <v>100.35</v>
      </c>
      <c r="E2371" s="116">
        <v>101.79</v>
      </c>
      <c r="F2371" s="116">
        <v>104</v>
      </c>
      <c r="G2371">
        <v>6803131</v>
      </c>
      <c r="H2371" s="116"/>
      <c r="I2371" s="116"/>
      <c r="L2371" s="170">
        <v>45497</v>
      </c>
      <c r="M2371" s="116">
        <v>103.88</v>
      </c>
      <c r="N2371" s="116">
        <v>106.79</v>
      </c>
      <c r="O2371" s="116">
        <v>100.5</v>
      </c>
      <c r="P2371" s="116">
        <v>101.15</v>
      </c>
      <c r="Q2371" s="116">
        <v>103.88</v>
      </c>
      <c r="R2371">
        <v>81926676</v>
      </c>
    </row>
    <row r="2372" spans="1:18" x14ac:dyDescent="0.25">
      <c r="A2372" s="170">
        <v>45498</v>
      </c>
      <c r="B2372" s="116">
        <v>109.43</v>
      </c>
      <c r="C2372" s="116">
        <v>106.08</v>
      </c>
      <c r="D2372" s="116">
        <v>100.15</v>
      </c>
      <c r="E2372" s="116">
        <v>103.24</v>
      </c>
      <c r="F2372" s="116">
        <v>106.08</v>
      </c>
      <c r="G2372">
        <v>7362290</v>
      </c>
      <c r="H2372" s="116"/>
      <c r="I2372" s="116"/>
      <c r="L2372" s="170">
        <v>45498</v>
      </c>
      <c r="M2372" s="116">
        <v>106.07</v>
      </c>
      <c r="N2372" s="116">
        <v>109.44</v>
      </c>
      <c r="O2372" s="116">
        <v>101.1</v>
      </c>
      <c r="P2372" s="116">
        <v>102.85</v>
      </c>
      <c r="Q2372" s="116">
        <v>106.07</v>
      </c>
      <c r="R2372">
        <v>103026162</v>
      </c>
    </row>
    <row r="2373" spans="1:18" x14ac:dyDescent="0.25">
      <c r="A2373" s="170">
        <v>45499</v>
      </c>
      <c r="B2373" s="116">
        <v>109.7</v>
      </c>
      <c r="C2373" s="116">
        <v>102.35</v>
      </c>
      <c r="D2373" s="116">
        <v>100.45</v>
      </c>
      <c r="E2373" s="116">
        <v>108.2</v>
      </c>
      <c r="F2373" s="116">
        <v>102.35</v>
      </c>
      <c r="G2373">
        <v>3470839</v>
      </c>
      <c r="H2373" s="116"/>
      <c r="I2373" s="116"/>
      <c r="L2373" s="170">
        <v>45499</v>
      </c>
      <c r="M2373" s="116">
        <v>102.35</v>
      </c>
      <c r="N2373" s="116">
        <v>109.85</v>
      </c>
      <c r="O2373" s="116">
        <v>100.3</v>
      </c>
      <c r="P2373" s="116">
        <v>108</v>
      </c>
      <c r="Q2373" s="116">
        <v>102.35</v>
      </c>
      <c r="R2373">
        <v>47795541</v>
      </c>
    </row>
    <row r="2374" spans="1:18" x14ac:dyDescent="0.25">
      <c r="A2374" s="170">
        <v>45502</v>
      </c>
      <c r="B2374" s="116">
        <v>104.75</v>
      </c>
      <c r="C2374" s="116">
        <v>98.64</v>
      </c>
      <c r="D2374" s="116">
        <v>98.12</v>
      </c>
      <c r="E2374" s="116">
        <v>104.18</v>
      </c>
      <c r="F2374" s="116">
        <v>98.64</v>
      </c>
      <c r="G2374">
        <v>2629314</v>
      </c>
      <c r="H2374" s="116"/>
      <c r="I2374" s="116"/>
      <c r="L2374" s="170">
        <v>45502</v>
      </c>
      <c r="M2374" s="116">
        <v>98.66</v>
      </c>
      <c r="N2374" s="116">
        <v>104.7</v>
      </c>
      <c r="O2374" s="116">
        <v>98.01</v>
      </c>
      <c r="P2374" s="116">
        <v>103.95</v>
      </c>
      <c r="Q2374" s="116">
        <v>98.66</v>
      </c>
      <c r="R2374">
        <v>18396037</v>
      </c>
    </row>
    <row r="2375" spans="1:18" x14ac:dyDescent="0.25">
      <c r="A2375" s="170">
        <v>45503</v>
      </c>
      <c r="B2375" s="116">
        <v>101.67</v>
      </c>
      <c r="C2375" s="116">
        <v>99.54</v>
      </c>
      <c r="D2375" s="116">
        <v>98.46</v>
      </c>
      <c r="E2375" s="116">
        <v>98.81</v>
      </c>
      <c r="F2375" s="116">
        <v>99.54</v>
      </c>
      <c r="G2375">
        <v>862846</v>
      </c>
      <c r="H2375" s="116"/>
      <c r="I2375" s="116"/>
      <c r="L2375" s="170">
        <v>45503</v>
      </c>
      <c r="M2375" s="116">
        <v>99.59</v>
      </c>
      <c r="N2375" s="116">
        <v>101.7</v>
      </c>
      <c r="O2375" s="116">
        <v>98.36</v>
      </c>
      <c r="P2375" s="116">
        <v>99.3</v>
      </c>
      <c r="Q2375" s="116">
        <v>99.59</v>
      </c>
      <c r="R2375">
        <v>13019804</v>
      </c>
    </row>
    <row r="2376" spans="1:18" x14ac:dyDescent="0.25">
      <c r="A2376" s="170">
        <v>45504</v>
      </c>
      <c r="B2376" s="116">
        <v>100.39</v>
      </c>
      <c r="C2376" s="116">
        <v>96.12</v>
      </c>
      <c r="D2376" s="116">
        <v>95.27</v>
      </c>
      <c r="E2376" s="116">
        <v>100.04</v>
      </c>
      <c r="F2376" s="116">
        <v>96.12</v>
      </c>
      <c r="G2376">
        <v>874521</v>
      </c>
      <c r="H2376" s="116"/>
      <c r="I2376" s="116"/>
      <c r="L2376" s="170">
        <v>45504</v>
      </c>
      <c r="M2376" s="116">
        <v>96.13</v>
      </c>
      <c r="N2376" s="116">
        <v>100.44</v>
      </c>
      <c r="O2376" s="116">
        <v>95.5</v>
      </c>
      <c r="P2376" s="116">
        <v>100.1</v>
      </c>
      <c r="Q2376" s="116">
        <v>96.13</v>
      </c>
      <c r="R2376">
        <v>11459491</v>
      </c>
    </row>
    <row r="2377" spans="1:18" x14ac:dyDescent="0.25">
      <c r="A2377" s="170">
        <v>45505</v>
      </c>
      <c r="B2377" s="116">
        <v>97.46</v>
      </c>
      <c r="C2377" s="116">
        <v>93.08</v>
      </c>
      <c r="D2377" s="116">
        <v>91.84</v>
      </c>
      <c r="E2377" s="116">
        <v>96.46</v>
      </c>
      <c r="F2377" s="116">
        <v>93.08</v>
      </c>
      <c r="G2377">
        <v>855000</v>
      </c>
      <c r="H2377" s="116"/>
      <c r="I2377" s="116"/>
      <c r="L2377" s="170">
        <v>45505</v>
      </c>
      <c r="M2377" s="116">
        <v>93.04</v>
      </c>
      <c r="N2377" s="116">
        <v>97.57</v>
      </c>
      <c r="O2377" s="116">
        <v>91.71</v>
      </c>
      <c r="P2377" s="116">
        <v>96.6</v>
      </c>
      <c r="Q2377" s="116">
        <v>93.04</v>
      </c>
      <c r="R2377">
        <v>11442897</v>
      </c>
    </row>
    <row r="2378" spans="1:18" x14ac:dyDescent="0.25">
      <c r="A2378" s="170">
        <v>45506</v>
      </c>
      <c r="B2378" s="116">
        <v>99.9</v>
      </c>
      <c r="C2378" s="116">
        <v>97.98</v>
      </c>
      <c r="D2378" s="116">
        <v>90.94</v>
      </c>
      <c r="E2378" s="116">
        <v>91.25</v>
      </c>
      <c r="F2378" s="116">
        <v>97.98</v>
      </c>
      <c r="G2378">
        <v>3702997</v>
      </c>
      <c r="H2378" s="116"/>
      <c r="I2378" s="116"/>
      <c r="L2378" s="170">
        <v>45506</v>
      </c>
      <c r="M2378" s="116">
        <v>97.99</v>
      </c>
      <c r="N2378" s="116">
        <v>99.95</v>
      </c>
      <c r="O2378" s="116">
        <v>90.9</v>
      </c>
      <c r="P2378" s="116">
        <v>91.89</v>
      </c>
      <c r="Q2378" s="116">
        <v>97.99</v>
      </c>
      <c r="R2378">
        <v>31794638</v>
      </c>
    </row>
    <row r="2379" spans="1:18" x14ac:dyDescent="0.25">
      <c r="A2379" s="170">
        <v>45509</v>
      </c>
      <c r="B2379" s="116">
        <v>95.89</v>
      </c>
      <c r="C2379" s="116">
        <v>91.66</v>
      </c>
      <c r="D2379" s="116">
        <v>91.01</v>
      </c>
      <c r="E2379" s="116">
        <v>95.89</v>
      </c>
      <c r="F2379" s="116">
        <v>91.66</v>
      </c>
      <c r="G2379">
        <v>1432166</v>
      </c>
      <c r="H2379" s="116"/>
      <c r="I2379" s="116"/>
      <c r="L2379" s="170">
        <v>45509</v>
      </c>
      <c r="M2379" s="116">
        <v>91.65</v>
      </c>
      <c r="N2379" s="116">
        <v>95.65</v>
      </c>
      <c r="O2379" s="116">
        <v>91</v>
      </c>
      <c r="P2379" s="116">
        <v>95</v>
      </c>
      <c r="Q2379" s="116">
        <v>91.65</v>
      </c>
      <c r="R2379">
        <v>17086584</v>
      </c>
    </row>
    <row r="2380" spans="1:18" x14ac:dyDescent="0.25">
      <c r="A2380" s="170">
        <v>45510</v>
      </c>
      <c r="B2380" s="116">
        <v>94.91</v>
      </c>
      <c r="C2380" s="116">
        <v>89.72</v>
      </c>
      <c r="D2380" s="116">
        <v>89.05</v>
      </c>
      <c r="E2380" s="116">
        <v>92.73</v>
      </c>
      <c r="F2380" s="116">
        <v>89.72</v>
      </c>
      <c r="G2380">
        <v>1596427</v>
      </c>
      <c r="H2380" s="116"/>
      <c r="I2380" s="116"/>
      <c r="L2380" s="170">
        <v>45510</v>
      </c>
      <c r="M2380" s="116">
        <v>89.76</v>
      </c>
      <c r="N2380" s="116">
        <v>94.95</v>
      </c>
      <c r="O2380" s="116">
        <v>89</v>
      </c>
      <c r="P2380" s="116">
        <v>93.47</v>
      </c>
      <c r="Q2380" s="116">
        <v>89.76</v>
      </c>
      <c r="R2380">
        <v>10334295</v>
      </c>
    </row>
    <row r="2381" spans="1:18" x14ac:dyDescent="0.25">
      <c r="A2381" s="170">
        <v>45511</v>
      </c>
      <c r="B2381" s="116">
        <v>93.64</v>
      </c>
      <c r="C2381" s="116">
        <v>91.93</v>
      </c>
      <c r="D2381" s="116">
        <v>90.41</v>
      </c>
      <c r="E2381" s="116">
        <v>92.95</v>
      </c>
      <c r="F2381" s="116">
        <v>91.93</v>
      </c>
      <c r="G2381">
        <v>999041</v>
      </c>
      <c r="H2381" s="116"/>
      <c r="I2381" s="116"/>
      <c r="L2381" s="170">
        <v>45511</v>
      </c>
      <c r="M2381" s="116">
        <v>91.8</v>
      </c>
      <c r="N2381" s="116">
        <v>93.68</v>
      </c>
      <c r="O2381" s="116">
        <v>90.41</v>
      </c>
      <c r="P2381" s="116">
        <v>92.9</v>
      </c>
      <c r="Q2381" s="116">
        <v>91.8</v>
      </c>
      <c r="R2381">
        <v>12876436</v>
      </c>
    </row>
    <row r="2382" spans="1:18" x14ac:dyDescent="0.25">
      <c r="A2382" s="170">
        <v>45512</v>
      </c>
      <c r="B2382" s="116">
        <v>98.2</v>
      </c>
      <c r="C2382" s="116">
        <v>94.3</v>
      </c>
      <c r="D2382" s="116">
        <v>91.31</v>
      </c>
      <c r="E2382" s="116">
        <v>92.11</v>
      </c>
      <c r="F2382" s="116">
        <v>94.3</v>
      </c>
      <c r="G2382">
        <v>2943122</v>
      </c>
      <c r="H2382" s="116"/>
      <c r="I2382" s="116"/>
      <c r="L2382" s="170">
        <v>45512</v>
      </c>
      <c r="M2382" s="116">
        <v>94.22</v>
      </c>
      <c r="N2382" s="116">
        <v>98.3</v>
      </c>
      <c r="O2382" s="116">
        <v>91.28</v>
      </c>
      <c r="P2382" s="116">
        <v>92</v>
      </c>
      <c r="Q2382" s="116">
        <v>94.22</v>
      </c>
      <c r="R2382">
        <v>26349157</v>
      </c>
    </row>
    <row r="2383" spans="1:18" x14ac:dyDescent="0.25">
      <c r="A2383" s="170">
        <v>45513</v>
      </c>
      <c r="B2383" s="116">
        <v>96.57</v>
      </c>
      <c r="C2383" s="116">
        <v>92.89</v>
      </c>
      <c r="D2383" s="116">
        <v>92.6</v>
      </c>
      <c r="E2383" s="116">
        <v>96.19</v>
      </c>
      <c r="F2383" s="116">
        <v>92.89</v>
      </c>
      <c r="G2383">
        <v>937282</v>
      </c>
      <c r="H2383" s="116"/>
      <c r="I2383" s="116"/>
      <c r="L2383" s="170">
        <v>45513</v>
      </c>
      <c r="M2383" s="116">
        <v>92.92</v>
      </c>
      <c r="N2383" s="116">
        <v>96.5</v>
      </c>
      <c r="O2383" s="116">
        <v>92.6</v>
      </c>
      <c r="P2383" s="116">
        <v>96.28</v>
      </c>
      <c r="Q2383" s="116">
        <v>92.92</v>
      </c>
      <c r="R2383">
        <v>7309982</v>
      </c>
    </row>
    <row r="2384" spans="1:18" x14ac:dyDescent="0.25">
      <c r="A2384" s="170">
        <v>45516</v>
      </c>
      <c r="B2384" s="116">
        <v>92.89</v>
      </c>
      <c r="C2384" s="116">
        <v>91.27</v>
      </c>
      <c r="D2384" s="116">
        <v>90.46</v>
      </c>
      <c r="E2384" s="116">
        <v>91.18</v>
      </c>
      <c r="F2384" s="116">
        <v>91.27</v>
      </c>
      <c r="G2384">
        <v>860776</v>
      </c>
      <c r="H2384" s="116"/>
      <c r="I2384" s="116"/>
      <c r="L2384" s="170">
        <v>45516</v>
      </c>
      <c r="M2384" s="116">
        <v>91.26</v>
      </c>
      <c r="N2384" s="116">
        <v>92.9</v>
      </c>
      <c r="O2384" s="116">
        <v>90.54</v>
      </c>
      <c r="P2384" s="116">
        <v>91.9</v>
      </c>
      <c r="Q2384" s="116">
        <v>91.26</v>
      </c>
      <c r="R2384">
        <v>8740924</v>
      </c>
    </row>
    <row r="2385" spans="1:18" x14ac:dyDescent="0.25">
      <c r="A2385" s="170">
        <v>45517</v>
      </c>
      <c r="B2385" s="116">
        <v>93.91</v>
      </c>
      <c r="C2385" s="116">
        <v>90.39</v>
      </c>
      <c r="D2385" s="116">
        <v>90.03</v>
      </c>
      <c r="E2385" s="116">
        <v>91.38</v>
      </c>
      <c r="F2385" s="116">
        <v>90.39</v>
      </c>
      <c r="G2385">
        <v>1035428</v>
      </c>
      <c r="H2385" s="116"/>
      <c r="I2385" s="116"/>
      <c r="L2385" s="170">
        <v>45517</v>
      </c>
      <c r="M2385" s="116">
        <v>90.35</v>
      </c>
      <c r="N2385" s="116">
        <v>93.9</v>
      </c>
      <c r="O2385" s="116">
        <v>90</v>
      </c>
      <c r="P2385" s="116">
        <v>91.79</v>
      </c>
      <c r="Q2385" s="116">
        <v>90.35</v>
      </c>
      <c r="R2385">
        <v>10703148</v>
      </c>
    </row>
    <row r="2386" spans="1:18" x14ac:dyDescent="0.25">
      <c r="A2386" s="170">
        <v>45518</v>
      </c>
      <c r="B2386" s="116">
        <v>90.98</v>
      </c>
      <c r="C2386" s="116">
        <v>88.65</v>
      </c>
      <c r="D2386" s="116">
        <v>87.14</v>
      </c>
      <c r="E2386" s="116">
        <v>90.46</v>
      </c>
      <c r="F2386" s="116">
        <v>88.65</v>
      </c>
      <c r="G2386">
        <v>1166027</v>
      </c>
      <c r="H2386" s="116"/>
      <c r="I2386" s="116"/>
      <c r="L2386" s="170">
        <v>45518</v>
      </c>
      <c r="M2386" s="116">
        <v>88.55</v>
      </c>
      <c r="N2386" s="116">
        <v>90.98</v>
      </c>
      <c r="O2386" s="116">
        <v>87.03</v>
      </c>
      <c r="P2386" s="116">
        <v>90.78</v>
      </c>
      <c r="Q2386" s="116">
        <v>88.55</v>
      </c>
      <c r="R2386">
        <v>7667393</v>
      </c>
    </row>
    <row r="2387" spans="1:18" x14ac:dyDescent="0.25">
      <c r="A2387" s="170">
        <v>45520</v>
      </c>
      <c r="B2387" s="116">
        <v>90.53</v>
      </c>
      <c r="C2387" s="116">
        <v>89.25</v>
      </c>
      <c r="D2387" s="116">
        <v>87.93</v>
      </c>
      <c r="E2387" s="116">
        <v>89.97</v>
      </c>
      <c r="F2387" s="116">
        <v>89.25</v>
      </c>
      <c r="G2387">
        <v>782553</v>
      </c>
      <c r="H2387" s="116"/>
      <c r="I2387" s="116"/>
      <c r="L2387" s="170">
        <v>45520</v>
      </c>
      <c r="M2387" s="116">
        <v>89.26</v>
      </c>
      <c r="N2387" s="116">
        <v>90.45</v>
      </c>
      <c r="O2387" s="116">
        <v>87.89</v>
      </c>
      <c r="P2387" s="116">
        <v>90</v>
      </c>
      <c r="Q2387" s="116">
        <v>89.26</v>
      </c>
      <c r="R2387">
        <v>6425103</v>
      </c>
    </row>
    <row r="2388" spans="1:18" x14ac:dyDescent="0.25">
      <c r="A2388" s="170">
        <v>45523</v>
      </c>
      <c r="B2388" s="116">
        <v>94.24</v>
      </c>
      <c r="C2388" s="116">
        <v>93.22</v>
      </c>
      <c r="D2388" s="116">
        <v>88.67</v>
      </c>
      <c r="E2388" s="116">
        <v>88.67</v>
      </c>
      <c r="F2388" s="116">
        <v>93.22</v>
      </c>
      <c r="G2388">
        <v>773253</v>
      </c>
      <c r="H2388" s="116"/>
      <c r="I2388" s="116"/>
      <c r="L2388" s="170">
        <v>45523</v>
      </c>
      <c r="M2388" s="116">
        <v>93.27</v>
      </c>
      <c r="N2388" s="116">
        <v>94.22</v>
      </c>
      <c r="O2388" s="116">
        <v>89</v>
      </c>
      <c r="P2388" s="116">
        <v>89</v>
      </c>
      <c r="Q2388" s="116">
        <v>93.27</v>
      </c>
      <c r="R2388">
        <v>14353589</v>
      </c>
    </row>
    <row r="2389" spans="1:18" x14ac:dyDescent="0.25">
      <c r="A2389" s="170">
        <v>45524</v>
      </c>
      <c r="B2389" s="116">
        <v>95.22</v>
      </c>
      <c r="C2389" s="116">
        <v>93.12</v>
      </c>
      <c r="D2389" s="116">
        <v>92.09</v>
      </c>
      <c r="E2389" s="116">
        <v>93.38</v>
      </c>
      <c r="F2389" s="116">
        <v>93.12</v>
      </c>
      <c r="G2389">
        <v>750018</v>
      </c>
      <c r="H2389" s="116"/>
      <c r="I2389" s="116"/>
      <c r="L2389" s="170">
        <v>45524</v>
      </c>
      <c r="M2389" s="116">
        <v>93.1</v>
      </c>
      <c r="N2389" s="116">
        <v>95.45</v>
      </c>
      <c r="O2389" s="116">
        <v>92.02</v>
      </c>
      <c r="P2389" s="116">
        <v>93.5</v>
      </c>
      <c r="Q2389" s="116">
        <v>93.1</v>
      </c>
      <c r="R2389">
        <v>12929171</v>
      </c>
    </row>
    <row r="2390" spans="1:18" x14ac:dyDescent="0.25">
      <c r="A2390" s="170">
        <v>45525</v>
      </c>
      <c r="B2390" s="116">
        <v>94.28</v>
      </c>
      <c r="C2390" s="116">
        <v>92.41</v>
      </c>
      <c r="D2390" s="116">
        <v>92.21</v>
      </c>
      <c r="E2390" s="116">
        <v>93.16</v>
      </c>
      <c r="F2390" s="116">
        <v>92.41</v>
      </c>
      <c r="G2390">
        <v>746991</v>
      </c>
      <c r="H2390" s="116"/>
      <c r="I2390" s="116"/>
      <c r="L2390" s="170">
        <v>45525</v>
      </c>
      <c r="M2390" s="116">
        <v>92.39</v>
      </c>
      <c r="N2390" s="116">
        <v>94.35</v>
      </c>
      <c r="O2390" s="116">
        <v>92.21</v>
      </c>
      <c r="P2390" s="116">
        <v>93.4</v>
      </c>
      <c r="Q2390" s="116">
        <v>92.39</v>
      </c>
      <c r="R2390">
        <v>6662302</v>
      </c>
    </row>
    <row r="2391" spans="1:18" x14ac:dyDescent="0.25">
      <c r="A2391" s="170">
        <v>45526</v>
      </c>
      <c r="B2391" s="116">
        <v>97.6</v>
      </c>
      <c r="C2391" s="116">
        <v>95.52</v>
      </c>
      <c r="D2391" s="116">
        <v>92.35</v>
      </c>
      <c r="E2391" s="116">
        <v>92.52</v>
      </c>
      <c r="F2391" s="116">
        <v>95.52</v>
      </c>
      <c r="G2391">
        <v>2926129</v>
      </c>
      <c r="H2391" s="116"/>
      <c r="I2391" s="116"/>
      <c r="L2391" s="170">
        <v>45526</v>
      </c>
      <c r="M2391" s="116">
        <v>95.48</v>
      </c>
      <c r="N2391" s="116">
        <v>97.7</v>
      </c>
      <c r="O2391" s="116">
        <v>92.41</v>
      </c>
      <c r="P2391" s="116">
        <v>92.9</v>
      </c>
      <c r="Q2391" s="116">
        <v>95.48</v>
      </c>
      <c r="R2391">
        <v>26930992</v>
      </c>
    </row>
    <row r="2392" spans="1:18" x14ac:dyDescent="0.25">
      <c r="A2392" s="170">
        <v>45527</v>
      </c>
      <c r="B2392" s="116">
        <v>95.91</v>
      </c>
      <c r="C2392" s="116">
        <v>94.04</v>
      </c>
      <c r="D2392" s="116">
        <v>93.3</v>
      </c>
      <c r="E2392" s="116">
        <v>95.41</v>
      </c>
      <c r="F2392" s="116">
        <v>94.04</v>
      </c>
      <c r="G2392">
        <v>942605</v>
      </c>
      <c r="H2392" s="116"/>
      <c r="I2392" s="116"/>
      <c r="L2392" s="170">
        <v>45527</v>
      </c>
      <c r="M2392" s="116">
        <v>93.94</v>
      </c>
      <c r="N2392" s="116">
        <v>95.9</v>
      </c>
      <c r="O2392" s="116">
        <v>93.1</v>
      </c>
      <c r="P2392" s="116">
        <v>95.5</v>
      </c>
      <c r="Q2392" s="116">
        <v>93.94</v>
      </c>
      <c r="R2392">
        <v>6740002</v>
      </c>
    </row>
    <row r="2393" spans="1:18" x14ac:dyDescent="0.25">
      <c r="A2393" s="170">
        <v>45530</v>
      </c>
      <c r="B2393" s="116">
        <v>94.23</v>
      </c>
      <c r="C2393" s="116">
        <v>92.5</v>
      </c>
      <c r="D2393" s="116">
        <v>92.05</v>
      </c>
      <c r="E2393" s="116">
        <v>93.55</v>
      </c>
      <c r="F2393" s="116">
        <v>92.5</v>
      </c>
      <c r="G2393">
        <v>800082</v>
      </c>
      <c r="H2393" s="116"/>
      <c r="I2393" s="116"/>
      <c r="L2393" s="170">
        <v>45530</v>
      </c>
      <c r="M2393" s="116">
        <v>92.34</v>
      </c>
      <c r="N2393" s="116">
        <v>94.2</v>
      </c>
      <c r="O2393" s="116">
        <v>92.01</v>
      </c>
      <c r="P2393" s="116">
        <v>94.2</v>
      </c>
      <c r="Q2393" s="116">
        <v>92.34</v>
      </c>
      <c r="R2393">
        <v>5496548</v>
      </c>
    </row>
    <row r="2394" spans="1:18" x14ac:dyDescent="0.25">
      <c r="A2394" s="170">
        <v>45531</v>
      </c>
      <c r="B2394" s="116">
        <v>102.83</v>
      </c>
      <c r="C2394" s="116">
        <v>100.51</v>
      </c>
      <c r="D2394" s="116">
        <v>92.22</v>
      </c>
      <c r="E2394" s="116">
        <v>92.22</v>
      </c>
      <c r="F2394" s="116">
        <v>100.51</v>
      </c>
      <c r="G2394">
        <v>6200059</v>
      </c>
      <c r="H2394" s="116"/>
      <c r="I2394" s="116"/>
      <c r="L2394" s="170">
        <v>45531</v>
      </c>
      <c r="M2394" s="116">
        <v>100.57</v>
      </c>
      <c r="N2394" s="116">
        <v>102.85</v>
      </c>
      <c r="O2394" s="116">
        <v>92.21</v>
      </c>
      <c r="P2394" s="116">
        <v>92.33</v>
      </c>
      <c r="Q2394" s="116">
        <v>100.57</v>
      </c>
      <c r="R2394">
        <v>72108829</v>
      </c>
    </row>
    <row r="2395" spans="1:18" x14ac:dyDescent="0.25">
      <c r="A2395" s="170">
        <v>45532</v>
      </c>
      <c r="B2395" s="116">
        <v>103.99</v>
      </c>
      <c r="C2395" s="116">
        <v>96.78</v>
      </c>
      <c r="D2395" s="116">
        <v>96.32</v>
      </c>
      <c r="E2395" s="116">
        <v>100.6</v>
      </c>
      <c r="F2395" s="116">
        <v>96.78</v>
      </c>
      <c r="G2395">
        <v>2790126</v>
      </c>
      <c r="H2395" s="116"/>
      <c r="I2395" s="116"/>
      <c r="L2395" s="170">
        <v>45532</v>
      </c>
      <c r="M2395" s="116">
        <v>96.81</v>
      </c>
      <c r="N2395" s="116">
        <v>104</v>
      </c>
      <c r="O2395" s="116">
        <v>96.37</v>
      </c>
      <c r="P2395" s="116">
        <v>100.57</v>
      </c>
      <c r="Q2395" s="116">
        <v>96.81</v>
      </c>
      <c r="R2395">
        <v>54007889</v>
      </c>
    </row>
    <row r="2396" spans="1:18" x14ac:dyDescent="0.25">
      <c r="A2396" s="170">
        <v>45533</v>
      </c>
      <c r="B2396" s="116">
        <v>99.47</v>
      </c>
      <c r="C2396" s="116">
        <v>95.88</v>
      </c>
      <c r="D2396" s="116">
        <v>94.86</v>
      </c>
      <c r="E2396" s="116">
        <v>97</v>
      </c>
      <c r="F2396" s="116">
        <v>95.88</v>
      </c>
      <c r="G2396">
        <v>929156</v>
      </c>
      <c r="H2396" s="116"/>
      <c r="I2396" s="116"/>
      <c r="L2396" s="170">
        <v>45533</v>
      </c>
      <c r="M2396" s="116">
        <v>95.81</v>
      </c>
      <c r="N2396" s="116">
        <v>99.51</v>
      </c>
      <c r="O2396" s="116">
        <v>94.8</v>
      </c>
      <c r="P2396" s="116">
        <v>97.1</v>
      </c>
      <c r="Q2396" s="116">
        <v>95.81</v>
      </c>
      <c r="R2396">
        <v>17384567</v>
      </c>
    </row>
    <row r="2397" spans="1:18" x14ac:dyDescent="0.25">
      <c r="A2397" s="170">
        <v>45534</v>
      </c>
      <c r="B2397" s="116">
        <v>100.66</v>
      </c>
      <c r="C2397" s="116">
        <v>97.24</v>
      </c>
      <c r="D2397" s="116">
        <v>94.88</v>
      </c>
      <c r="E2397" s="116">
        <v>96.49</v>
      </c>
      <c r="F2397" s="116">
        <v>97.24</v>
      </c>
      <c r="G2397">
        <v>2360733</v>
      </c>
      <c r="H2397" s="116"/>
      <c r="I2397" s="116"/>
      <c r="L2397" s="170">
        <v>45534</v>
      </c>
      <c r="M2397" s="116">
        <v>97.14</v>
      </c>
      <c r="N2397" s="116">
        <v>100.75</v>
      </c>
      <c r="O2397" s="116">
        <v>94.9</v>
      </c>
      <c r="P2397" s="116">
        <v>96.15</v>
      </c>
      <c r="Q2397" s="116">
        <v>97.14</v>
      </c>
      <c r="R2397">
        <v>21066918</v>
      </c>
    </row>
    <row r="2398" spans="1:18" x14ac:dyDescent="0.25">
      <c r="A2398" s="170">
        <v>45537</v>
      </c>
      <c r="B2398" s="116">
        <v>98.47</v>
      </c>
      <c r="C2398" s="116">
        <v>95.88</v>
      </c>
      <c r="D2398" s="116">
        <v>94.65</v>
      </c>
      <c r="E2398" s="116">
        <v>96.57</v>
      </c>
      <c r="F2398" s="116">
        <v>95.88</v>
      </c>
      <c r="G2398">
        <v>1308166</v>
      </c>
      <c r="H2398" s="116"/>
      <c r="I2398" s="116"/>
      <c r="L2398" s="170">
        <v>45537</v>
      </c>
      <c r="M2398" s="116">
        <v>95.85</v>
      </c>
      <c r="N2398" s="116">
        <v>98.44</v>
      </c>
      <c r="O2398" s="116">
        <v>94.66</v>
      </c>
      <c r="P2398" s="116">
        <v>97.2</v>
      </c>
      <c r="Q2398" s="116">
        <v>95.85</v>
      </c>
      <c r="R2398">
        <v>9298996</v>
      </c>
    </row>
    <row r="2399" spans="1:18" x14ac:dyDescent="0.25">
      <c r="A2399" s="170">
        <v>45538</v>
      </c>
      <c r="B2399" s="116">
        <v>98.81</v>
      </c>
      <c r="C2399" s="116">
        <v>95.41</v>
      </c>
      <c r="D2399" s="116">
        <v>95</v>
      </c>
      <c r="E2399" s="116">
        <v>95.95</v>
      </c>
      <c r="F2399" s="116">
        <v>95.41</v>
      </c>
      <c r="G2399">
        <v>1773975</v>
      </c>
      <c r="H2399" s="116"/>
      <c r="I2399" s="116"/>
      <c r="L2399" s="170">
        <v>45538</v>
      </c>
      <c r="M2399" s="116">
        <v>95.39</v>
      </c>
      <c r="N2399" s="116">
        <v>98.8</v>
      </c>
      <c r="O2399" s="116">
        <v>95.01</v>
      </c>
      <c r="P2399" s="116">
        <v>96.2</v>
      </c>
      <c r="Q2399" s="116">
        <v>95.39</v>
      </c>
      <c r="R2399">
        <v>12944647</v>
      </c>
    </row>
    <row r="2400" spans="1:18" x14ac:dyDescent="0.25">
      <c r="A2400" s="170">
        <v>45539</v>
      </c>
      <c r="B2400" s="116">
        <v>96.5</v>
      </c>
      <c r="C2400" s="116">
        <v>94.61</v>
      </c>
      <c r="D2400" s="116">
        <v>94.11</v>
      </c>
      <c r="E2400" s="116">
        <v>95.09</v>
      </c>
      <c r="F2400" s="116">
        <v>94.61</v>
      </c>
      <c r="G2400">
        <v>1134178</v>
      </c>
      <c r="H2400" s="116"/>
      <c r="I2400" s="116"/>
      <c r="L2400" s="170">
        <v>45539</v>
      </c>
      <c r="M2400" s="116">
        <v>94.66</v>
      </c>
      <c r="N2400" s="116">
        <v>96.56</v>
      </c>
      <c r="O2400" s="116">
        <v>94.05</v>
      </c>
      <c r="P2400" s="116">
        <v>95</v>
      </c>
      <c r="Q2400" s="116">
        <v>94.66</v>
      </c>
      <c r="R2400">
        <v>8732200</v>
      </c>
    </row>
    <row r="2401" spans="1:18" x14ac:dyDescent="0.25">
      <c r="A2401" s="170">
        <v>45540</v>
      </c>
      <c r="B2401" s="116">
        <v>95.89</v>
      </c>
      <c r="C2401" s="116">
        <v>93.74</v>
      </c>
      <c r="D2401" s="116">
        <v>93.21</v>
      </c>
      <c r="E2401" s="116">
        <v>95.35</v>
      </c>
      <c r="F2401" s="116">
        <v>93.74</v>
      </c>
      <c r="G2401">
        <v>569820</v>
      </c>
      <c r="H2401" s="116"/>
      <c r="I2401" s="116"/>
      <c r="L2401" s="170">
        <v>45540</v>
      </c>
      <c r="M2401" s="116">
        <v>93.7</v>
      </c>
      <c r="N2401" s="116">
        <v>95.84</v>
      </c>
      <c r="O2401" s="116">
        <v>93.31</v>
      </c>
      <c r="P2401" s="116">
        <v>95.15</v>
      </c>
      <c r="Q2401" s="116">
        <v>93.7</v>
      </c>
      <c r="R2401">
        <v>6587123</v>
      </c>
    </row>
    <row r="2402" spans="1:18" x14ac:dyDescent="0.25">
      <c r="A2402" s="170">
        <v>45541</v>
      </c>
      <c r="B2402" s="116">
        <v>94.73</v>
      </c>
      <c r="C2402" s="116">
        <v>91.23</v>
      </c>
      <c r="D2402" s="116">
        <v>91</v>
      </c>
      <c r="E2402" s="116">
        <v>93.16</v>
      </c>
      <c r="F2402" s="116">
        <v>91.23</v>
      </c>
      <c r="G2402">
        <v>845914</v>
      </c>
      <c r="H2402" s="116"/>
      <c r="I2402" s="116"/>
      <c r="L2402" s="170">
        <v>45541</v>
      </c>
      <c r="M2402" s="116">
        <v>91.23</v>
      </c>
      <c r="N2402" s="116">
        <v>94.65</v>
      </c>
      <c r="O2402" s="116">
        <v>91</v>
      </c>
      <c r="P2402" s="116">
        <v>93.8</v>
      </c>
      <c r="Q2402" s="116">
        <v>91.23</v>
      </c>
      <c r="R2402">
        <v>6855084</v>
      </c>
    </row>
    <row r="2403" spans="1:18" x14ac:dyDescent="0.25">
      <c r="A2403" s="170">
        <v>45544</v>
      </c>
      <c r="B2403" s="116">
        <v>91.8</v>
      </c>
      <c r="C2403" s="116">
        <v>91.3</v>
      </c>
      <c r="D2403" s="116">
        <v>88.79</v>
      </c>
      <c r="E2403" s="116">
        <v>91.02</v>
      </c>
      <c r="F2403" s="116">
        <v>91.3</v>
      </c>
      <c r="G2403">
        <v>1480521</v>
      </c>
      <c r="H2403" s="116"/>
      <c r="I2403" s="116"/>
      <c r="L2403" s="170">
        <v>45544</v>
      </c>
      <c r="M2403" s="116">
        <v>91.24</v>
      </c>
      <c r="N2403" s="116">
        <v>91.9</v>
      </c>
      <c r="O2403" s="116">
        <v>88.88</v>
      </c>
      <c r="P2403" s="116">
        <v>91.23</v>
      </c>
      <c r="Q2403" s="116">
        <v>91.24</v>
      </c>
      <c r="R2403">
        <v>8865746</v>
      </c>
    </row>
    <row r="2404" spans="1:18" x14ac:dyDescent="0.25">
      <c r="A2404" s="170">
        <v>45545</v>
      </c>
      <c r="B2404" s="116">
        <v>93.38</v>
      </c>
      <c r="C2404" s="116">
        <v>92.65</v>
      </c>
      <c r="D2404" s="116">
        <v>91.38</v>
      </c>
      <c r="E2404" s="116">
        <v>91.38</v>
      </c>
      <c r="F2404" s="116">
        <v>92.65</v>
      </c>
      <c r="G2404">
        <v>598194</v>
      </c>
      <c r="H2404" s="116"/>
      <c r="I2404" s="116"/>
      <c r="L2404" s="170">
        <v>45545</v>
      </c>
      <c r="M2404" s="116">
        <v>92.67</v>
      </c>
      <c r="N2404" s="116">
        <v>93.38</v>
      </c>
      <c r="O2404" s="116">
        <v>91.35</v>
      </c>
      <c r="P2404" s="116">
        <v>91.5</v>
      </c>
      <c r="Q2404" s="116">
        <v>92.67</v>
      </c>
      <c r="R2404">
        <v>6420885</v>
      </c>
    </row>
    <row r="2405" spans="1:18" x14ac:dyDescent="0.25">
      <c r="A2405" s="170">
        <v>45546</v>
      </c>
      <c r="B2405" s="116">
        <v>92.79</v>
      </c>
      <c r="C2405" s="116">
        <v>90.59</v>
      </c>
      <c r="D2405" s="116">
        <v>90.17</v>
      </c>
      <c r="E2405" s="116">
        <v>92.03</v>
      </c>
      <c r="F2405" s="116">
        <v>90.59</v>
      </c>
      <c r="G2405">
        <v>299438</v>
      </c>
      <c r="H2405" s="116"/>
      <c r="I2405" s="116"/>
      <c r="L2405" s="170">
        <v>45546</v>
      </c>
      <c r="M2405" s="116">
        <v>90.61</v>
      </c>
      <c r="N2405" s="116">
        <v>92.79</v>
      </c>
      <c r="O2405" s="116">
        <v>90.2</v>
      </c>
      <c r="P2405" s="116">
        <v>92.69</v>
      </c>
      <c r="Q2405" s="116">
        <v>90.61</v>
      </c>
      <c r="R2405">
        <v>3616094</v>
      </c>
    </row>
    <row r="2406" spans="1:18" x14ac:dyDescent="0.25">
      <c r="A2406" s="170">
        <v>45547</v>
      </c>
      <c r="B2406" s="116">
        <v>94.25</v>
      </c>
      <c r="C2406" s="116">
        <v>92.99</v>
      </c>
      <c r="D2406" s="116">
        <v>90</v>
      </c>
      <c r="E2406" s="116">
        <v>90.84</v>
      </c>
      <c r="F2406" s="116">
        <v>92.99</v>
      </c>
      <c r="G2406">
        <v>640209</v>
      </c>
      <c r="H2406" s="116"/>
      <c r="I2406" s="116"/>
      <c r="L2406" s="170">
        <v>45547</v>
      </c>
      <c r="M2406" s="116">
        <v>92.93</v>
      </c>
      <c r="N2406" s="116">
        <v>94.2</v>
      </c>
      <c r="O2406" s="116">
        <v>90.01</v>
      </c>
      <c r="P2406" s="116">
        <v>91.05</v>
      </c>
      <c r="Q2406" s="116">
        <v>92.93</v>
      </c>
      <c r="R2406">
        <v>10992404</v>
      </c>
    </row>
    <row r="2407" spans="1:18" x14ac:dyDescent="0.25">
      <c r="A2407" s="170">
        <v>45548</v>
      </c>
      <c r="B2407" s="116">
        <v>94.18</v>
      </c>
      <c r="C2407" s="116">
        <v>91.86</v>
      </c>
      <c r="D2407" s="116">
        <v>91.61</v>
      </c>
      <c r="E2407" s="116">
        <v>93</v>
      </c>
      <c r="F2407" s="116">
        <v>91.86</v>
      </c>
      <c r="G2407">
        <v>599325</v>
      </c>
      <c r="H2407" s="116"/>
      <c r="I2407" s="116"/>
      <c r="L2407" s="170">
        <v>45548</v>
      </c>
      <c r="M2407" s="116">
        <v>91.86</v>
      </c>
      <c r="N2407" s="116">
        <v>94.2</v>
      </c>
      <c r="O2407" s="116">
        <v>91.56</v>
      </c>
      <c r="P2407" s="116">
        <v>93</v>
      </c>
      <c r="Q2407" s="116">
        <v>91.86</v>
      </c>
      <c r="R2407">
        <v>5418953</v>
      </c>
    </row>
    <row r="2408" spans="1:18" x14ac:dyDescent="0.25">
      <c r="A2408" s="170">
        <v>45551</v>
      </c>
      <c r="B2408" s="116">
        <v>92.89</v>
      </c>
      <c r="C2408" s="116">
        <v>91.04</v>
      </c>
      <c r="D2408" s="116">
        <v>90.81</v>
      </c>
      <c r="E2408" s="116">
        <v>91.97</v>
      </c>
      <c r="F2408" s="116">
        <v>91.04</v>
      </c>
      <c r="G2408">
        <v>602208</v>
      </c>
      <c r="H2408" s="116"/>
      <c r="I2408" s="116"/>
      <c r="L2408" s="170">
        <v>45551</v>
      </c>
      <c r="M2408" s="116">
        <v>91.05</v>
      </c>
      <c r="N2408" s="116">
        <v>92.89</v>
      </c>
      <c r="O2408" s="116">
        <v>90.9</v>
      </c>
      <c r="P2408" s="116">
        <v>92.09</v>
      </c>
      <c r="Q2408" s="116">
        <v>91.05</v>
      </c>
      <c r="R2408">
        <v>3913748</v>
      </c>
    </row>
    <row r="2409" spans="1:18" x14ac:dyDescent="0.25">
      <c r="A2409" s="170">
        <v>45552</v>
      </c>
      <c r="B2409" s="116">
        <v>91.8</v>
      </c>
      <c r="C2409" s="116">
        <v>89.85</v>
      </c>
      <c r="D2409" s="116">
        <v>89.5</v>
      </c>
      <c r="E2409" s="116">
        <v>91</v>
      </c>
      <c r="F2409" s="116">
        <v>89.85</v>
      </c>
      <c r="G2409">
        <v>246925</v>
      </c>
      <c r="H2409" s="116"/>
      <c r="I2409" s="116"/>
      <c r="L2409" s="170">
        <v>45552</v>
      </c>
      <c r="M2409" s="116">
        <v>89.88</v>
      </c>
      <c r="N2409" s="116">
        <v>91.77</v>
      </c>
      <c r="O2409" s="116">
        <v>89.5</v>
      </c>
      <c r="P2409" s="116">
        <v>91.09</v>
      </c>
      <c r="Q2409" s="116">
        <v>89.88</v>
      </c>
      <c r="R2409">
        <v>4283216</v>
      </c>
    </row>
    <row r="2410" spans="1:18" x14ac:dyDescent="0.25">
      <c r="A2410" s="170">
        <v>45553</v>
      </c>
      <c r="B2410" s="116">
        <v>90.63</v>
      </c>
      <c r="C2410" s="116">
        <v>88.35</v>
      </c>
      <c r="D2410" s="116">
        <v>88.03</v>
      </c>
      <c r="E2410" s="116">
        <v>90.09</v>
      </c>
      <c r="F2410" s="116">
        <v>88.35</v>
      </c>
      <c r="G2410">
        <v>237014</v>
      </c>
      <c r="H2410" s="116"/>
      <c r="I2410" s="116"/>
      <c r="L2410" s="170">
        <v>45553</v>
      </c>
      <c r="M2410" s="116">
        <v>88.48</v>
      </c>
      <c r="N2410" s="116">
        <v>90.73</v>
      </c>
      <c r="O2410" s="116">
        <v>88.16</v>
      </c>
      <c r="P2410" s="116">
        <v>89.99</v>
      </c>
      <c r="Q2410" s="116">
        <v>88.48</v>
      </c>
      <c r="R2410">
        <v>3685909</v>
      </c>
    </row>
    <row r="2411" spans="1:18" x14ac:dyDescent="0.25">
      <c r="A2411" s="170">
        <v>45554</v>
      </c>
      <c r="B2411" s="116">
        <v>89.82</v>
      </c>
      <c r="C2411" s="116">
        <v>87.11</v>
      </c>
      <c r="D2411" s="116">
        <v>85.3</v>
      </c>
      <c r="E2411" s="116">
        <v>89.15</v>
      </c>
      <c r="F2411" s="116">
        <v>87.11</v>
      </c>
      <c r="G2411">
        <v>502630</v>
      </c>
      <c r="H2411" s="116"/>
      <c r="I2411" s="116"/>
      <c r="L2411" s="170">
        <v>45554</v>
      </c>
      <c r="M2411" s="116">
        <v>87.11</v>
      </c>
      <c r="N2411" s="116">
        <v>89.97</v>
      </c>
      <c r="O2411" s="116">
        <v>85.22</v>
      </c>
      <c r="P2411" s="116">
        <v>88.93</v>
      </c>
      <c r="Q2411" s="116">
        <v>87.11</v>
      </c>
      <c r="R2411">
        <v>6638555</v>
      </c>
    </row>
    <row r="2412" spans="1:18" x14ac:dyDescent="0.25">
      <c r="A2412" s="170">
        <v>45555</v>
      </c>
      <c r="B2412" s="116">
        <v>88.35</v>
      </c>
      <c r="C2412" s="116">
        <v>87</v>
      </c>
      <c r="D2412" s="116">
        <v>86.3</v>
      </c>
      <c r="E2412" s="116">
        <v>87.77</v>
      </c>
      <c r="F2412" s="116">
        <v>87</v>
      </c>
      <c r="G2412">
        <v>613873</v>
      </c>
      <c r="H2412" s="116"/>
      <c r="I2412" s="116"/>
      <c r="L2412" s="170">
        <v>45555</v>
      </c>
      <c r="M2412" s="116">
        <v>86.98</v>
      </c>
      <c r="N2412" s="116">
        <v>88.39</v>
      </c>
      <c r="O2412" s="116">
        <v>86.21</v>
      </c>
      <c r="P2412" s="116">
        <v>87.6</v>
      </c>
      <c r="Q2412" s="116">
        <v>86.98</v>
      </c>
      <c r="R2412">
        <v>5470694</v>
      </c>
    </row>
    <row r="2413" spans="1:18" x14ac:dyDescent="0.25">
      <c r="A2413" s="170">
        <v>45558</v>
      </c>
      <c r="B2413" s="116">
        <v>89.33</v>
      </c>
      <c r="C2413" s="116">
        <v>86.97</v>
      </c>
      <c r="D2413" s="116">
        <v>86.75</v>
      </c>
      <c r="E2413" s="116">
        <v>87.06</v>
      </c>
      <c r="F2413" s="116">
        <v>86.97</v>
      </c>
      <c r="G2413">
        <v>684807</v>
      </c>
      <c r="H2413" s="116"/>
      <c r="I2413" s="116"/>
      <c r="L2413" s="170">
        <v>45558</v>
      </c>
      <c r="M2413" s="116">
        <v>86.98</v>
      </c>
      <c r="N2413" s="116">
        <v>89.33</v>
      </c>
      <c r="O2413" s="116">
        <v>86.74</v>
      </c>
      <c r="P2413" s="116">
        <v>87.35</v>
      </c>
      <c r="Q2413" s="116">
        <v>86.98</v>
      </c>
      <c r="R2413">
        <v>5913377</v>
      </c>
    </row>
    <row r="2414" spans="1:18" x14ac:dyDescent="0.25">
      <c r="A2414" s="170">
        <v>45559</v>
      </c>
      <c r="B2414" s="116">
        <v>87.6</v>
      </c>
      <c r="C2414" s="116">
        <v>86.41</v>
      </c>
      <c r="D2414" s="116">
        <v>86.11</v>
      </c>
      <c r="E2414" s="116">
        <v>87.6</v>
      </c>
      <c r="F2414" s="116">
        <v>86.41</v>
      </c>
      <c r="G2414">
        <v>207462</v>
      </c>
      <c r="H2414" s="116"/>
      <c r="I2414" s="116"/>
      <c r="L2414" s="170">
        <v>45559</v>
      </c>
      <c r="M2414" s="116">
        <v>86.48</v>
      </c>
      <c r="N2414" s="116">
        <v>87.45</v>
      </c>
      <c r="O2414" s="116">
        <v>86.12</v>
      </c>
      <c r="P2414" s="116">
        <v>87</v>
      </c>
      <c r="Q2414" s="116">
        <v>86.48</v>
      </c>
      <c r="R2414">
        <v>3003033</v>
      </c>
    </row>
    <row r="2415" spans="1:18" x14ac:dyDescent="0.25">
      <c r="A2415" s="170">
        <v>45560</v>
      </c>
      <c r="B2415" s="116">
        <v>87.18</v>
      </c>
      <c r="C2415" s="116">
        <v>85.3</v>
      </c>
      <c r="D2415" s="116">
        <v>85</v>
      </c>
      <c r="E2415" s="116">
        <v>86.39</v>
      </c>
      <c r="F2415" s="116">
        <v>85.3</v>
      </c>
      <c r="G2415">
        <v>386247</v>
      </c>
      <c r="H2415" s="116"/>
      <c r="I2415" s="116"/>
      <c r="L2415" s="170">
        <v>45560</v>
      </c>
      <c r="M2415" s="116">
        <v>85.33</v>
      </c>
      <c r="N2415" s="116">
        <v>87.17</v>
      </c>
      <c r="O2415" s="116">
        <v>85</v>
      </c>
      <c r="P2415" s="116">
        <v>86.48</v>
      </c>
      <c r="Q2415" s="116">
        <v>85.33</v>
      </c>
      <c r="R2415">
        <v>4403026</v>
      </c>
    </row>
    <row r="2416" spans="1:18" x14ac:dyDescent="0.25">
      <c r="A2416" s="170">
        <v>45561</v>
      </c>
      <c r="B2416" s="116">
        <v>85.88</v>
      </c>
      <c r="C2416" s="116">
        <v>84.41</v>
      </c>
      <c r="D2416" s="116">
        <v>83.92</v>
      </c>
      <c r="E2416" s="116">
        <v>85.23</v>
      </c>
      <c r="F2416" s="116">
        <v>84.41</v>
      </c>
      <c r="G2416">
        <v>215630</v>
      </c>
      <c r="H2416" s="116"/>
      <c r="I2416" s="116"/>
      <c r="L2416" s="170">
        <v>45561</v>
      </c>
      <c r="M2416" s="116">
        <v>84.54</v>
      </c>
      <c r="N2416" s="116">
        <v>85.82</v>
      </c>
      <c r="O2416" s="116">
        <v>84.2</v>
      </c>
      <c r="P2416" s="116">
        <v>85.33</v>
      </c>
      <c r="Q2416" s="116">
        <v>84.54</v>
      </c>
      <c r="R2416">
        <v>4290800</v>
      </c>
    </row>
    <row r="2417" spans="1:18" x14ac:dyDescent="0.25">
      <c r="A2417" s="170">
        <v>45562</v>
      </c>
      <c r="B2417" s="116">
        <v>87.1</v>
      </c>
      <c r="C2417" s="116">
        <v>85.01</v>
      </c>
      <c r="D2417" s="116">
        <v>84.7</v>
      </c>
      <c r="E2417" s="116">
        <v>84.73</v>
      </c>
      <c r="F2417" s="116">
        <v>85.01</v>
      </c>
      <c r="G2417">
        <v>327910</v>
      </c>
      <c r="H2417" s="116"/>
      <c r="I2417" s="116"/>
      <c r="L2417" s="170">
        <v>45562</v>
      </c>
      <c r="M2417" s="116">
        <v>85.05</v>
      </c>
      <c r="N2417" s="116">
        <v>87.18</v>
      </c>
      <c r="O2417" s="116">
        <v>84.75</v>
      </c>
      <c r="P2417" s="116">
        <v>84.85</v>
      </c>
      <c r="Q2417" s="116">
        <v>85.05</v>
      </c>
      <c r="R2417">
        <v>4993170</v>
      </c>
    </row>
    <row r="2418" spans="1:18" x14ac:dyDescent="0.25">
      <c r="A2418" s="170">
        <v>45565</v>
      </c>
      <c r="B2418" s="116">
        <v>85.2</v>
      </c>
      <c r="C2418" s="116">
        <v>84.41</v>
      </c>
      <c r="D2418" s="116">
        <v>83.18</v>
      </c>
      <c r="E2418" s="116">
        <v>84.99</v>
      </c>
      <c r="F2418" s="116">
        <v>84.41</v>
      </c>
      <c r="G2418">
        <v>172272</v>
      </c>
      <c r="H2418" s="116"/>
      <c r="I2418" s="116"/>
      <c r="L2418" s="170">
        <v>45565</v>
      </c>
      <c r="M2418" s="116">
        <v>84.5</v>
      </c>
      <c r="N2418" s="116">
        <v>85.25</v>
      </c>
      <c r="O2418" s="116">
        <v>83.13</v>
      </c>
      <c r="P2418" s="116">
        <v>84.5</v>
      </c>
      <c r="Q2418" s="116">
        <v>84.5</v>
      </c>
      <c r="R2418">
        <v>3458347</v>
      </c>
    </row>
    <row r="2419" spans="1:18" x14ac:dyDescent="0.25">
      <c r="A2419" s="170">
        <v>45566</v>
      </c>
      <c r="B2419" s="116">
        <v>86.21</v>
      </c>
      <c r="C2419" s="116">
        <v>85.06</v>
      </c>
      <c r="D2419" s="116">
        <v>84.42</v>
      </c>
      <c r="E2419" s="116">
        <v>84.42</v>
      </c>
      <c r="F2419" s="116">
        <v>85.06</v>
      </c>
      <c r="G2419">
        <v>234580</v>
      </c>
      <c r="H2419" s="116"/>
      <c r="I2419" s="116"/>
      <c r="L2419" s="170">
        <v>45566</v>
      </c>
      <c r="M2419" s="116">
        <v>85.08</v>
      </c>
      <c r="N2419" s="116">
        <v>86.26</v>
      </c>
      <c r="O2419" s="116">
        <v>84.5</v>
      </c>
      <c r="P2419" s="116">
        <v>84.59</v>
      </c>
      <c r="Q2419" s="116">
        <v>85.08</v>
      </c>
      <c r="R2419">
        <v>3728254</v>
      </c>
    </row>
    <row r="2420" spans="1:18" x14ac:dyDescent="0.25">
      <c r="A2420" s="170">
        <v>45568</v>
      </c>
      <c r="B2420" s="116">
        <v>84.66</v>
      </c>
      <c r="C2420" s="116">
        <v>81.34</v>
      </c>
      <c r="D2420" s="116">
        <v>81.010000000000005</v>
      </c>
      <c r="E2420" s="116">
        <v>84.66</v>
      </c>
      <c r="F2420" s="116">
        <v>81.34</v>
      </c>
      <c r="G2420">
        <v>375962</v>
      </c>
      <c r="H2420" s="116"/>
      <c r="I2420" s="116"/>
      <c r="L2420" s="170">
        <v>45568</v>
      </c>
      <c r="M2420" s="116">
        <v>81.260000000000005</v>
      </c>
      <c r="N2420" s="116">
        <v>84.45</v>
      </c>
      <c r="O2420" s="116">
        <v>81</v>
      </c>
      <c r="P2420" s="116">
        <v>84</v>
      </c>
      <c r="Q2420" s="116">
        <v>81.260000000000005</v>
      </c>
      <c r="R2420">
        <v>5232715</v>
      </c>
    </row>
    <row r="2421" spans="1:18" x14ac:dyDescent="0.25">
      <c r="A2421" s="170">
        <v>45569</v>
      </c>
      <c r="B2421" s="116">
        <v>83.34</v>
      </c>
      <c r="C2421" s="116">
        <v>81.39</v>
      </c>
      <c r="D2421" s="116">
        <v>79.5</v>
      </c>
      <c r="E2421" s="116">
        <v>81.400000000000006</v>
      </c>
      <c r="F2421" s="116">
        <v>81.39</v>
      </c>
      <c r="G2421">
        <v>906055</v>
      </c>
      <c r="H2421" s="116"/>
      <c r="I2421" s="116"/>
      <c r="L2421" s="170">
        <v>45569</v>
      </c>
      <c r="M2421" s="116">
        <v>81.45</v>
      </c>
      <c r="N2421" s="116">
        <v>83.35</v>
      </c>
      <c r="O2421" s="116">
        <v>79.510000000000005</v>
      </c>
      <c r="P2421" s="116">
        <v>81.209999999999994</v>
      </c>
      <c r="Q2421" s="116">
        <v>81.45</v>
      </c>
      <c r="R2421">
        <v>5078554</v>
      </c>
    </row>
    <row r="2422" spans="1:18" x14ac:dyDescent="0.25">
      <c r="A2422" s="170">
        <v>45572</v>
      </c>
      <c r="B2422" s="116">
        <v>82.49</v>
      </c>
      <c r="C2422" s="116">
        <v>77.11</v>
      </c>
      <c r="D2422" s="116">
        <v>76.400000000000006</v>
      </c>
      <c r="E2422" s="116">
        <v>82.49</v>
      </c>
      <c r="F2422" s="116">
        <v>77.11</v>
      </c>
      <c r="G2422">
        <v>404416</v>
      </c>
      <c r="H2422" s="116"/>
      <c r="I2422" s="116"/>
      <c r="L2422" s="170">
        <v>45572</v>
      </c>
      <c r="M2422" s="116">
        <v>77.099999999999994</v>
      </c>
      <c r="N2422" s="116">
        <v>82.5</v>
      </c>
      <c r="O2422" s="116">
        <v>76.22</v>
      </c>
      <c r="P2422" s="116">
        <v>81.95</v>
      </c>
      <c r="Q2422" s="116">
        <v>77.099999999999994</v>
      </c>
      <c r="R2422">
        <v>6095352</v>
      </c>
    </row>
    <row r="2423" spans="1:18" x14ac:dyDescent="0.25">
      <c r="A2423" s="170">
        <v>45573</v>
      </c>
      <c r="B2423" s="116">
        <v>80.2</v>
      </c>
      <c r="C2423" s="116">
        <v>79.73</v>
      </c>
      <c r="D2423" s="116">
        <v>75.84</v>
      </c>
      <c r="E2423" s="116">
        <v>77</v>
      </c>
      <c r="F2423" s="116">
        <v>79.73</v>
      </c>
      <c r="G2423">
        <v>877734</v>
      </c>
      <c r="H2423" s="116"/>
      <c r="I2423" s="116"/>
      <c r="L2423" s="170">
        <v>45573</v>
      </c>
      <c r="M2423" s="116">
        <v>79.540000000000006</v>
      </c>
      <c r="N2423" s="116">
        <v>79.989999999999995</v>
      </c>
      <c r="O2423" s="116">
        <v>75.91</v>
      </c>
      <c r="P2423" s="116">
        <v>77</v>
      </c>
      <c r="Q2423" s="116">
        <v>79.540000000000006</v>
      </c>
      <c r="R2423">
        <v>3903990</v>
      </c>
    </row>
    <row r="2424" spans="1:18" x14ac:dyDescent="0.25">
      <c r="A2424" s="170">
        <v>45574</v>
      </c>
      <c r="B2424" s="116">
        <v>81.47</v>
      </c>
      <c r="C2424" s="116">
        <v>79.150000000000006</v>
      </c>
      <c r="D2424" s="116">
        <v>78.650000000000006</v>
      </c>
      <c r="E2424" s="116">
        <v>80.989999999999995</v>
      </c>
      <c r="F2424" s="116">
        <v>79.150000000000006</v>
      </c>
      <c r="G2424">
        <v>614535</v>
      </c>
      <c r="H2424" s="116"/>
      <c r="I2424" s="116"/>
      <c r="L2424" s="170">
        <v>45574</v>
      </c>
      <c r="M2424" s="116">
        <v>79.22</v>
      </c>
      <c r="N2424" s="116">
        <v>81.489999999999995</v>
      </c>
      <c r="O2424" s="116">
        <v>79.02</v>
      </c>
      <c r="P2424" s="116">
        <v>80.5</v>
      </c>
      <c r="Q2424" s="116">
        <v>79.22</v>
      </c>
      <c r="R2424">
        <v>3277280</v>
      </c>
    </row>
    <row r="2425" spans="1:18" x14ac:dyDescent="0.25">
      <c r="A2425" s="170">
        <v>45575</v>
      </c>
      <c r="B2425" s="116">
        <v>86.28</v>
      </c>
      <c r="C2425" s="116">
        <v>83.7</v>
      </c>
      <c r="D2425" s="116">
        <v>78.010000000000005</v>
      </c>
      <c r="E2425" s="116">
        <v>78.010000000000005</v>
      </c>
      <c r="F2425" s="116">
        <v>83.7</v>
      </c>
      <c r="G2425">
        <v>1452628</v>
      </c>
      <c r="H2425" s="116"/>
      <c r="I2425" s="116"/>
      <c r="L2425" s="170">
        <v>45575</v>
      </c>
      <c r="M2425" s="116">
        <v>83.79</v>
      </c>
      <c r="N2425" s="116">
        <v>86.33</v>
      </c>
      <c r="O2425" s="116">
        <v>78.05</v>
      </c>
      <c r="P2425" s="116">
        <v>78.05</v>
      </c>
      <c r="Q2425" s="116">
        <v>83.79</v>
      </c>
      <c r="R2425">
        <v>33694497</v>
      </c>
    </row>
    <row r="2426" spans="1:18" x14ac:dyDescent="0.25">
      <c r="A2426" s="170">
        <v>45576</v>
      </c>
      <c r="B2426" s="116">
        <v>83.77</v>
      </c>
      <c r="C2426" s="116">
        <v>81.94</v>
      </c>
      <c r="D2426" s="116">
        <v>81.7</v>
      </c>
      <c r="E2426" s="116">
        <v>83.77</v>
      </c>
      <c r="F2426" s="116">
        <v>81.94</v>
      </c>
      <c r="G2426">
        <v>266390</v>
      </c>
      <c r="H2426" s="116"/>
      <c r="I2426" s="116"/>
      <c r="L2426" s="170">
        <v>45576</v>
      </c>
      <c r="M2426" s="116">
        <v>81.900000000000006</v>
      </c>
      <c r="N2426" s="116">
        <v>83.7</v>
      </c>
      <c r="O2426" s="116">
        <v>81.650000000000006</v>
      </c>
      <c r="P2426" s="116">
        <v>83.7</v>
      </c>
      <c r="Q2426" s="116">
        <v>81.900000000000006</v>
      </c>
      <c r="R2426">
        <v>5477946</v>
      </c>
    </row>
    <row r="2427" spans="1:18" x14ac:dyDescent="0.25">
      <c r="A2427" s="170">
        <v>45579</v>
      </c>
      <c r="B2427" s="116">
        <v>82.54</v>
      </c>
      <c r="C2427" s="116">
        <v>80.78</v>
      </c>
      <c r="D2427" s="116">
        <v>80.52</v>
      </c>
      <c r="E2427" s="116">
        <v>81.900000000000006</v>
      </c>
      <c r="F2427" s="116">
        <v>80.78</v>
      </c>
      <c r="G2427">
        <v>370471</v>
      </c>
      <c r="H2427" s="116"/>
      <c r="I2427" s="116"/>
      <c r="L2427" s="170">
        <v>45579</v>
      </c>
      <c r="M2427" s="116">
        <v>80.78</v>
      </c>
      <c r="N2427" s="116">
        <v>82.48</v>
      </c>
      <c r="O2427" s="116">
        <v>80.5</v>
      </c>
      <c r="P2427" s="116">
        <v>81.900000000000006</v>
      </c>
      <c r="Q2427" s="116">
        <v>80.78</v>
      </c>
      <c r="R2427">
        <v>2724214</v>
      </c>
    </row>
    <row r="2428" spans="1:18" x14ac:dyDescent="0.25">
      <c r="A2428" s="170">
        <v>45580</v>
      </c>
      <c r="B2428" s="116">
        <v>81.260000000000005</v>
      </c>
      <c r="C2428" s="116">
        <v>79.7</v>
      </c>
      <c r="D2428" s="116">
        <v>79.41</v>
      </c>
      <c r="E2428" s="116">
        <v>80.78</v>
      </c>
      <c r="F2428" s="116">
        <v>79.7</v>
      </c>
      <c r="G2428">
        <v>306838</v>
      </c>
      <c r="H2428" s="116"/>
      <c r="I2428" s="116"/>
      <c r="L2428" s="170">
        <v>45580</v>
      </c>
      <c r="M2428" s="116">
        <v>79.67</v>
      </c>
      <c r="N2428" s="116">
        <v>81.38</v>
      </c>
      <c r="O2428" s="116">
        <v>79.260000000000005</v>
      </c>
      <c r="P2428" s="116">
        <v>80.81</v>
      </c>
      <c r="Q2428" s="116">
        <v>79.67</v>
      </c>
      <c r="R2428">
        <v>2626330</v>
      </c>
    </row>
    <row r="2429" spans="1:18" x14ac:dyDescent="0.25">
      <c r="A2429" s="170">
        <v>45581</v>
      </c>
      <c r="B2429" s="116">
        <v>83.62</v>
      </c>
      <c r="C2429" s="116">
        <v>80.91</v>
      </c>
      <c r="D2429" s="116">
        <v>79.12</v>
      </c>
      <c r="E2429" s="116">
        <v>79.12</v>
      </c>
      <c r="F2429" s="116">
        <v>80.91</v>
      </c>
      <c r="G2429">
        <v>751708</v>
      </c>
      <c r="H2429" s="116"/>
      <c r="I2429" s="116"/>
      <c r="L2429" s="170">
        <v>45581</v>
      </c>
      <c r="M2429" s="116">
        <v>80.97</v>
      </c>
      <c r="N2429" s="116">
        <v>83.7</v>
      </c>
      <c r="O2429" s="116">
        <v>79.56</v>
      </c>
      <c r="P2429" s="116">
        <v>79.59</v>
      </c>
      <c r="Q2429" s="116">
        <v>80.97</v>
      </c>
      <c r="R2429">
        <v>8129566</v>
      </c>
    </row>
    <row r="2430" spans="1:18" x14ac:dyDescent="0.25">
      <c r="A2430" s="170">
        <v>45582</v>
      </c>
      <c r="B2430" s="116">
        <v>81.3</v>
      </c>
      <c r="C2430" s="116">
        <v>79.14</v>
      </c>
      <c r="D2430" s="116">
        <v>78.75</v>
      </c>
      <c r="E2430" s="116">
        <v>80.97</v>
      </c>
      <c r="F2430" s="116">
        <v>79.14</v>
      </c>
      <c r="G2430">
        <v>198200</v>
      </c>
      <c r="H2430" s="116"/>
      <c r="I2430" s="116"/>
      <c r="L2430" s="170">
        <v>45582</v>
      </c>
      <c r="M2430" s="116">
        <v>79.099999999999994</v>
      </c>
      <c r="N2430" s="116">
        <v>81.36</v>
      </c>
      <c r="O2430" s="116">
        <v>78.69</v>
      </c>
      <c r="P2430" s="116">
        <v>81.05</v>
      </c>
      <c r="Q2430" s="116">
        <v>79.099999999999994</v>
      </c>
      <c r="R2430">
        <v>3326863</v>
      </c>
    </row>
    <row r="2431" spans="1:18" x14ac:dyDescent="0.25">
      <c r="A2431" s="170">
        <v>45583</v>
      </c>
      <c r="B2431" s="116">
        <v>80.680000000000007</v>
      </c>
      <c r="C2431" s="116">
        <v>79.63</v>
      </c>
      <c r="D2431" s="116">
        <v>77.45</v>
      </c>
      <c r="E2431" s="116">
        <v>79.09</v>
      </c>
      <c r="F2431" s="116">
        <v>79.63</v>
      </c>
      <c r="G2431">
        <v>438079</v>
      </c>
      <c r="H2431" s="116"/>
      <c r="I2431" s="116"/>
      <c r="L2431" s="170">
        <v>45583</v>
      </c>
      <c r="M2431" s="116">
        <v>79.7</v>
      </c>
      <c r="N2431" s="116">
        <v>80.709999999999994</v>
      </c>
      <c r="O2431" s="116">
        <v>77.349999999999994</v>
      </c>
      <c r="P2431" s="116">
        <v>78.59</v>
      </c>
      <c r="Q2431" s="116">
        <v>79.7</v>
      </c>
      <c r="R2431">
        <v>4232553</v>
      </c>
    </row>
    <row r="2432" spans="1:18" x14ac:dyDescent="0.25">
      <c r="A2432" s="170">
        <v>45586</v>
      </c>
      <c r="B2432" s="116">
        <v>81.78</v>
      </c>
      <c r="C2432" s="116">
        <v>77.61</v>
      </c>
      <c r="D2432" s="116">
        <v>76.5</v>
      </c>
      <c r="E2432" s="116">
        <v>80.010000000000005</v>
      </c>
      <c r="F2432" s="116">
        <v>77.61</v>
      </c>
      <c r="G2432">
        <v>437857</v>
      </c>
      <c r="H2432" s="116"/>
      <c r="I2432" s="116"/>
      <c r="L2432" s="170">
        <v>45586</v>
      </c>
      <c r="M2432" s="116">
        <v>77.569999999999993</v>
      </c>
      <c r="N2432" s="116">
        <v>81.83</v>
      </c>
      <c r="O2432" s="116">
        <v>76.5</v>
      </c>
      <c r="P2432" s="116">
        <v>80.33</v>
      </c>
      <c r="Q2432" s="116">
        <v>77.569999999999993</v>
      </c>
      <c r="R2432">
        <v>6850333</v>
      </c>
    </row>
    <row r="2433" spans="1:18" x14ac:dyDescent="0.25">
      <c r="A2433" s="170">
        <v>45587</v>
      </c>
      <c r="B2433" s="116">
        <v>78.47</v>
      </c>
      <c r="C2433" s="116">
        <v>73.03</v>
      </c>
      <c r="D2433" s="116">
        <v>72.17</v>
      </c>
      <c r="E2433" s="116">
        <v>78</v>
      </c>
      <c r="F2433" s="116">
        <v>73.03</v>
      </c>
      <c r="G2433">
        <v>999367</v>
      </c>
      <c r="H2433" s="116"/>
      <c r="I2433" s="116"/>
      <c r="L2433" s="170">
        <v>45587</v>
      </c>
      <c r="M2433" s="116">
        <v>73.06</v>
      </c>
      <c r="N2433" s="116">
        <v>78.47</v>
      </c>
      <c r="O2433" s="116">
        <v>72.25</v>
      </c>
      <c r="P2433" s="116">
        <v>78</v>
      </c>
      <c r="Q2433" s="116">
        <v>73.06</v>
      </c>
      <c r="R2433">
        <v>6484810</v>
      </c>
    </row>
    <row r="2434" spans="1:18" x14ac:dyDescent="0.25">
      <c r="A2434" s="170">
        <v>45588</v>
      </c>
      <c r="B2434" s="116">
        <v>75.349999999999994</v>
      </c>
      <c r="C2434" s="116">
        <v>74.510000000000005</v>
      </c>
      <c r="D2434" s="116">
        <v>70.67</v>
      </c>
      <c r="E2434" s="116">
        <v>73.069999999999993</v>
      </c>
      <c r="F2434" s="116">
        <v>74.510000000000005</v>
      </c>
      <c r="G2434">
        <v>492043</v>
      </c>
      <c r="H2434" s="116"/>
      <c r="I2434" s="116"/>
      <c r="L2434" s="170">
        <v>45588</v>
      </c>
      <c r="M2434" s="116">
        <v>74.430000000000007</v>
      </c>
      <c r="N2434" s="116">
        <v>75.349999999999994</v>
      </c>
      <c r="O2434" s="116">
        <v>70.61</v>
      </c>
      <c r="P2434" s="116">
        <v>73.19</v>
      </c>
      <c r="Q2434" s="116">
        <v>74.430000000000007</v>
      </c>
      <c r="R2434">
        <v>6789010</v>
      </c>
    </row>
    <row r="2435" spans="1:18" x14ac:dyDescent="0.25">
      <c r="A2435" s="170">
        <v>45589</v>
      </c>
      <c r="B2435" s="116">
        <v>75.33</v>
      </c>
      <c r="C2435" s="116">
        <v>72.510000000000005</v>
      </c>
      <c r="D2435" s="116">
        <v>72</v>
      </c>
      <c r="E2435" s="116">
        <v>74.5</v>
      </c>
      <c r="F2435" s="116">
        <v>72.510000000000005</v>
      </c>
      <c r="G2435">
        <v>565328</v>
      </c>
      <c r="H2435" s="116"/>
      <c r="I2435" s="116"/>
      <c r="L2435" s="170">
        <v>45589</v>
      </c>
      <c r="M2435" s="116">
        <v>72.66</v>
      </c>
      <c r="N2435" s="116">
        <v>75.3</v>
      </c>
      <c r="O2435" s="116">
        <v>72.2</v>
      </c>
      <c r="P2435" s="116">
        <v>74.430000000000007</v>
      </c>
      <c r="Q2435" s="116">
        <v>72.66</v>
      </c>
      <c r="R2435">
        <v>3590633</v>
      </c>
    </row>
    <row r="2436" spans="1:18" x14ac:dyDescent="0.25">
      <c r="A2436" s="170">
        <v>45590</v>
      </c>
      <c r="B2436" s="116">
        <v>73.23</v>
      </c>
      <c r="C2436" s="116">
        <v>69.12</v>
      </c>
      <c r="D2436" s="116">
        <v>68.290000000000006</v>
      </c>
      <c r="E2436" s="116">
        <v>72.52</v>
      </c>
      <c r="F2436" s="116">
        <v>69.12</v>
      </c>
      <c r="G2436">
        <v>549523</v>
      </c>
      <c r="H2436" s="116"/>
      <c r="I2436" s="116"/>
      <c r="L2436" s="170">
        <v>45590</v>
      </c>
      <c r="M2436" s="116">
        <v>69.17</v>
      </c>
      <c r="N2436" s="116">
        <v>73.2</v>
      </c>
      <c r="O2436" s="116">
        <v>68.25</v>
      </c>
      <c r="P2436" s="116">
        <v>72.69</v>
      </c>
      <c r="Q2436" s="116">
        <v>69.17</v>
      </c>
      <c r="R2436">
        <v>6049160</v>
      </c>
    </row>
    <row r="2437" spans="1:18" x14ac:dyDescent="0.25">
      <c r="A2437" s="170">
        <v>45593</v>
      </c>
      <c r="B2437" s="116">
        <v>71.87</v>
      </c>
      <c r="C2437" s="116">
        <v>71.010000000000005</v>
      </c>
      <c r="D2437" s="116">
        <v>68.45</v>
      </c>
      <c r="E2437" s="116">
        <v>69.489999999999995</v>
      </c>
      <c r="F2437" s="116">
        <v>71.010000000000005</v>
      </c>
      <c r="G2437">
        <v>323710</v>
      </c>
      <c r="H2437" s="116"/>
      <c r="I2437" s="116"/>
      <c r="L2437" s="170">
        <v>45593</v>
      </c>
      <c r="M2437" s="116">
        <v>70.98</v>
      </c>
      <c r="N2437" s="116">
        <v>71.89</v>
      </c>
      <c r="O2437" s="116">
        <v>68.5</v>
      </c>
      <c r="P2437" s="116">
        <v>69.25</v>
      </c>
      <c r="Q2437" s="116">
        <v>70.98</v>
      </c>
      <c r="R2437">
        <v>5986234</v>
      </c>
    </row>
    <row r="2438" spans="1:18" x14ac:dyDescent="0.25">
      <c r="A2438" s="170">
        <v>45594</v>
      </c>
      <c r="B2438" s="116">
        <v>72.12</v>
      </c>
      <c r="C2438" s="116">
        <v>70.83</v>
      </c>
      <c r="D2438" s="116">
        <v>69.86</v>
      </c>
      <c r="E2438" s="116">
        <v>71.489999999999995</v>
      </c>
      <c r="F2438" s="116">
        <v>70.83</v>
      </c>
      <c r="G2438">
        <v>315987</v>
      </c>
      <c r="H2438" s="116"/>
      <c r="I2438" s="116"/>
      <c r="L2438" s="170">
        <v>45594</v>
      </c>
      <c r="M2438" s="116">
        <v>70.81</v>
      </c>
      <c r="N2438" s="116">
        <v>72.23</v>
      </c>
      <c r="O2438" s="116">
        <v>69.81</v>
      </c>
      <c r="P2438" s="116">
        <v>71.03</v>
      </c>
      <c r="Q2438" s="116">
        <v>70.81</v>
      </c>
      <c r="R2438">
        <v>3007017</v>
      </c>
    </row>
    <row r="2439" spans="1:18" x14ac:dyDescent="0.25">
      <c r="A2439" s="170">
        <v>45595</v>
      </c>
      <c r="B2439" s="116">
        <v>73.16</v>
      </c>
      <c r="C2439" s="116">
        <v>72.55</v>
      </c>
      <c r="D2439" s="116">
        <v>70.58</v>
      </c>
      <c r="E2439" s="116">
        <v>70.900000000000006</v>
      </c>
      <c r="F2439" s="116">
        <v>72.55</v>
      </c>
      <c r="G2439">
        <v>526851</v>
      </c>
      <c r="H2439" s="116"/>
      <c r="I2439" s="116"/>
      <c r="L2439" s="170">
        <v>45595</v>
      </c>
      <c r="M2439" s="116">
        <v>72.59</v>
      </c>
      <c r="N2439" s="116">
        <v>73.2</v>
      </c>
      <c r="O2439" s="116">
        <v>70.55</v>
      </c>
      <c r="P2439" s="116">
        <v>72</v>
      </c>
      <c r="Q2439" s="116">
        <v>72.59</v>
      </c>
      <c r="R2439">
        <v>3416652</v>
      </c>
    </row>
    <row r="2440" spans="1:18" x14ac:dyDescent="0.25">
      <c r="A2440" s="170">
        <v>45596</v>
      </c>
      <c r="B2440" s="116">
        <v>73.92</v>
      </c>
      <c r="C2440" s="116">
        <v>73.58</v>
      </c>
      <c r="D2440" s="116">
        <v>71.86</v>
      </c>
      <c r="E2440" s="116">
        <v>72.87</v>
      </c>
      <c r="F2440" s="116">
        <v>73.58</v>
      </c>
      <c r="G2440">
        <v>148703</v>
      </c>
      <c r="H2440" s="116"/>
      <c r="I2440" s="116"/>
      <c r="L2440" s="170">
        <v>45596</v>
      </c>
      <c r="M2440" s="116">
        <v>73.45</v>
      </c>
      <c r="N2440" s="116">
        <v>73.900000000000006</v>
      </c>
      <c r="O2440" s="116">
        <v>71.81</v>
      </c>
      <c r="P2440" s="116">
        <v>72.5</v>
      </c>
      <c r="Q2440" s="116">
        <v>73.45</v>
      </c>
      <c r="R2440">
        <v>2999472</v>
      </c>
    </row>
    <row r="2441" spans="1:18" x14ac:dyDescent="0.25">
      <c r="A2441" s="170">
        <v>45597</v>
      </c>
      <c r="B2441" s="116">
        <v>75</v>
      </c>
      <c r="C2441" s="116">
        <v>74.680000000000007</v>
      </c>
      <c r="D2441" s="116">
        <v>73.7</v>
      </c>
      <c r="E2441" s="116">
        <v>73.930000000000007</v>
      </c>
      <c r="F2441" s="116">
        <v>74.680000000000007</v>
      </c>
      <c r="G2441">
        <v>103643</v>
      </c>
      <c r="H2441" s="116"/>
      <c r="I2441" s="116"/>
      <c r="L2441" s="170">
        <v>45597</v>
      </c>
      <c r="M2441" s="116">
        <v>74.680000000000007</v>
      </c>
      <c r="N2441" s="116">
        <v>75</v>
      </c>
      <c r="O2441" s="116">
        <v>73.69</v>
      </c>
      <c r="P2441" s="116">
        <v>73.849999999999994</v>
      </c>
      <c r="Q2441" s="116">
        <v>74.680000000000007</v>
      </c>
      <c r="R2441">
        <v>1074207</v>
      </c>
    </row>
    <row r="2442" spans="1:18" x14ac:dyDescent="0.25">
      <c r="A2442" s="170">
        <v>45600</v>
      </c>
      <c r="B2442" s="116">
        <v>76.78</v>
      </c>
      <c r="C2442" s="116">
        <v>72.319999999999993</v>
      </c>
      <c r="D2442" s="116">
        <v>71.709999999999994</v>
      </c>
      <c r="E2442" s="116">
        <v>76</v>
      </c>
      <c r="F2442" s="116">
        <v>72.319999999999993</v>
      </c>
      <c r="G2442">
        <v>423806</v>
      </c>
      <c r="H2442" s="116"/>
      <c r="I2442" s="116"/>
      <c r="L2442" s="170">
        <v>45600</v>
      </c>
      <c r="M2442" s="116">
        <v>72.209999999999994</v>
      </c>
      <c r="N2442" s="116">
        <v>76.86</v>
      </c>
      <c r="O2442" s="116">
        <v>71.55</v>
      </c>
      <c r="P2442" s="116">
        <v>76.2</v>
      </c>
      <c r="Q2442" s="116">
        <v>72.209999999999994</v>
      </c>
      <c r="R2442">
        <v>3553228</v>
      </c>
    </row>
    <row r="2443" spans="1:18" x14ac:dyDescent="0.25">
      <c r="A2443" s="170">
        <v>45601</v>
      </c>
      <c r="B2443" s="116">
        <v>72.540000000000006</v>
      </c>
      <c r="C2443" s="116">
        <v>72.06</v>
      </c>
      <c r="D2443" s="116">
        <v>70.930000000000007</v>
      </c>
      <c r="E2443" s="116">
        <v>72.010000000000005</v>
      </c>
      <c r="F2443" s="116">
        <v>72.06</v>
      </c>
      <c r="G2443">
        <v>339110</v>
      </c>
      <c r="H2443" s="116"/>
      <c r="I2443" s="116"/>
      <c r="L2443" s="170">
        <v>45601</v>
      </c>
      <c r="M2443" s="116">
        <v>72.069999999999993</v>
      </c>
      <c r="N2443" s="116">
        <v>72.739999999999995</v>
      </c>
      <c r="O2443" s="116">
        <v>70.900000000000006</v>
      </c>
      <c r="P2443" s="116">
        <v>72</v>
      </c>
      <c r="Q2443" s="116">
        <v>72.069999999999993</v>
      </c>
      <c r="R2443">
        <v>2507848</v>
      </c>
    </row>
    <row r="2444" spans="1:18" x14ac:dyDescent="0.25">
      <c r="A2444" s="170">
        <v>45602</v>
      </c>
      <c r="B2444" s="116">
        <v>74</v>
      </c>
      <c r="C2444" s="116">
        <v>73.55</v>
      </c>
      <c r="D2444" s="116">
        <v>71.69</v>
      </c>
      <c r="E2444" s="116">
        <v>72.12</v>
      </c>
      <c r="F2444" s="116">
        <v>73.55</v>
      </c>
      <c r="G2444">
        <v>182160</v>
      </c>
      <c r="H2444" s="116"/>
      <c r="I2444" s="116"/>
      <c r="L2444" s="170">
        <v>45602</v>
      </c>
      <c r="M2444" s="116">
        <v>73.53</v>
      </c>
      <c r="N2444" s="116">
        <v>74</v>
      </c>
      <c r="O2444" s="116">
        <v>71.7</v>
      </c>
      <c r="P2444" s="116">
        <v>72.599999999999994</v>
      </c>
      <c r="Q2444" s="116">
        <v>73.53</v>
      </c>
      <c r="R2444">
        <v>3090601</v>
      </c>
    </row>
    <row r="2445" spans="1:18" x14ac:dyDescent="0.25">
      <c r="A2445" s="170">
        <v>45603</v>
      </c>
      <c r="B2445" s="116">
        <v>74.95</v>
      </c>
      <c r="C2445" s="116">
        <v>72.790000000000006</v>
      </c>
      <c r="D2445" s="116">
        <v>72.31</v>
      </c>
      <c r="E2445" s="116">
        <v>73.989999999999995</v>
      </c>
      <c r="F2445" s="116">
        <v>72.790000000000006</v>
      </c>
      <c r="G2445">
        <v>355419</v>
      </c>
      <c r="H2445" s="116"/>
      <c r="I2445" s="116"/>
      <c r="L2445" s="170">
        <v>45603</v>
      </c>
      <c r="M2445" s="116">
        <v>72.77</v>
      </c>
      <c r="N2445" s="116">
        <v>74.94</v>
      </c>
      <c r="O2445" s="116">
        <v>72.25</v>
      </c>
      <c r="P2445" s="116">
        <v>73.66</v>
      </c>
      <c r="Q2445" s="116">
        <v>72.77</v>
      </c>
      <c r="R2445">
        <v>2700477</v>
      </c>
    </row>
    <row r="2446" spans="1:18" x14ac:dyDescent="0.25">
      <c r="A2446" s="170">
        <v>45604</v>
      </c>
      <c r="B2446" s="116">
        <v>72.790000000000006</v>
      </c>
      <c r="C2446" s="116">
        <v>70.97</v>
      </c>
      <c r="D2446" s="116">
        <v>70.52</v>
      </c>
      <c r="E2446" s="116">
        <v>72.5</v>
      </c>
      <c r="F2446" s="116">
        <v>70.97</v>
      </c>
      <c r="G2446">
        <v>268476</v>
      </c>
      <c r="H2446" s="116"/>
      <c r="I2446" s="116"/>
      <c r="L2446" s="170">
        <v>45604</v>
      </c>
      <c r="M2446" s="116">
        <v>70.89</v>
      </c>
      <c r="N2446" s="116">
        <v>72.8</v>
      </c>
      <c r="O2446" s="116">
        <v>70.45</v>
      </c>
      <c r="P2446" s="116">
        <v>72.5</v>
      </c>
      <c r="Q2446" s="116">
        <v>70.89</v>
      </c>
      <c r="R2446">
        <v>2227941</v>
      </c>
    </row>
    <row r="2447" spans="1:18" x14ac:dyDescent="0.25">
      <c r="A2447" s="170">
        <v>45607</v>
      </c>
      <c r="B2447" s="116">
        <v>71.38</v>
      </c>
      <c r="C2447" s="116">
        <v>70.34</v>
      </c>
      <c r="D2447" s="116">
        <v>69.39</v>
      </c>
      <c r="E2447" s="116">
        <v>70.89</v>
      </c>
      <c r="F2447" s="116">
        <v>70.34</v>
      </c>
      <c r="G2447">
        <v>662422</v>
      </c>
      <c r="H2447" s="116"/>
      <c r="I2447" s="116"/>
      <c r="L2447" s="170">
        <v>45607</v>
      </c>
      <c r="M2447" s="116">
        <v>70.319999999999993</v>
      </c>
      <c r="N2447" s="116">
        <v>71.400000000000006</v>
      </c>
      <c r="O2447" s="116">
        <v>69.31</v>
      </c>
      <c r="P2447" s="116">
        <v>70.88</v>
      </c>
      <c r="Q2447" s="116">
        <v>70.319999999999993</v>
      </c>
      <c r="R2447">
        <v>3305276</v>
      </c>
    </row>
    <row r="2448" spans="1:18" x14ac:dyDescent="0.25">
      <c r="A2448" s="170">
        <v>45608</v>
      </c>
      <c r="B2448" s="116">
        <v>71.36</v>
      </c>
      <c r="C2448" s="116">
        <v>69.56</v>
      </c>
      <c r="D2448" s="116">
        <v>69.02</v>
      </c>
      <c r="E2448" s="116">
        <v>70.319999999999993</v>
      </c>
      <c r="F2448" s="116">
        <v>69.56</v>
      </c>
      <c r="G2448">
        <v>449040</v>
      </c>
      <c r="H2448" s="116"/>
      <c r="I2448" s="116"/>
      <c r="L2448" s="170">
        <v>45608</v>
      </c>
      <c r="M2448" s="116">
        <v>69.53</v>
      </c>
      <c r="N2448" s="116">
        <v>71.510000000000005</v>
      </c>
      <c r="O2448" s="116">
        <v>69</v>
      </c>
      <c r="P2448" s="116">
        <v>70.5</v>
      </c>
      <c r="Q2448" s="116">
        <v>69.53</v>
      </c>
      <c r="R2448">
        <v>2897326</v>
      </c>
    </row>
    <row r="2449" spans="1:18" x14ac:dyDescent="0.25">
      <c r="A2449" s="170">
        <v>45609</v>
      </c>
      <c r="B2449" s="116">
        <v>69.599999999999994</v>
      </c>
      <c r="C2449" s="116">
        <v>67.12</v>
      </c>
      <c r="D2449" s="116">
        <v>66.91</v>
      </c>
      <c r="E2449" s="116">
        <v>69.010000000000005</v>
      </c>
      <c r="F2449" s="116">
        <v>67.12</v>
      </c>
      <c r="G2449">
        <v>559894</v>
      </c>
      <c r="H2449" s="116"/>
      <c r="I2449" s="116"/>
      <c r="L2449" s="170">
        <v>45609</v>
      </c>
      <c r="M2449" s="116">
        <v>67.11</v>
      </c>
      <c r="N2449" s="116">
        <v>69.650000000000006</v>
      </c>
      <c r="O2449" s="116">
        <v>66.7</v>
      </c>
      <c r="P2449" s="116">
        <v>69.540000000000006</v>
      </c>
      <c r="Q2449" s="116">
        <v>67.11</v>
      </c>
      <c r="R2449">
        <v>2525546</v>
      </c>
    </row>
    <row r="2450" spans="1:18" x14ac:dyDescent="0.25">
      <c r="A2450" s="170">
        <v>45610</v>
      </c>
      <c r="B2450" s="116">
        <v>68.819999999999993</v>
      </c>
      <c r="C2450" s="116">
        <v>67.569999999999993</v>
      </c>
      <c r="D2450" s="116">
        <v>67.349999999999994</v>
      </c>
      <c r="E2450" s="116">
        <v>68.31</v>
      </c>
      <c r="F2450" s="116">
        <v>67.569999999999993</v>
      </c>
      <c r="G2450">
        <v>407551</v>
      </c>
      <c r="H2450" s="116"/>
      <c r="I2450" s="116"/>
      <c r="L2450" s="170">
        <v>45610</v>
      </c>
      <c r="M2450" s="116">
        <v>67.61</v>
      </c>
      <c r="N2450" s="116">
        <v>68.78</v>
      </c>
      <c r="O2450" s="116">
        <v>67.3</v>
      </c>
      <c r="P2450" s="116">
        <v>67.92</v>
      </c>
      <c r="Q2450" s="116">
        <v>67.61</v>
      </c>
      <c r="R2450">
        <v>2348689</v>
      </c>
    </row>
    <row r="2451" spans="1:18" x14ac:dyDescent="0.25">
      <c r="A2451" s="170">
        <v>45614</v>
      </c>
      <c r="B2451" s="116">
        <v>68.540000000000006</v>
      </c>
      <c r="C2451" s="116">
        <v>67.41</v>
      </c>
      <c r="D2451" s="116">
        <v>66.540000000000006</v>
      </c>
      <c r="E2451" s="116">
        <v>67.84</v>
      </c>
      <c r="F2451" s="116">
        <v>67.41</v>
      </c>
      <c r="G2451">
        <v>166702</v>
      </c>
      <c r="H2451" s="116"/>
      <c r="I2451" s="116"/>
      <c r="L2451" s="170">
        <v>45614</v>
      </c>
      <c r="M2451" s="116">
        <v>67.400000000000006</v>
      </c>
      <c r="N2451" s="116">
        <v>68.45</v>
      </c>
      <c r="O2451" s="116">
        <v>66.599999999999994</v>
      </c>
      <c r="P2451" s="116">
        <v>67.650000000000006</v>
      </c>
      <c r="Q2451" s="116">
        <v>67.400000000000006</v>
      </c>
      <c r="R2451">
        <v>2227361</v>
      </c>
    </row>
    <row r="2452" spans="1:18" x14ac:dyDescent="0.25">
      <c r="A2452" s="170">
        <v>45615</v>
      </c>
      <c r="B2452" s="116">
        <v>69.63</v>
      </c>
      <c r="C2452" s="116">
        <v>68.45</v>
      </c>
      <c r="D2452" s="116">
        <v>67.48</v>
      </c>
      <c r="E2452" s="116">
        <v>67.48</v>
      </c>
      <c r="F2452" s="116">
        <v>68.45</v>
      </c>
      <c r="G2452">
        <v>370577</v>
      </c>
      <c r="H2452" s="116"/>
      <c r="I2452" s="116"/>
      <c r="L2452" s="170">
        <v>45615</v>
      </c>
      <c r="M2452" s="116">
        <v>68.36</v>
      </c>
      <c r="N2452" s="116">
        <v>69.69</v>
      </c>
      <c r="O2452" s="116">
        <v>67.819999999999993</v>
      </c>
      <c r="P2452" s="116">
        <v>67.86</v>
      </c>
      <c r="Q2452" s="116">
        <v>68.36</v>
      </c>
      <c r="R2452">
        <v>2227524</v>
      </c>
    </row>
    <row r="2453" spans="1:18" x14ac:dyDescent="0.25">
      <c r="A2453" s="170">
        <v>45617</v>
      </c>
      <c r="B2453" s="116">
        <v>69.39</v>
      </c>
      <c r="C2453" s="116">
        <v>66.680000000000007</v>
      </c>
      <c r="D2453" s="116">
        <v>66.5</v>
      </c>
      <c r="E2453" s="116">
        <v>69.39</v>
      </c>
      <c r="F2453" s="116">
        <v>66.680000000000007</v>
      </c>
      <c r="G2453">
        <v>372627</v>
      </c>
      <c r="H2453" s="116"/>
      <c r="I2453" s="116"/>
      <c r="L2453" s="170">
        <v>45617</v>
      </c>
      <c r="M2453" s="116">
        <v>66.650000000000006</v>
      </c>
      <c r="N2453" s="116">
        <v>69.36</v>
      </c>
      <c r="O2453" s="116">
        <v>66.36</v>
      </c>
      <c r="P2453" s="116">
        <v>69.010000000000005</v>
      </c>
      <c r="Q2453" s="116">
        <v>66.650000000000006</v>
      </c>
      <c r="R2453">
        <v>2825595</v>
      </c>
    </row>
    <row r="2454" spans="1:18" x14ac:dyDescent="0.25">
      <c r="A2454" s="170">
        <v>45618</v>
      </c>
      <c r="B2454" s="116">
        <v>67.95</v>
      </c>
      <c r="C2454" s="116">
        <v>66.84</v>
      </c>
      <c r="D2454" s="116">
        <v>65.91</v>
      </c>
      <c r="E2454" s="116">
        <v>67.11</v>
      </c>
      <c r="F2454" s="116">
        <v>66.84</v>
      </c>
      <c r="G2454">
        <v>290623</v>
      </c>
      <c r="H2454" s="116"/>
      <c r="I2454" s="116"/>
      <c r="L2454" s="170">
        <v>45618</v>
      </c>
      <c r="M2454" s="116">
        <v>66.819999999999993</v>
      </c>
      <c r="N2454" s="116">
        <v>67.95</v>
      </c>
      <c r="O2454" s="116">
        <v>65.819999999999993</v>
      </c>
      <c r="P2454" s="116">
        <v>66.98</v>
      </c>
      <c r="Q2454" s="116">
        <v>66.819999999999993</v>
      </c>
      <c r="R2454">
        <v>2563242</v>
      </c>
    </row>
    <row r="2455" spans="1:18" x14ac:dyDescent="0.25">
      <c r="A2455" s="170">
        <v>45621</v>
      </c>
      <c r="B2455" s="116">
        <v>69.7</v>
      </c>
      <c r="C2455" s="116">
        <v>69.08</v>
      </c>
      <c r="D2455" s="116">
        <v>67.92</v>
      </c>
      <c r="E2455" s="116">
        <v>68.88</v>
      </c>
      <c r="F2455" s="116">
        <v>69.08</v>
      </c>
      <c r="G2455">
        <v>405757</v>
      </c>
      <c r="H2455" s="116"/>
      <c r="I2455" s="116"/>
      <c r="L2455" s="170">
        <v>45621</v>
      </c>
      <c r="M2455" s="116">
        <v>69.05</v>
      </c>
      <c r="N2455" s="116">
        <v>69.709999999999994</v>
      </c>
      <c r="O2455" s="116">
        <v>67.88</v>
      </c>
      <c r="P2455" s="116">
        <v>69.2</v>
      </c>
      <c r="Q2455" s="116">
        <v>69.05</v>
      </c>
      <c r="R2455">
        <v>2453857</v>
      </c>
    </row>
    <row r="2456" spans="1:18" x14ac:dyDescent="0.25">
      <c r="A2456" s="170">
        <v>45622</v>
      </c>
      <c r="B2456" s="116">
        <v>82.89</v>
      </c>
      <c r="C2456" s="116">
        <v>81.17</v>
      </c>
      <c r="D2456" s="116">
        <v>69.55</v>
      </c>
      <c r="E2456" s="116">
        <v>69.86</v>
      </c>
      <c r="F2456" s="116">
        <v>81.17</v>
      </c>
      <c r="G2456">
        <v>6424630</v>
      </c>
      <c r="H2456" s="116"/>
      <c r="I2456" s="116"/>
      <c r="L2456" s="170">
        <v>45622</v>
      </c>
      <c r="M2456" s="116">
        <v>80.59</v>
      </c>
      <c r="N2456" s="116">
        <v>82.86</v>
      </c>
      <c r="O2456" s="116">
        <v>69.58</v>
      </c>
      <c r="P2456" s="116">
        <v>69.58</v>
      </c>
      <c r="Q2456" s="116">
        <v>80.59</v>
      </c>
      <c r="R2456">
        <v>91136347</v>
      </c>
    </row>
    <row r="2457" spans="1:18" x14ac:dyDescent="0.25">
      <c r="A2457" s="170">
        <v>45623</v>
      </c>
      <c r="B2457" s="116">
        <v>85.4</v>
      </c>
      <c r="C2457" s="116">
        <v>82.47</v>
      </c>
      <c r="D2457" s="116">
        <v>80.349999999999994</v>
      </c>
      <c r="E2457" s="116">
        <v>83.33</v>
      </c>
      <c r="F2457" s="116">
        <v>82.47</v>
      </c>
      <c r="G2457">
        <v>4660243</v>
      </c>
      <c r="H2457" s="116"/>
      <c r="I2457" s="116"/>
      <c r="L2457" s="170">
        <v>45623</v>
      </c>
      <c r="M2457" s="116">
        <v>82.65</v>
      </c>
      <c r="N2457" s="116">
        <v>85.5</v>
      </c>
      <c r="O2457" s="116">
        <v>80.459999999999994</v>
      </c>
      <c r="P2457" s="116">
        <v>82.88</v>
      </c>
      <c r="Q2457" s="116">
        <v>82.65</v>
      </c>
      <c r="R2457">
        <v>67217735</v>
      </c>
    </row>
    <row r="2458" spans="1:18" x14ac:dyDescent="0.25">
      <c r="A2458" s="170">
        <v>45624</v>
      </c>
      <c r="B2458" s="116">
        <v>81.89</v>
      </c>
      <c r="C2458" s="116">
        <v>79.13</v>
      </c>
      <c r="D2458" s="116">
        <v>78.59</v>
      </c>
      <c r="E2458" s="116">
        <v>81.89</v>
      </c>
      <c r="F2458" s="116">
        <v>79.13</v>
      </c>
      <c r="G2458">
        <v>807351</v>
      </c>
      <c r="H2458" s="116"/>
      <c r="I2458" s="116"/>
      <c r="L2458" s="170">
        <v>45624</v>
      </c>
      <c r="M2458" s="116">
        <v>79.17</v>
      </c>
      <c r="N2458" s="116">
        <v>81.61</v>
      </c>
      <c r="O2458" s="116">
        <v>78.510000000000005</v>
      </c>
      <c r="P2458" s="116">
        <v>81.5</v>
      </c>
      <c r="Q2458" s="116">
        <v>79.17</v>
      </c>
      <c r="R2458">
        <v>14165506</v>
      </c>
    </row>
    <row r="2459" spans="1:18" x14ac:dyDescent="0.25">
      <c r="A2459" s="170">
        <v>45625</v>
      </c>
      <c r="B2459" s="116">
        <v>81.33</v>
      </c>
      <c r="C2459" s="116">
        <v>78.790000000000006</v>
      </c>
      <c r="D2459" s="116">
        <v>77.92</v>
      </c>
      <c r="E2459" s="116">
        <v>79.06</v>
      </c>
      <c r="F2459" s="116">
        <v>78.790000000000006</v>
      </c>
      <c r="G2459">
        <v>421578</v>
      </c>
      <c r="H2459" s="116"/>
      <c r="I2459" s="116"/>
      <c r="L2459" s="170">
        <v>45625</v>
      </c>
      <c r="M2459" s="116">
        <v>78.739999999999995</v>
      </c>
      <c r="N2459" s="116">
        <v>81.349999999999994</v>
      </c>
      <c r="O2459" s="116">
        <v>77.86</v>
      </c>
      <c r="P2459" s="116">
        <v>79.17</v>
      </c>
      <c r="Q2459" s="116">
        <v>78.739999999999995</v>
      </c>
      <c r="R2459">
        <v>8922915</v>
      </c>
    </row>
    <row r="2460" spans="1:18" x14ac:dyDescent="0.25">
      <c r="A2460" s="170">
        <v>45628</v>
      </c>
      <c r="B2460" s="116">
        <v>82.74</v>
      </c>
      <c r="C2460" s="116">
        <v>79.91</v>
      </c>
      <c r="D2460" s="116">
        <v>77.2</v>
      </c>
      <c r="E2460" s="116">
        <v>79.010000000000005</v>
      </c>
      <c r="F2460" s="116">
        <v>79.91</v>
      </c>
      <c r="G2460">
        <v>941575</v>
      </c>
      <c r="H2460" s="116"/>
      <c r="I2460" s="116"/>
      <c r="L2460" s="170">
        <v>45628</v>
      </c>
      <c r="M2460" s="116">
        <v>79.94</v>
      </c>
      <c r="N2460" s="116">
        <v>82.74</v>
      </c>
      <c r="O2460" s="116">
        <v>77.11</v>
      </c>
      <c r="P2460" s="116">
        <v>79.099999999999994</v>
      </c>
      <c r="Q2460" s="116">
        <v>79.94</v>
      </c>
      <c r="R2460">
        <v>12150833</v>
      </c>
    </row>
    <row r="2461" spans="1:18" x14ac:dyDescent="0.25">
      <c r="A2461" s="170">
        <v>45629</v>
      </c>
      <c r="B2461" s="116">
        <v>82.88</v>
      </c>
      <c r="C2461" s="116">
        <v>80.44</v>
      </c>
      <c r="D2461" s="116">
        <v>79.25</v>
      </c>
      <c r="E2461" s="116">
        <v>79.94</v>
      </c>
      <c r="F2461" s="116">
        <v>80.44</v>
      </c>
      <c r="G2461">
        <v>440301</v>
      </c>
      <c r="H2461" s="116"/>
      <c r="I2461" s="116"/>
      <c r="L2461" s="170">
        <v>45629</v>
      </c>
      <c r="M2461" s="116">
        <v>80.45</v>
      </c>
      <c r="N2461" s="116">
        <v>82.9</v>
      </c>
      <c r="O2461" s="116">
        <v>79.209999999999994</v>
      </c>
      <c r="P2461" s="116">
        <v>79.94</v>
      </c>
      <c r="Q2461" s="116">
        <v>80.45</v>
      </c>
      <c r="R2461">
        <v>7984755</v>
      </c>
    </row>
    <row r="2462" spans="1:18" x14ac:dyDescent="0.25">
      <c r="A2462" s="170">
        <v>45630</v>
      </c>
      <c r="B2462" s="116">
        <v>81.569999999999993</v>
      </c>
      <c r="C2462" s="116">
        <v>79.84</v>
      </c>
      <c r="D2462" s="116">
        <v>79.569999999999993</v>
      </c>
      <c r="E2462" s="116">
        <v>80.44</v>
      </c>
      <c r="F2462" s="116">
        <v>79.84</v>
      </c>
      <c r="G2462">
        <v>252393</v>
      </c>
      <c r="H2462" s="116"/>
      <c r="I2462" s="116"/>
      <c r="L2462" s="170">
        <v>45630</v>
      </c>
      <c r="M2462" s="116">
        <v>79.849999999999994</v>
      </c>
      <c r="N2462" s="116">
        <v>81.569999999999993</v>
      </c>
      <c r="O2462" s="116">
        <v>79.510000000000005</v>
      </c>
      <c r="P2462" s="116">
        <v>80.5</v>
      </c>
      <c r="Q2462" s="116">
        <v>79.849999999999994</v>
      </c>
      <c r="R2462">
        <v>4743966</v>
      </c>
    </row>
    <row r="2463" spans="1:18" x14ac:dyDescent="0.25">
      <c r="A2463" s="170">
        <v>45631</v>
      </c>
      <c r="B2463" s="116">
        <v>81.239999999999995</v>
      </c>
      <c r="C2463" s="116">
        <v>80.02</v>
      </c>
      <c r="D2463" s="116">
        <v>79.44</v>
      </c>
      <c r="E2463" s="116">
        <v>80.180000000000007</v>
      </c>
      <c r="F2463" s="116">
        <v>80.02</v>
      </c>
      <c r="G2463">
        <v>211733</v>
      </c>
      <c r="H2463" s="116"/>
      <c r="I2463" s="116"/>
      <c r="L2463" s="170">
        <v>45631</v>
      </c>
      <c r="M2463" s="116">
        <v>80</v>
      </c>
      <c r="N2463" s="116">
        <v>81.25</v>
      </c>
      <c r="O2463" s="116">
        <v>79.41</v>
      </c>
      <c r="P2463" s="116">
        <v>80.3</v>
      </c>
      <c r="Q2463" s="116">
        <v>80</v>
      </c>
      <c r="R2463">
        <v>4500505</v>
      </c>
    </row>
    <row r="2464" spans="1:18" x14ac:dyDescent="0.25">
      <c r="A2464" s="170">
        <v>45632</v>
      </c>
      <c r="B2464" s="116">
        <v>81.3</v>
      </c>
      <c r="C2464" s="116">
        <v>80.31</v>
      </c>
      <c r="D2464" s="116">
        <v>79.599999999999994</v>
      </c>
      <c r="E2464" s="116">
        <v>79.989999999999995</v>
      </c>
      <c r="F2464" s="116">
        <v>80.31</v>
      </c>
      <c r="G2464">
        <v>426076</v>
      </c>
      <c r="H2464" s="116"/>
      <c r="I2464" s="116"/>
      <c r="L2464" s="170">
        <v>45632</v>
      </c>
      <c r="M2464" s="116">
        <v>80.31</v>
      </c>
      <c r="N2464" s="116">
        <v>81.34</v>
      </c>
      <c r="O2464" s="116">
        <v>79.5</v>
      </c>
      <c r="P2464" s="116">
        <v>79.5</v>
      </c>
      <c r="Q2464" s="116">
        <v>80.31</v>
      </c>
      <c r="R2464">
        <v>4500719</v>
      </c>
    </row>
    <row r="2465" spans="1:18" x14ac:dyDescent="0.25">
      <c r="A2465" s="170">
        <v>45635</v>
      </c>
      <c r="B2465" s="116">
        <v>84.39</v>
      </c>
      <c r="C2465" s="116">
        <v>82.79</v>
      </c>
      <c r="D2465" s="116">
        <v>79.849999999999994</v>
      </c>
      <c r="E2465" s="116">
        <v>80.28</v>
      </c>
      <c r="F2465" s="116">
        <v>82.79</v>
      </c>
      <c r="G2465">
        <v>1722379</v>
      </c>
      <c r="H2465" s="116"/>
      <c r="I2465" s="116"/>
      <c r="L2465" s="170">
        <v>45635</v>
      </c>
      <c r="M2465" s="116">
        <v>82.79</v>
      </c>
      <c r="N2465" s="116">
        <v>84.45</v>
      </c>
      <c r="O2465" s="116">
        <v>79.8</v>
      </c>
      <c r="P2465" s="116">
        <v>80.14</v>
      </c>
      <c r="Q2465" s="116">
        <v>82.79</v>
      </c>
      <c r="R2465">
        <v>15048934</v>
      </c>
    </row>
    <row r="2466" spans="1:18" x14ac:dyDescent="0.25">
      <c r="A2466" s="170">
        <v>45636</v>
      </c>
      <c r="B2466" s="116">
        <v>83.1</v>
      </c>
      <c r="C2466" s="116">
        <v>80.75</v>
      </c>
      <c r="D2466" s="116">
        <v>80.3</v>
      </c>
      <c r="E2466" s="116">
        <v>82.8</v>
      </c>
      <c r="F2466" s="116">
        <v>80.75</v>
      </c>
      <c r="G2466">
        <v>468848</v>
      </c>
      <c r="H2466" s="116"/>
      <c r="I2466" s="116"/>
      <c r="L2466" s="170">
        <v>45636</v>
      </c>
      <c r="M2466" s="116">
        <v>80.7</v>
      </c>
      <c r="N2466" s="116">
        <v>83.19</v>
      </c>
      <c r="O2466" s="116">
        <v>80.209999999999994</v>
      </c>
      <c r="P2466" s="116">
        <v>83</v>
      </c>
      <c r="Q2466" s="116">
        <v>80.7</v>
      </c>
      <c r="R2466">
        <v>4240835</v>
      </c>
    </row>
    <row r="2467" spans="1:18" x14ac:dyDescent="0.25">
      <c r="A2467" s="170">
        <v>45637</v>
      </c>
      <c r="B2467" s="116">
        <v>82.2</v>
      </c>
      <c r="C2467" s="116">
        <v>80.87</v>
      </c>
      <c r="D2467" s="116">
        <v>80.13</v>
      </c>
      <c r="E2467" s="116">
        <v>80.86</v>
      </c>
      <c r="F2467" s="116">
        <v>80.87</v>
      </c>
      <c r="G2467">
        <v>386272</v>
      </c>
      <c r="H2467" s="116"/>
      <c r="I2467" s="116"/>
      <c r="L2467" s="170">
        <v>45637</v>
      </c>
      <c r="M2467" s="116">
        <v>80.84</v>
      </c>
      <c r="N2467" s="116">
        <v>82.13</v>
      </c>
      <c r="O2467" s="116">
        <v>80.099999999999994</v>
      </c>
      <c r="P2467" s="116">
        <v>80.7</v>
      </c>
      <c r="Q2467" s="116">
        <v>80.84</v>
      </c>
      <c r="R2467">
        <v>4544156</v>
      </c>
    </row>
    <row r="2468" spans="1:18" x14ac:dyDescent="0.25">
      <c r="A2468" s="170">
        <v>45638</v>
      </c>
      <c r="B2468" s="116">
        <v>88.88</v>
      </c>
      <c r="C2468" s="116">
        <v>85.44</v>
      </c>
      <c r="D2468" s="116">
        <v>80.5</v>
      </c>
      <c r="E2468" s="116">
        <v>80.84</v>
      </c>
      <c r="F2468" s="116">
        <v>85.44</v>
      </c>
      <c r="G2468">
        <v>5931982</v>
      </c>
      <c r="H2468" s="116"/>
      <c r="I2468" s="116"/>
      <c r="L2468" s="170">
        <v>45638</v>
      </c>
      <c r="M2468" s="116">
        <v>85.39</v>
      </c>
      <c r="N2468" s="116">
        <v>88.9</v>
      </c>
      <c r="O2468" s="116">
        <v>80.37</v>
      </c>
      <c r="P2468" s="116">
        <v>80.88</v>
      </c>
      <c r="Q2468" s="116">
        <v>85.39</v>
      </c>
      <c r="R2468">
        <v>109477943</v>
      </c>
    </row>
    <row r="2469" spans="1:18" x14ac:dyDescent="0.25">
      <c r="A2469" s="170">
        <v>45639</v>
      </c>
      <c r="B2469" s="116">
        <v>88.35</v>
      </c>
      <c r="C2469" s="116">
        <v>85.29</v>
      </c>
      <c r="D2469" s="116">
        <v>84.09</v>
      </c>
      <c r="E2469" s="116">
        <v>86</v>
      </c>
      <c r="F2469" s="116">
        <v>85.29</v>
      </c>
      <c r="G2469">
        <v>2509436</v>
      </c>
      <c r="H2469" s="116"/>
      <c r="I2469" s="116"/>
      <c r="L2469" s="170">
        <v>45639</v>
      </c>
      <c r="M2469" s="116">
        <v>85.31</v>
      </c>
      <c r="N2469" s="116">
        <v>88.4</v>
      </c>
      <c r="O2469" s="116">
        <v>84.05</v>
      </c>
      <c r="P2469" s="116">
        <v>86</v>
      </c>
      <c r="Q2469" s="116">
        <v>85.31</v>
      </c>
      <c r="R2469">
        <v>45256467</v>
      </c>
    </row>
    <row r="2470" spans="1:18" x14ac:dyDescent="0.25">
      <c r="A2470" s="170">
        <v>45642</v>
      </c>
      <c r="B2470" s="116">
        <v>85.54</v>
      </c>
      <c r="C2470" s="116">
        <v>82.41</v>
      </c>
      <c r="D2470" s="116">
        <v>82</v>
      </c>
      <c r="E2470" s="116">
        <v>85</v>
      </c>
      <c r="F2470" s="116">
        <v>82.41</v>
      </c>
      <c r="G2470">
        <v>543997</v>
      </c>
      <c r="H2470" s="116"/>
      <c r="I2470" s="116"/>
      <c r="L2470" s="170">
        <v>45642</v>
      </c>
      <c r="M2470" s="116">
        <v>82.47</v>
      </c>
      <c r="N2470" s="116">
        <v>85.58</v>
      </c>
      <c r="O2470" s="116">
        <v>82.06</v>
      </c>
      <c r="P2470" s="116">
        <v>84.95</v>
      </c>
      <c r="Q2470" s="116">
        <v>82.47</v>
      </c>
      <c r="R2470">
        <v>10555441</v>
      </c>
    </row>
    <row r="2471" spans="1:18" x14ac:dyDescent="0.25">
      <c r="A2471" s="170">
        <v>45643</v>
      </c>
      <c r="B2471" s="116">
        <v>82.74</v>
      </c>
      <c r="C2471" s="116">
        <v>80.8</v>
      </c>
      <c r="D2471" s="116">
        <v>80.58</v>
      </c>
      <c r="E2471" s="116">
        <v>82.14</v>
      </c>
      <c r="F2471" s="116">
        <v>80.8</v>
      </c>
      <c r="G2471">
        <v>331502</v>
      </c>
      <c r="H2471" s="116"/>
      <c r="I2471" s="116"/>
      <c r="L2471" s="170">
        <v>45643</v>
      </c>
      <c r="M2471" s="116">
        <v>80.87</v>
      </c>
      <c r="N2471" s="116">
        <v>82.8</v>
      </c>
      <c r="O2471" s="116">
        <v>80.52</v>
      </c>
      <c r="P2471" s="116">
        <v>82.45</v>
      </c>
      <c r="Q2471" s="116">
        <v>80.87</v>
      </c>
      <c r="R2471">
        <v>6020525</v>
      </c>
    </row>
    <row r="2472" spans="1:18" x14ac:dyDescent="0.25">
      <c r="A2472" s="170">
        <v>45644</v>
      </c>
      <c r="B2472" s="116">
        <v>86.5</v>
      </c>
      <c r="C2472" s="116">
        <v>82.76</v>
      </c>
      <c r="D2472" s="116">
        <v>80.8</v>
      </c>
      <c r="E2472" s="116">
        <v>80.8</v>
      </c>
      <c r="F2472" s="116">
        <v>82.76</v>
      </c>
      <c r="G2472">
        <v>1625706</v>
      </c>
      <c r="H2472" s="116"/>
      <c r="I2472" s="116"/>
      <c r="L2472" s="170">
        <v>45644</v>
      </c>
      <c r="M2472" s="116">
        <v>82.87</v>
      </c>
      <c r="N2472" s="116">
        <v>86.6</v>
      </c>
      <c r="O2472" s="116">
        <v>81</v>
      </c>
      <c r="P2472" s="116">
        <v>81</v>
      </c>
      <c r="Q2472" s="116">
        <v>82.87</v>
      </c>
      <c r="R2472">
        <v>42460313</v>
      </c>
    </row>
    <row r="2473" spans="1:18" x14ac:dyDescent="0.25">
      <c r="A2473" s="170">
        <v>45645</v>
      </c>
      <c r="B2473" s="116">
        <v>81.7</v>
      </c>
      <c r="C2473" s="116">
        <v>80.739999999999995</v>
      </c>
      <c r="D2473" s="116">
        <v>80.17</v>
      </c>
      <c r="E2473" s="116">
        <v>81.09</v>
      </c>
      <c r="F2473" s="116">
        <v>80.739999999999995</v>
      </c>
      <c r="G2473">
        <v>365626</v>
      </c>
      <c r="H2473" s="116"/>
      <c r="I2473" s="116"/>
      <c r="L2473" s="170">
        <v>45645</v>
      </c>
      <c r="M2473" s="116">
        <v>80.73</v>
      </c>
      <c r="N2473" s="116">
        <v>81.790000000000006</v>
      </c>
      <c r="O2473" s="116">
        <v>80.16</v>
      </c>
      <c r="P2473" s="116">
        <v>80.81</v>
      </c>
      <c r="Q2473" s="116">
        <v>80.73</v>
      </c>
      <c r="R2473">
        <v>6927065</v>
      </c>
    </row>
    <row r="2474" spans="1:18" x14ac:dyDescent="0.25">
      <c r="A2474" s="170">
        <v>45646</v>
      </c>
      <c r="B2474" s="116">
        <v>82.75</v>
      </c>
      <c r="C2474" s="116">
        <v>77.92</v>
      </c>
      <c r="D2474" s="116">
        <v>77.3</v>
      </c>
      <c r="E2474" s="116">
        <v>81.069999999999993</v>
      </c>
      <c r="F2474" s="116">
        <v>77.92</v>
      </c>
      <c r="G2474">
        <v>690262</v>
      </c>
      <c r="H2474" s="116"/>
      <c r="I2474" s="116"/>
      <c r="L2474" s="170">
        <v>45646</v>
      </c>
      <c r="M2474" s="116">
        <v>77.849999999999994</v>
      </c>
      <c r="N2474" s="116">
        <v>82.8</v>
      </c>
      <c r="O2474" s="116">
        <v>77.319999999999993</v>
      </c>
      <c r="P2474" s="116">
        <v>81.5</v>
      </c>
      <c r="Q2474" s="116">
        <v>77.849999999999994</v>
      </c>
      <c r="R2474">
        <v>8634374</v>
      </c>
    </row>
    <row r="2475" spans="1:18" x14ac:dyDescent="0.25">
      <c r="A2475" s="170">
        <v>45649</v>
      </c>
      <c r="B2475" s="116">
        <v>80.16</v>
      </c>
      <c r="C2475" s="116">
        <v>76.91</v>
      </c>
      <c r="D2475" s="116">
        <v>75.75</v>
      </c>
      <c r="E2475" s="116">
        <v>78.290000000000006</v>
      </c>
      <c r="F2475" s="116">
        <v>76.91</v>
      </c>
      <c r="G2475">
        <v>563799</v>
      </c>
      <c r="H2475" s="116"/>
      <c r="I2475" s="116"/>
      <c r="L2475" s="170">
        <v>45649</v>
      </c>
      <c r="M2475" s="116">
        <v>76.900000000000006</v>
      </c>
      <c r="N2475" s="116">
        <v>80.8</v>
      </c>
      <c r="O2475" s="116">
        <v>75.75</v>
      </c>
      <c r="P2475" s="116">
        <v>78.69</v>
      </c>
      <c r="Q2475" s="116">
        <v>76.900000000000006</v>
      </c>
      <c r="R2475">
        <v>5820824</v>
      </c>
    </row>
    <row r="2476" spans="1:18" x14ac:dyDescent="0.25">
      <c r="A2476" s="170">
        <v>45650</v>
      </c>
      <c r="B2476" s="116">
        <v>78.8</v>
      </c>
      <c r="C2476" s="116">
        <v>77.47</v>
      </c>
      <c r="D2476" s="116">
        <v>76.59</v>
      </c>
      <c r="E2476" s="116">
        <v>77.739999999999995</v>
      </c>
      <c r="F2476" s="116">
        <v>77.47</v>
      </c>
      <c r="G2476">
        <v>486637</v>
      </c>
      <c r="H2476" s="116"/>
      <c r="I2476" s="116"/>
      <c r="L2476" s="170">
        <v>45650</v>
      </c>
      <c r="M2476" s="116">
        <v>77.47</v>
      </c>
      <c r="N2476" s="116">
        <v>78.77</v>
      </c>
      <c r="O2476" s="116">
        <v>76.569999999999993</v>
      </c>
      <c r="P2476" s="116">
        <v>77.5</v>
      </c>
      <c r="Q2476" s="116">
        <v>77.47</v>
      </c>
      <c r="R2476">
        <v>5515210</v>
      </c>
    </row>
    <row r="2477" spans="1:18" x14ac:dyDescent="0.25">
      <c r="A2477" s="170">
        <v>45652</v>
      </c>
      <c r="B2477" s="116">
        <v>77.95</v>
      </c>
      <c r="C2477" s="116">
        <v>76.02</v>
      </c>
      <c r="D2477" s="116">
        <v>75.61</v>
      </c>
      <c r="E2477" s="116">
        <v>77.010000000000005</v>
      </c>
      <c r="F2477" s="116">
        <v>76.02</v>
      </c>
      <c r="G2477">
        <v>435301</v>
      </c>
      <c r="H2477" s="116"/>
      <c r="I2477" s="116"/>
      <c r="L2477" s="170">
        <v>45652</v>
      </c>
      <c r="M2477" s="116">
        <v>75.959999999999994</v>
      </c>
      <c r="N2477" s="116">
        <v>77.989999999999995</v>
      </c>
      <c r="O2477" s="116">
        <v>75.569999999999993</v>
      </c>
      <c r="P2477" s="116">
        <v>77.28</v>
      </c>
      <c r="Q2477" s="116">
        <v>75.959999999999994</v>
      </c>
      <c r="R2477">
        <v>3099814</v>
      </c>
    </row>
    <row r="2478" spans="1:18" x14ac:dyDescent="0.25">
      <c r="A2478" s="170">
        <v>45653</v>
      </c>
      <c r="B2478" s="116">
        <v>77.319999999999993</v>
      </c>
      <c r="C2478" s="116">
        <v>76.45</v>
      </c>
      <c r="D2478" s="116">
        <v>75.569999999999993</v>
      </c>
      <c r="E2478" s="116">
        <v>76.13</v>
      </c>
      <c r="F2478" s="116">
        <v>76.45</v>
      </c>
      <c r="G2478">
        <v>393692</v>
      </c>
      <c r="H2478" s="116"/>
      <c r="I2478" s="116"/>
      <c r="L2478" s="170">
        <v>45653</v>
      </c>
      <c r="M2478" s="116">
        <v>76.42</v>
      </c>
      <c r="N2478" s="116">
        <v>77.349999999999994</v>
      </c>
      <c r="O2478" s="116">
        <v>75.62</v>
      </c>
      <c r="P2478" s="116">
        <v>76.3</v>
      </c>
      <c r="Q2478" s="116">
        <v>76.42</v>
      </c>
      <c r="R2478">
        <v>3168591</v>
      </c>
    </row>
    <row r="2479" spans="1:18" x14ac:dyDescent="0.25">
      <c r="A2479" s="170">
        <v>45656</v>
      </c>
      <c r="B2479" s="116">
        <v>76.72</v>
      </c>
      <c r="C2479" s="116">
        <v>74.489999999999995</v>
      </c>
      <c r="D2479" s="116">
        <v>73.959999999999994</v>
      </c>
      <c r="E2479" s="116">
        <v>76.42</v>
      </c>
      <c r="F2479" s="116">
        <v>74.489999999999995</v>
      </c>
      <c r="G2479">
        <v>499693</v>
      </c>
      <c r="H2479" s="116"/>
      <c r="I2479" s="116"/>
      <c r="L2479" s="170">
        <v>45656</v>
      </c>
      <c r="M2479" s="116">
        <v>74.489999999999995</v>
      </c>
      <c r="N2479" s="116">
        <v>76.7</v>
      </c>
      <c r="O2479" s="116">
        <v>74.040000000000006</v>
      </c>
      <c r="P2479" s="116">
        <v>76.5</v>
      </c>
      <c r="Q2479" s="116">
        <v>74.489999999999995</v>
      </c>
      <c r="R2479">
        <v>2511269</v>
      </c>
    </row>
    <row r="2480" spans="1:18" x14ac:dyDescent="0.25">
      <c r="A2480" s="170">
        <v>45657</v>
      </c>
      <c r="B2480" s="116">
        <v>75.930000000000007</v>
      </c>
      <c r="C2480" s="116">
        <v>75.489999999999995</v>
      </c>
      <c r="D2480" s="116">
        <v>73.89</v>
      </c>
      <c r="E2480" s="116">
        <v>74.5</v>
      </c>
      <c r="F2480" s="116">
        <v>75.489999999999995</v>
      </c>
      <c r="G2480">
        <v>375102</v>
      </c>
      <c r="H2480" s="116"/>
      <c r="I2480" s="116"/>
      <c r="L2480" s="170">
        <v>45657</v>
      </c>
      <c r="M2480" s="116">
        <v>75.489999999999995</v>
      </c>
      <c r="N2480" s="116">
        <v>75.95</v>
      </c>
      <c r="O2480" s="116">
        <v>73.86</v>
      </c>
      <c r="P2480" s="116">
        <v>74.5</v>
      </c>
      <c r="Q2480" s="116">
        <v>75.489999999999995</v>
      </c>
      <c r="R2480">
        <v>2764115</v>
      </c>
    </row>
    <row r="2481" spans="1:18" x14ac:dyDescent="0.25">
      <c r="A2481" s="170">
        <v>45658</v>
      </c>
      <c r="B2481" s="116">
        <v>78.8</v>
      </c>
      <c r="C2481" s="116">
        <v>77.489999999999995</v>
      </c>
      <c r="D2481" s="116">
        <v>75.510000000000005</v>
      </c>
      <c r="E2481" s="116">
        <v>75.510000000000005</v>
      </c>
      <c r="F2481" s="116">
        <v>77.489999999999995</v>
      </c>
      <c r="G2481">
        <v>466027</v>
      </c>
      <c r="H2481" s="116"/>
      <c r="I2481" s="116"/>
      <c r="L2481" s="170">
        <v>45658</v>
      </c>
      <c r="M2481" s="116">
        <v>77.44</v>
      </c>
      <c r="N2481" s="116">
        <v>78.900000000000006</v>
      </c>
      <c r="O2481" s="116">
        <v>75.61</v>
      </c>
      <c r="P2481" s="116">
        <v>76</v>
      </c>
      <c r="Q2481" s="116">
        <v>77.44</v>
      </c>
      <c r="R2481">
        <v>4736167</v>
      </c>
    </row>
    <row r="2482" spans="1:18" x14ac:dyDescent="0.25">
      <c r="A2482" s="170">
        <v>45659</v>
      </c>
      <c r="B2482" s="116">
        <v>78.930000000000007</v>
      </c>
      <c r="C2482" s="116">
        <v>77.930000000000007</v>
      </c>
      <c r="D2482" s="116">
        <v>76.650000000000006</v>
      </c>
      <c r="E2482" s="116">
        <v>77.510000000000005</v>
      </c>
      <c r="F2482" s="116">
        <v>77.930000000000007</v>
      </c>
      <c r="G2482">
        <v>327229</v>
      </c>
      <c r="H2482" s="116"/>
      <c r="I2482" s="116"/>
      <c r="L2482" s="170">
        <v>45659</v>
      </c>
      <c r="M2482" s="116">
        <v>78</v>
      </c>
      <c r="N2482" s="116">
        <v>78.97</v>
      </c>
      <c r="O2482" s="116">
        <v>76.63</v>
      </c>
      <c r="P2482" s="116">
        <v>77.94</v>
      </c>
      <c r="Q2482" s="116">
        <v>78</v>
      </c>
      <c r="R2482">
        <v>3140615</v>
      </c>
    </row>
    <row r="2483" spans="1:18" x14ac:dyDescent="0.25">
      <c r="A2483" s="170">
        <v>45660</v>
      </c>
      <c r="B2483" s="116">
        <v>82.17</v>
      </c>
      <c r="C2483" s="116">
        <v>79.39</v>
      </c>
      <c r="D2483" s="116">
        <v>77.59</v>
      </c>
      <c r="E2483" s="116">
        <v>77.930000000000007</v>
      </c>
      <c r="F2483" s="116">
        <v>79.39</v>
      </c>
      <c r="G2483">
        <v>906127</v>
      </c>
      <c r="H2483" s="116"/>
      <c r="I2483" s="116"/>
      <c r="L2483" s="170">
        <v>45660</v>
      </c>
      <c r="M2483" s="116">
        <v>79.42</v>
      </c>
      <c r="N2483" s="116">
        <v>82.29</v>
      </c>
      <c r="O2483" s="116">
        <v>77.540000000000006</v>
      </c>
      <c r="P2483" s="116">
        <v>78</v>
      </c>
      <c r="Q2483" s="116">
        <v>79.42</v>
      </c>
      <c r="R2483">
        <v>12486105</v>
      </c>
    </row>
    <row r="2484" spans="1:18" x14ac:dyDescent="0.25">
      <c r="A2484" s="170">
        <v>45663</v>
      </c>
      <c r="B2484" s="116">
        <v>79.33</v>
      </c>
      <c r="C2484" s="116">
        <v>74.209999999999994</v>
      </c>
      <c r="D2484" s="116">
        <v>73.36</v>
      </c>
      <c r="E2484" s="116">
        <v>79.209999999999994</v>
      </c>
      <c r="F2484" s="116">
        <v>74.209999999999994</v>
      </c>
      <c r="G2484">
        <v>394521</v>
      </c>
      <c r="H2484" s="116"/>
      <c r="I2484" s="116"/>
      <c r="L2484" s="170">
        <v>45663</v>
      </c>
      <c r="M2484" s="116">
        <v>74.12</v>
      </c>
      <c r="N2484" s="116">
        <v>79.41</v>
      </c>
      <c r="O2484" s="116">
        <v>73.2</v>
      </c>
      <c r="P2484" s="116">
        <v>79.400000000000006</v>
      </c>
      <c r="Q2484" s="116">
        <v>74.12</v>
      </c>
      <c r="R2484">
        <v>7192382</v>
      </c>
    </row>
    <row r="2485" spans="1:18" x14ac:dyDescent="0.25">
      <c r="A2485" s="170">
        <v>45664</v>
      </c>
      <c r="B2485" s="116">
        <v>76.180000000000007</v>
      </c>
      <c r="C2485" s="116">
        <v>75.430000000000007</v>
      </c>
      <c r="D2485" s="116">
        <v>74.14</v>
      </c>
      <c r="E2485" s="116">
        <v>74.14</v>
      </c>
      <c r="F2485" s="116">
        <v>75.430000000000007</v>
      </c>
      <c r="G2485">
        <v>326413</v>
      </c>
      <c r="H2485" s="116"/>
      <c r="I2485" s="116"/>
      <c r="L2485" s="170">
        <v>45664</v>
      </c>
      <c r="M2485" s="116">
        <v>75.45</v>
      </c>
      <c r="N2485" s="116">
        <v>76.150000000000006</v>
      </c>
      <c r="O2485" s="116">
        <v>74.16</v>
      </c>
      <c r="P2485" s="116">
        <v>74.5</v>
      </c>
      <c r="Q2485" s="116">
        <v>75.45</v>
      </c>
      <c r="R2485">
        <v>3562014</v>
      </c>
    </row>
    <row r="2486" spans="1:18" x14ac:dyDescent="0.25">
      <c r="A2486" s="170">
        <v>45665</v>
      </c>
      <c r="B2486" s="116">
        <v>75.56</v>
      </c>
      <c r="C2486" s="116">
        <v>74.25</v>
      </c>
      <c r="D2486" s="116">
        <v>73.75</v>
      </c>
      <c r="E2486" s="116">
        <v>75.400000000000006</v>
      </c>
      <c r="F2486" s="116">
        <v>74.25</v>
      </c>
      <c r="G2486">
        <v>154189</v>
      </c>
      <c r="H2486" s="116"/>
      <c r="I2486" s="116"/>
      <c r="L2486" s="170">
        <v>45665</v>
      </c>
      <c r="M2486" s="116">
        <v>74.25</v>
      </c>
      <c r="N2486" s="116">
        <v>75.64</v>
      </c>
      <c r="O2486" s="116">
        <v>73.7</v>
      </c>
      <c r="P2486" s="116">
        <v>75.3</v>
      </c>
      <c r="Q2486" s="116">
        <v>74.25</v>
      </c>
      <c r="R2486">
        <v>2437608</v>
      </c>
    </row>
    <row r="2487" spans="1:18" x14ac:dyDescent="0.25">
      <c r="A2487" s="170">
        <v>45666</v>
      </c>
      <c r="B2487" s="116">
        <v>75.400000000000006</v>
      </c>
      <c r="C2487" s="116">
        <v>72.95</v>
      </c>
      <c r="D2487" s="116">
        <v>72.61</v>
      </c>
      <c r="E2487" s="116">
        <v>74.260000000000005</v>
      </c>
      <c r="F2487" s="116">
        <v>72.95</v>
      </c>
      <c r="G2487">
        <v>236014</v>
      </c>
      <c r="H2487" s="116"/>
      <c r="I2487" s="116"/>
      <c r="L2487" s="170">
        <v>45666</v>
      </c>
      <c r="M2487" s="116">
        <v>72.900000000000006</v>
      </c>
      <c r="N2487" s="116">
        <v>75.400000000000006</v>
      </c>
      <c r="O2487" s="116">
        <v>72.55</v>
      </c>
      <c r="P2487" s="116">
        <v>74.41</v>
      </c>
      <c r="Q2487" s="116">
        <v>72.900000000000006</v>
      </c>
      <c r="R2487">
        <v>2796630</v>
      </c>
    </row>
    <row r="2488" spans="1:18" x14ac:dyDescent="0.25">
      <c r="A2488" s="170">
        <v>45667</v>
      </c>
      <c r="B2488" s="116">
        <v>73.959999999999994</v>
      </c>
      <c r="C2488" s="116">
        <v>69.52</v>
      </c>
      <c r="D2488" s="116">
        <v>69.3</v>
      </c>
      <c r="E2488" s="116">
        <v>73.959999999999994</v>
      </c>
      <c r="F2488" s="116">
        <v>69.52</v>
      </c>
      <c r="G2488">
        <v>672453</v>
      </c>
      <c r="H2488" s="116"/>
      <c r="I2488" s="116"/>
      <c r="L2488" s="170">
        <v>45667</v>
      </c>
      <c r="M2488" s="116">
        <v>69.459999999999994</v>
      </c>
      <c r="N2488" s="116">
        <v>73.5</v>
      </c>
      <c r="O2488" s="116">
        <v>69.25</v>
      </c>
      <c r="P2488" s="116">
        <v>73.42</v>
      </c>
      <c r="Q2488" s="116">
        <v>69.459999999999994</v>
      </c>
      <c r="R2488">
        <v>4925593</v>
      </c>
    </row>
    <row r="2489" spans="1:18" x14ac:dyDescent="0.25">
      <c r="A2489" s="170">
        <v>45670</v>
      </c>
      <c r="B2489" s="116">
        <v>70.290000000000006</v>
      </c>
      <c r="C2489" s="116">
        <v>66.14</v>
      </c>
      <c r="D2489" s="116">
        <v>65.61</v>
      </c>
      <c r="E2489" s="116">
        <v>68.989999999999995</v>
      </c>
      <c r="F2489" s="116">
        <v>66.14</v>
      </c>
      <c r="G2489">
        <v>548674</v>
      </c>
      <c r="H2489" s="116"/>
      <c r="I2489" s="116"/>
      <c r="L2489" s="170">
        <v>45670</v>
      </c>
      <c r="M2489" s="116">
        <v>66.05</v>
      </c>
      <c r="N2489" s="116">
        <v>70.28</v>
      </c>
      <c r="O2489" s="116">
        <v>65.58</v>
      </c>
      <c r="P2489" s="116">
        <v>68.2</v>
      </c>
      <c r="Q2489" s="116">
        <v>66.05</v>
      </c>
      <c r="R2489">
        <v>4724838</v>
      </c>
    </row>
    <row r="2490" spans="1:18" x14ac:dyDescent="0.25">
      <c r="A2490" s="170">
        <v>45671</v>
      </c>
      <c r="B2490" s="116">
        <v>69.87</v>
      </c>
      <c r="C2490" s="116">
        <v>69.680000000000007</v>
      </c>
      <c r="D2490" s="116">
        <v>66.150000000000006</v>
      </c>
      <c r="E2490" s="116">
        <v>66.150000000000006</v>
      </c>
      <c r="F2490" s="116">
        <v>69.680000000000007</v>
      </c>
      <c r="G2490">
        <v>436852</v>
      </c>
      <c r="H2490" s="116"/>
      <c r="I2490" s="116"/>
      <c r="L2490" s="170">
        <v>45671</v>
      </c>
      <c r="M2490" s="116">
        <v>69.650000000000006</v>
      </c>
      <c r="N2490" s="116">
        <v>69.989999999999995</v>
      </c>
      <c r="O2490" s="116">
        <v>66.84</v>
      </c>
      <c r="P2490" s="116">
        <v>66.95</v>
      </c>
      <c r="Q2490" s="116">
        <v>69.650000000000006</v>
      </c>
      <c r="R2490">
        <v>4171846</v>
      </c>
    </row>
    <row r="2491" spans="1:18" x14ac:dyDescent="0.25">
      <c r="A2491" s="170">
        <v>45672</v>
      </c>
      <c r="B2491" s="116">
        <v>71.31</v>
      </c>
      <c r="C2491" s="116">
        <v>69.75</v>
      </c>
      <c r="D2491" s="116">
        <v>69.36</v>
      </c>
      <c r="E2491" s="116">
        <v>70.94</v>
      </c>
      <c r="F2491" s="116">
        <v>69.75</v>
      </c>
      <c r="G2491">
        <v>302528</v>
      </c>
      <c r="H2491" s="116"/>
      <c r="I2491" s="116"/>
      <c r="L2491" s="170">
        <v>45672</v>
      </c>
      <c r="M2491" s="116">
        <v>69.78</v>
      </c>
      <c r="N2491" s="116">
        <v>71.45</v>
      </c>
      <c r="O2491" s="116">
        <v>69.28</v>
      </c>
      <c r="P2491" s="116">
        <v>70</v>
      </c>
      <c r="Q2491" s="116">
        <v>69.78</v>
      </c>
      <c r="R2491">
        <v>3271386</v>
      </c>
    </row>
    <row r="2492" spans="1:18" x14ac:dyDescent="0.25">
      <c r="A2492" s="170">
        <v>45673</v>
      </c>
      <c r="B2492" s="116">
        <v>72</v>
      </c>
      <c r="C2492" s="116">
        <v>71.41</v>
      </c>
      <c r="D2492" s="116">
        <v>70.5</v>
      </c>
      <c r="E2492" s="116">
        <v>70.58</v>
      </c>
      <c r="F2492" s="116">
        <v>71.41</v>
      </c>
      <c r="G2492">
        <v>165298</v>
      </c>
      <c r="H2492" s="116"/>
      <c r="I2492" s="116"/>
      <c r="L2492" s="170">
        <v>45673</v>
      </c>
      <c r="M2492" s="116">
        <v>71.37</v>
      </c>
      <c r="N2492" s="116">
        <v>71.930000000000007</v>
      </c>
      <c r="O2492" s="116">
        <v>70.44</v>
      </c>
      <c r="P2492" s="116">
        <v>71.25</v>
      </c>
      <c r="Q2492" s="116">
        <v>71.37</v>
      </c>
      <c r="R2492">
        <v>2419677</v>
      </c>
    </row>
    <row r="2493" spans="1:18" x14ac:dyDescent="0.25">
      <c r="A2493" s="170">
        <v>45674</v>
      </c>
      <c r="B2493" s="116">
        <v>71.760000000000005</v>
      </c>
      <c r="C2493" s="116">
        <v>71.09</v>
      </c>
      <c r="D2493" s="116">
        <v>70.58</v>
      </c>
      <c r="E2493" s="116">
        <v>71.260000000000005</v>
      </c>
      <c r="F2493" s="116">
        <v>71.09</v>
      </c>
      <c r="G2493">
        <v>259666</v>
      </c>
      <c r="H2493" s="116"/>
      <c r="I2493" s="116"/>
      <c r="L2493" s="170">
        <v>45674</v>
      </c>
      <c r="M2493" s="116">
        <v>71.040000000000006</v>
      </c>
      <c r="N2493" s="116">
        <v>71.849999999999994</v>
      </c>
      <c r="O2493" s="116">
        <v>70.540000000000006</v>
      </c>
      <c r="P2493" s="116">
        <v>71.849999999999994</v>
      </c>
      <c r="Q2493" s="116">
        <v>71.040000000000006</v>
      </c>
      <c r="R2493">
        <v>2289609</v>
      </c>
    </row>
    <row r="2494" spans="1:18" x14ac:dyDescent="0.25">
      <c r="A2494" s="170">
        <v>45677</v>
      </c>
      <c r="B2494" s="116">
        <v>84.5</v>
      </c>
      <c r="C2494" s="116">
        <v>82.45</v>
      </c>
      <c r="D2494" s="116">
        <v>75.55</v>
      </c>
      <c r="E2494" s="116">
        <v>77.09</v>
      </c>
      <c r="F2494" s="116">
        <v>82.45</v>
      </c>
      <c r="G2494">
        <v>4773303</v>
      </c>
      <c r="H2494" s="116"/>
      <c r="I2494" s="116"/>
      <c r="L2494" s="170">
        <v>45677</v>
      </c>
      <c r="M2494" s="116">
        <v>82.73</v>
      </c>
      <c r="N2494" s="116">
        <v>84.5</v>
      </c>
      <c r="O2494" s="116">
        <v>75.650000000000006</v>
      </c>
      <c r="P2494" s="116">
        <v>77</v>
      </c>
      <c r="Q2494" s="116">
        <v>82.73</v>
      </c>
      <c r="R2494">
        <v>86867431</v>
      </c>
    </row>
    <row r="2495" spans="1:18" x14ac:dyDescent="0.25">
      <c r="A2495" s="170">
        <v>45678</v>
      </c>
      <c r="B2495" s="116">
        <v>80.7</v>
      </c>
      <c r="C2495" s="116">
        <v>78.09</v>
      </c>
      <c r="D2495" s="116">
        <v>76.75</v>
      </c>
      <c r="E2495" s="116">
        <v>80.23</v>
      </c>
      <c r="F2495" s="116">
        <v>78.09</v>
      </c>
      <c r="G2495">
        <v>1016458</v>
      </c>
      <c r="H2495" s="116"/>
      <c r="I2495" s="116"/>
      <c r="L2495" s="170">
        <v>45678</v>
      </c>
      <c r="M2495" s="116">
        <v>78.099999999999994</v>
      </c>
      <c r="N2495" s="116">
        <v>80.7</v>
      </c>
      <c r="O2495" s="116">
        <v>76.67</v>
      </c>
      <c r="P2495" s="116">
        <v>80.5</v>
      </c>
      <c r="Q2495" s="116">
        <v>78.099999999999994</v>
      </c>
      <c r="R2495">
        <v>18558306</v>
      </c>
    </row>
    <row r="2496" spans="1:18" x14ac:dyDescent="0.25">
      <c r="A2496" s="170">
        <v>45679</v>
      </c>
      <c r="B2496" s="116">
        <v>78.510000000000005</v>
      </c>
      <c r="C2496" s="116">
        <v>75.959999999999994</v>
      </c>
      <c r="D2496" s="116">
        <v>74.5</v>
      </c>
      <c r="E2496" s="116">
        <v>78.36</v>
      </c>
      <c r="F2496" s="116">
        <v>75.959999999999994</v>
      </c>
      <c r="G2496">
        <v>252251</v>
      </c>
      <c r="H2496" s="116"/>
      <c r="I2496" s="116"/>
      <c r="L2496" s="170">
        <v>45679</v>
      </c>
      <c r="M2496" s="116">
        <v>75.91</v>
      </c>
      <c r="N2496" s="116">
        <v>78.44</v>
      </c>
      <c r="O2496" s="116">
        <v>74.319999999999993</v>
      </c>
      <c r="P2496" s="116">
        <v>78.099999999999994</v>
      </c>
      <c r="Q2496" s="116">
        <v>75.91</v>
      </c>
      <c r="R2496">
        <v>7400786</v>
      </c>
    </row>
    <row r="2497" spans="1:18" x14ac:dyDescent="0.25">
      <c r="A2497" s="170">
        <v>45680</v>
      </c>
      <c r="B2497" s="116">
        <v>77.39</v>
      </c>
      <c r="C2497" s="116">
        <v>76.19</v>
      </c>
      <c r="D2497" s="116">
        <v>75.25</v>
      </c>
      <c r="E2497" s="116">
        <v>76.42</v>
      </c>
      <c r="F2497" s="116">
        <v>76.19</v>
      </c>
      <c r="G2497">
        <v>648443</v>
      </c>
      <c r="H2497" s="116"/>
      <c r="I2497" s="116"/>
      <c r="L2497" s="170">
        <v>45680</v>
      </c>
      <c r="M2497" s="116">
        <v>76.22</v>
      </c>
      <c r="N2497" s="116">
        <v>77.38</v>
      </c>
      <c r="O2497" s="116">
        <v>75.2</v>
      </c>
      <c r="P2497" s="116">
        <v>76.39</v>
      </c>
      <c r="Q2497" s="116">
        <v>76.22</v>
      </c>
      <c r="R2497">
        <v>7110102</v>
      </c>
    </row>
    <row r="2498" spans="1:18" x14ac:dyDescent="0.25">
      <c r="A2498" s="170">
        <v>45681</v>
      </c>
      <c r="B2498" s="116">
        <v>76.38</v>
      </c>
      <c r="C2498" s="116">
        <v>74.28</v>
      </c>
      <c r="D2498" s="116">
        <v>73.23</v>
      </c>
      <c r="E2498" s="116">
        <v>75.72</v>
      </c>
      <c r="F2498" s="116">
        <v>74.28</v>
      </c>
      <c r="G2498">
        <v>187908</v>
      </c>
      <c r="H2498" s="116"/>
      <c r="I2498" s="116"/>
      <c r="L2498" s="170">
        <v>45681</v>
      </c>
      <c r="M2498" s="116">
        <v>74.290000000000006</v>
      </c>
      <c r="N2498" s="116">
        <v>76.3</v>
      </c>
      <c r="O2498" s="116">
        <v>73.16</v>
      </c>
      <c r="P2498" s="116">
        <v>76</v>
      </c>
      <c r="Q2498" s="116">
        <v>74.290000000000006</v>
      </c>
      <c r="R2498">
        <v>3802230</v>
      </c>
    </row>
    <row r="2499" spans="1:18" x14ac:dyDescent="0.25">
      <c r="A2499" s="170">
        <v>45684</v>
      </c>
      <c r="B2499" s="116">
        <v>73.12</v>
      </c>
      <c r="C2499" s="116">
        <v>69.53</v>
      </c>
      <c r="D2499" s="116">
        <v>68.8</v>
      </c>
      <c r="E2499" s="116">
        <v>72.78</v>
      </c>
      <c r="F2499" s="116">
        <v>69.53</v>
      </c>
      <c r="G2499">
        <v>252213</v>
      </c>
      <c r="H2499" s="116"/>
      <c r="I2499" s="116"/>
      <c r="L2499" s="170">
        <v>45684</v>
      </c>
      <c r="M2499" s="116">
        <v>69.45</v>
      </c>
      <c r="N2499" s="116">
        <v>73.08</v>
      </c>
      <c r="O2499" s="116">
        <v>68.790000000000006</v>
      </c>
      <c r="P2499" s="116">
        <v>72.3</v>
      </c>
      <c r="Q2499" s="116">
        <v>69.45</v>
      </c>
      <c r="R2499">
        <v>5288608</v>
      </c>
    </row>
    <row r="2500" spans="1:18" x14ac:dyDescent="0.25">
      <c r="A2500" s="170">
        <v>45685</v>
      </c>
      <c r="B2500" s="116">
        <v>70.78</v>
      </c>
      <c r="C2500" s="116">
        <v>68.72</v>
      </c>
      <c r="D2500" s="116">
        <v>67.38</v>
      </c>
      <c r="E2500" s="116">
        <v>69.56</v>
      </c>
      <c r="F2500" s="116">
        <v>68.72</v>
      </c>
      <c r="G2500">
        <v>511530</v>
      </c>
      <c r="H2500" s="116"/>
      <c r="I2500" s="116"/>
      <c r="L2500" s="170">
        <v>45685</v>
      </c>
      <c r="M2500" s="116">
        <v>68.8</v>
      </c>
      <c r="N2500" s="116">
        <v>70.790000000000006</v>
      </c>
      <c r="O2500" s="116">
        <v>67.3</v>
      </c>
      <c r="P2500" s="116">
        <v>70.19</v>
      </c>
      <c r="Q2500" s="116">
        <v>68.8</v>
      </c>
      <c r="R2500">
        <v>5272509</v>
      </c>
    </row>
    <row r="2501" spans="1:18" x14ac:dyDescent="0.25">
      <c r="A2501" s="170">
        <v>45686</v>
      </c>
      <c r="B2501" s="116">
        <v>71.27</v>
      </c>
      <c r="C2501" s="116">
        <v>70.86</v>
      </c>
      <c r="D2501" s="116">
        <v>68.75</v>
      </c>
      <c r="E2501" s="116">
        <v>68.75</v>
      </c>
      <c r="F2501" s="116">
        <v>70.86</v>
      </c>
      <c r="G2501">
        <v>163294</v>
      </c>
      <c r="H2501" s="116"/>
      <c r="I2501" s="116"/>
      <c r="L2501" s="170">
        <v>45686</v>
      </c>
      <c r="M2501" s="116">
        <v>70.84</v>
      </c>
      <c r="N2501" s="116">
        <v>71.34</v>
      </c>
      <c r="O2501" s="116">
        <v>68.8</v>
      </c>
      <c r="P2501" s="116">
        <v>68.8</v>
      </c>
      <c r="Q2501" s="116">
        <v>70.84</v>
      </c>
      <c r="R2501">
        <v>3146512</v>
      </c>
    </row>
    <row r="2502" spans="1:18" x14ac:dyDescent="0.25">
      <c r="A2502" s="170">
        <v>45687</v>
      </c>
      <c r="B2502" s="116">
        <v>71.69</v>
      </c>
      <c r="C2502" s="116">
        <v>70.650000000000006</v>
      </c>
      <c r="D2502" s="116">
        <v>70.239999999999995</v>
      </c>
      <c r="E2502" s="116">
        <v>70.959999999999994</v>
      </c>
      <c r="F2502" s="116">
        <v>70.650000000000006</v>
      </c>
      <c r="G2502">
        <v>235248</v>
      </c>
      <c r="H2502" s="116"/>
      <c r="I2502" s="116"/>
      <c r="L2502" s="170">
        <v>45687</v>
      </c>
      <c r="M2502" s="116">
        <v>70.62</v>
      </c>
      <c r="N2502" s="116">
        <v>71.650000000000006</v>
      </c>
      <c r="O2502" s="116">
        <v>70</v>
      </c>
      <c r="P2502" s="116">
        <v>71.09</v>
      </c>
      <c r="Q2502" s="116">
        <v>70.62</v>
      </c>
      <c r="R2502">
        <v>2551436</v>
      </c>
    </row>
    <row r="2503" spans="1:18" x14ac:dyDescent="0.25">
      <c r="A2503" s="170">
        <v>45688</v>
      </c>
      <c r="B2503" s="116">
        <v>72.209999999999994</v>
      </c>
      <c r="C2503" s="116">
        <v>71.78</v>
      </c>
      <c r="D2503" s="116">
        <v>69.88</v>
      </c>
      <c r="E2503" s="116">
        <v>70.87</v>
      </c>
      <c r="F2503" s="116">
        <v>71.78</v>
      </c>
      <c r="G2503">
        <v>411255</v>
      </c>
      <c r="H2503" s="116"/>
      <c r="I2503" s="116"/>
      <c r="L2503" s="170">
        <v>45688</v>
      </c>
      <c r="M2503" s="116">
        <v>71.790000000000006</v>
      </c>
      <c r="N2503" s="116">
        <v>72.25</v>
      </c>
      <c r="O2503" s="116">
        <v>69.900000000000006</v>
      </c>
      <c r="P2503" s="116">
        <v>70.650000000000006</v>
      </c>
      <c r="Q2503" s="116">
        <v>71.790000000000006</v>
      </c>
      <c r="R2503">
        <v>2652560</v>
      </c>
    </row>
    <row r="2504" spans="1:18" x14ac:dyDescent="0.25">
      <c r="A2504" s="170">
        <v>45689</v>
      </c>
      <c r="B2504" s="116">
        <v>76.8</v>
      </c>
      <c r="C2504" s="116">
        <v>73.25</v>
      </c>
      <c r="D2504" s="116">
        <v>70.33</v>
      </c>
      <c r="E2504" s="116">
        <v>72.2</v>
      </c>
      <c r="F2504" s="116">
        <v>73.25</v>
      </c>
      <c r="G2504">
        <v>409375</v>
      </c>
      <c r="H2504" s="116"/>
      <c r="I2504" s="116"/>
      <c r="L2504" s="170">
        <v>45689</v>
      </c>
      <c r="M2504" s="116">
        <v>73.430000000000007</v>
      </c>
      <c r="N2504" s="116">
        <v>76.849999999999994</v>
      </c>
      <c r="O2504" s="116">
        <v>70.290000000000006</v>
      </c>
      <c r="P2504" s="116">
        <v>72.62</v>
      </c>
      <c r="Q2504" s="116">
        <v>73.430000000000007</v>
      </c>
      <c r="R2504">
        <v>6250633</v>
      </c>
    </row>
    <row r="2505" spans="1:18" x14ac:dyDescent="0.25">
      <c r="A2505" s="170">
        <v>45691</v>
      </c>
      <c r="B2505" s="116">
        <v>72.52</v>
      </c>
      <c r="C2505" s="116">
        <v>71.11</v>
      </c>
      <c r="D2505" s="116">
        <v>70.27</v>
      </c>
      <c r="E2505" s="116">
        <v>71.739999999999995</v>
      </c>
      <c r="F2505" s="116">
        <v>71.11</v>
      </c>
      <c r="G2505">
        <v>145727</v>
      </c>
      <c r="H2505" s="116"/>
      <c r="I2505" s="116"/>
      <c r="L2505" s="170">
        <v>45691</v>
      </c>
      <c r="M2505" s="116">
        <v>71.13</v>
      </c>
      <c r="N2505" s="116">
        <v>72.489999999999995</v>
      </c>
      <c r="O2505" s="116">
        <v>70.28</v>
      </c>
      <c r="P2505" s="116">
        <v>71</v>
      </c>
      <c r="Q2505" s="116">
        <v>71.13</v>
      </c>
      <c r="R2505">
        <v>2491042</v>
      </c>
    </row>
    <row r="2506" spans="1:18" x14ac:dyDescent="0.25">
      <c r="A2506" s="170">
        <v>45692</v>
      </c>
      <c r="B2506" s="116">
        <v>72.45</v>
      </c>
      <c r="C2506" s="116">
        <v>71.3</v>
      </c>
      <c r="D2506" s="116">
        <v>70.87</v>
      </c>
      <c r="E2506" s="116">
        <v>71.31</v>
      </c>
      <c r="F2506" s="116">
        <v>71.3</v>
      </c>
      <c r="G2506">
        <v>181759</v>
      </c>
      <c r="H2506" s="116"/>
      <c r="I2506" s="116"/>
      <c r="L2506" s="170">
        <v>45692</v>
      </c>
      <c r="M2506" s="116">
        <v>71.319999999999993</v>
      </c>
      <c r="N2506" s="116">
        <v>72.48</v>
      </c>
      <c r="O2506" s="116">
        <v>70.900000000000006</v>
      </c>
      <c r="P2506" s="116">
        <v>72.2</v>
      </c>
      <c r="Q2506" s="116">
        <v>71.319999999999993</v>
      </c>
      <c r="R2506">
        <v>2538197</v>
      </c>
    </row>
    <row r="2507" spans="1:18" x14ac:dyDescent="0.25">
      <c r="A2507" s="170">
        <v>45693</v>
      </c>
      <c r="B2507" s="116">
        <v>77.599999999999994</v>
      </c>
      <c r="C2507" s="116">
        <v>74.69</v>
      </c>
      <c r="D2507" s="116">
        <v>73.010000000000005</v>
      </c>
      <c r="E2507" s="116">
        <v>73.010000000000005</v>
      </c>
      <c r="F2507" s="116">
        <v>74.69</v>
      </c>
      <c r="G2507">
        <v>1440893</v>
      </c>
      <c r="H2507" s="116"/>
      <c r="I2507" s="116"/>
      <c r="L2507" s="170">
        <v>45693</v>
      </c>
      <c r="M2507" s="116">
        <v>74.739999999999995</v>
      </c>
      <c r="N2507" s="116">
        <v>77.55</v>
      </c>
      <c r="O2507" s="116">
        <v>73.459999999999994</v>
      </c>
      <c r="P2507" s="116">
        <v>73.900000000000006</v>
      </c>
      <c r="Q2507" s="116">
        <v>74.739999999999995</v>
      </c>
      <c r="R2507">
        <v>30107319</v>
      </c>
    </row>
    <row r="2508" spans="1:18" x14ac:dyDescent="0.25">
      <c r="A2508" s="170">
        <v>45694</v>
      </c>
      <c r="B2508" s="116">
        <v>74.81</v>
      </c>
      <c r="C2508" s="116">
        <v>73.27</v>
      </c>
      <c r="D2508" s="116">
        <v>72.5</v>
      </c>
      <c r="E2508" s="116">
        <v>74.81</v>
      </c>
      <c r="F2508" s="116">
        <v>73.27</v>
      </c>
      <c r="G2508">
        <v>218162</v>
      </c>
      <c r="H2508" s="116"/>
      <c r="I2508" s="116"/>
      <c r="L2508" s="170">
        <v>45694</v>
      </c>
      <c r="M2508" s="116">
        <v>73.23</v>
      </c>
      <c r="N2508" s="116">
        <v>74.7</v>
      </c>
      <c r="O2508" s="116">
        <v>72.5</v>
      </c>
      <c r="P2508" s="116">
        <v>74.7</v>
      </c>
      <c r="Q2508" s="116">
        <v>73.23</v>
      </c>
      <c r="R2508">
        <v>3426188</v>
      </c>
    </row>
    <row r="2509" spans="1:18" x14ac:dyDescent="0.25">
      <c r="A2509" s="170">
        <v>45695</v>
      </c>
      <c r="B2509" s="116">
        <v>73.680000000000007</v>
      </c>
      <c r="C2509" s="116">
        <v>72.03</v>
      </c>
      <c r="D2509" s="116">
        <v>71.52</v>
      </c>
      <c r="E2509" s="116">
        <v>73.22</v>
      </c>
      <c r="F2509" s="116">
        <v>72.03</v>
      </c>
      <c r="G2509">
        <v>319824</v>
      </c>
      <c r="H2509" s="116"/>
      <c r="I2509" s="116"/>
      <c r="L2509" s="170">
        <v>45695</v>
      </c>
      <c r="M2509" s="116">
        <v>72.040000000000006</v>
      </c>
      <c r="N2509" s="116">
        <v>73.67</v>
      </c>
      <c r="O2509" s="116">
        <v>71.5</v>
      </c>
      <c r="P2509" s="116">
        <v>73.12</v>
      </c>
      <c r="Q2509" s="116">
        <v>72.040000000000006</v>
      </c>
      <c r="R2509">
        <v>3409514</v>
      </c>
    </row>
    <row r="2510" spans="1:18" x14ac:dyDescent="0.25">
      <c r="A2510" s="170">
        <v>45698</v>
      </c>
      <c r="B2510" s="116">
        <v>75.77</v>
      </c>
      <c r="C2510" s="116">
        <v>72.67</v>
      </c>
      <c r="D2510" s="116">
        <v>71.540000000000006</v>
      </c>
      <c r="E2510" s="116">
        <v>72.5</v>
      </c>
      <c r="F2510" s="116">
        <v>72.67</v>
      </c>
      <c r="G2510">
        <v>829426</v>
      </c>
      <c r="H2510" s="116"/>
      <c r="I2510" s="116"/>
      <c r="L2510" s="170">
        <v>45698</v>
      </c>
      <c r="M2510" s="116">
        <v>72.66</v>
      </c>
      <c r="N2510" s="116">
        <v>75.8</v>
      </c>
      <c r="O2510" s="116">
        <v>71.55</v>
      </c>
      <c r="P2510" s="116">
        <v>72.73</v>
      </c>
      <c r="Q2510" s="116">
        <v>72.66</v>
      </c>
      <c r="R2510">
        <v>17179487</v>
      </c>
    </row>
    <row r="2511" spans="1:18" x14ac:dyDescent="0.25">
      <c r="A2511" s="170">
        <v>45699</v>
      </c>
      <c r="B2511" s="116">
        <v>72.66</v>
      </c>
      <c r="C2511" s="116">
        <v>70.319999999999993</v>
      </c>
      <c r="D2511" s="116">
        <v>69.37</v>
      </c>
      <c r="E2511" s="116">
        <v>72.66</v>
      </c>
      <c r="F2511" s="116">
        <v>70.319999999999993</v>
      </c>
      <c r="G2511">
        <v>465974</v>
      </c>
      <c r="H2511" s="116"/>
      <c r="I2511" s="116"/>
      <c r="L2511" s="170">
        <v>45699</v>
      </c>
      <c r="M2511" s="116">
        <v>70.349999999999994</v>
      </c>
      <c r="N2511" s="116">
        <v>72.58</v>
      </c>
      <c r="O2511" s="116">
        <v>69.400000000000006</v>
      </c>
      <c r="P2511" s="116">
        <v>72.58</v>
      </c>
      <c r="Q2511" s="116">
        <v>70.349999999999994</v>
      </c>
      <c r="R2511">
        <v>3847268</v>
      </c>
    </row>
    <row r="2512" spans="1:18" x14ac:dyDescent="0.25">
      <c r="A2512" s="170">
        <v>45700</v>
      </c>
      <c r="B2512" s="116">
        <v>70.06</v>
      </c>
      <c r="C2512" s="116">
        <v>68.680000000000007</v>
      </c>
      <c r="D2512" s="116">
        <v>66.73</v>
      </c>
      <c r="E2512" s="116">
        <v>69.61</v>
      </c>
      <c r="F2512" s="116">
        <v>68.680000000000007</v>
      </c>
      <c r="G2512">
        <v>339072</v>
      </c>
      <c r="H2512" s="116"/>
      <c r="I2512" s="116"/>
      <c r="L2512" s="170">
        <v>45700</v>
      </c>
      <c r="M2512" s="116">
        <v>68.72</v>
      </c>
      <c r="N2512" s="116">
        <v>70.16</v>
      </c>
      <c r="O2512" s="116">
        <v>66.760000000000005</v>
      </c>
      <c r="P2512" s="116">
        <v>70.16</v>
      </c>
      <c r="Q2512" s="116">
        <v>68.72</v>
      </c>
      <c r="R2512">
        <v>4322697</v>
      </c>
    </row>
    <row r="2513" spans="1:18" x14ac:dyDescent="0.25">
      <c r="A2513" s="170">
        <v>45701</v>
      </c>
      <c r="B2513" s="116">
        <v>70.099999999999994</v>
      </c>
      <c r="C2513" s="116">
        <v>68.72</v>
      </c>
      <c r="D2513" s="116">
        <v>68.150000000000006</v>
      </c>
      <c r="E2513" s="116">
        <v>69.06</v>
      </c>
      <c r="F2513" s="116">
        <v>68.72</v>
      </c>
      <c r="G2513">
        <v>286083</v>
      </c>
      <c r="H2513" s="116"/>
      <c r="I2513" s="116"/>
      <c r="L2513" s="170">
        <v>45701</v>
      </c>
      <c r="M2513" s="116">
        <v>68.650000000000006</v>
      </c>
      <c r="N2513" s="116">
        <v>70.150000000000006</v>
      </c>
      <c r="O2513" s="116">
        <v>68.239999999999995</v>
      </c>
      <c r="P2513" s="116">
        <v>69.48</v>
      </c>
      <c r="Q2513" s="116">
        <v>68.650000000000006</v>
      </c>
      <c r="R2513">
        <v>3112511</v>
      </c>
    </row>
    <row r="2514" spans="1:18" x14ac:dyDescent="0.25">
      <c r="A2514" s="170">
        <v>45702</v>
      </c>
      <c r="B2514" s="116">
        <v>68.91</v>
      </c>
      <c r="C2514" s="116">
        <v>66.53</v>
      </c>
      <c r="D2514" s="116">
        <v>65.599999999999994</v>
      </c>
      <c r="E2514" s="116">
        <v>68.64</v>
      </c>
      <c r="F2514" s="116">
        <v>66.53</v>
      </c>
      <c r="G2514">
        <v>261597</v>
      </c>
      <c r="H2514" s="116"/>
      <c r="I2514" s="116"/>
      <c r="L2514" s="170">
        <v>45702</v>
      </c>
      <c r="M2514" s="116">
        <v>66.47</v>
      </c>
      <c r="N2514" s="116">
        <v>68.930000000000007</v>
      </c>
      <c r="O2514" s="116">
        <v>65.5</v>
      </c>
      <c r="P2514" s="116">
        <v>68.930000000000007</v>
      </c>
      <c r="Q2514" s="116">
        <v>66.47</v>
      </c>
      <c r="R2514">
        <v>4075254</v>
      </c>
    </row>
    <row r="2515" spans="1:18" x14ac:dyDescent="0.25">
      <c r="A2515" s="170">
        <v>45705</v>
      </c>
      <c r="B2515" s="116">
        <v>66.66</v>
      </c>
      <c r="C2515" s="116">
        <v>63.76</v>
      </c>
      <c r="D2515" s="116">
        <v>62.82</v>
      </c>
      <c r="E2515" s="116">
        <v>66.010000000000005</v>
      </c>
      <c r="F2515" s="116">
        <v>63.76</v>
      </c>
      <c r="G2515">
        <v>629812</v>
      </c>
      <c r="H2515" s="116"/>
      <c r="I2515" s="116"/>
      <c r="L2515" s="170">
        <v>45705</v>
      </c>
      <c r="M2515" s="116">
        <v>63.74</v>
      </c>
      <c r="N2515" s="116">
        <v>66.569999999999993</v>
      </c>
      <c r="O2515" s="116">
        <v>62.8</v>
      </c>
      <c r="P2515" s="116">
        <v>66.44</v>
      </c>
      <c r="Q2515" s="116">
        <v>63.74</v>
      </c>
      <c r="R2515">
        <v>6135134</v>
      </c>
    </row>
    <row r="2516" spans="1:18" x14ac:dyDescent="0.25">
      <c r="A2516" s="170">
        <v>45706</v>
      </c>
      <c r="B2516" s="116">
        <v>65.45</v>
      </c>
      <c r="C2516" s="116">
        <v>63.65</v>
      </c>
      <c r="D2516" s="116">
        <v>60.32</v>
      </c>
      <c r="E2516" s="116">
        <v>64.989999999999995</v>
      </c>
      <c r="F2516" s="116">
        <v>63.65</v>
      </c>
      <c r="G2516">
        <v>803672</v>
      </c>
      <c r="H2516" s="116"/>
      <c r="I2516" s="116"/>
      <c r="L2516" s="170">
        <v>45706</v>
      </c>
      <c r="M2516" s="116">
        <v>63.62</v>
      </c>
      <c r="N2516" s="116">
        <v>65.48</v>
      </c>
      <c r="O2516" s="116">
        <v>60.25</v>
      </c>
      <c r="P2516" s="116">
        <v>64.39</v>
      </c>
      <c r="Q2516" s="116">
        <v>63.62</v>
      </c>
      <c r="R2516">
        <v>7121018</v>
      </c>
    </row>
    <row r="2517" spans="1:18" x14ac:dyDescent="0.25">
      <c r="A2517" s="170">
        <v>45707</v>
      </c>
      <c r="B2517" s="116">
        <v>66.16</v>
      </c>
      <c r="C2517" s="116">
        <v>65.760000000000005</v>
      </c>
      <c r="D2517" s="116">
        <v>62.37</v>
      </c>
      <c r="E2517" s="116">
        <v>63.8</v>
      </c>
      <c r="F2517" s="116">
        <v>65.760000000000005</v>
      </c>
      <c r="G2517">
        <v>489809</v>
      </c>
      <c r="H2517" s="116"/>
      <c r="I2517" s="116"/>
      <c r="L2517" s="170">
        <v>45707</v>
      </c>
      <c r="M2517" s="116">
        <v>65.75</v>
      </c>
      <c r="N2517" s="116">
        <v>66.14</v>
      </c>
      <c r="O2517" s="116">
        <v>62.28</v>
      </c>
      <c r="P2517" s="116">
        <v>63.51</v>
      </c>
      <c r="Q2517" s="116">
        <v>65.75</v>
      </c>
      <c r="R2517">
        <v>3787144</v>
      </c>
    </row>
    <row r="2518" spans="1:18" x14ac:dyDescent="0.25">
      <c r="A2518" s="170">
        <v>45708</v>
      </c>
      <c r="B2518" s="116">
        <v>66.459999999999994</v>
      </c>
      <c r="C2518" s="116">
        <v>65.680000000000007</v>
      </c>
      <c r="D2518" s="116">
        <v>64.48</v>
      </c>
      <c r="E2518" s="116">
        <v>65.2</v>
      </c>
      <c r="F2518" s="116">
        <v>65.680000000000007</v>
      </c>
      <c r="G2518">
        <v>331167</v>
      </c>
      <c r="H2518" s="116"/>
      <c r="I2518" s="116"/>
      <c r="L2518" s="170">
        <v>45708</v>
      </c>
      <c r="M2518" s="116">
        <v>65.72</v>
      </c>
      <c r="N2518" s="116">
        <v>66.39</v>
      </c>
      <c r="O2518" s="116">
        <v>64.7</v>
      </c>
      <c r="P2518" s="116">
        <v>65</v>
      </c>
      <c r="Q2518" s="116">
        <v>65.72</v>
      </c>
      <c r="R2518">
        <v>2667056</v>
      </c>
    </row>
    <row r="2519" spans="1:18" x14ac:dyDescent="0.25">
      <c r="A2519" s="170">
        <v>45709</v>
      </c>
      <c r="B2519" s="116">
        <v>67.98</v>
      </c>
      <c r="C2519" s="116">
        <v>65.31</v>
      </c>
      <c r="D2519" s="116">
        <v>64.900000000000006</v>
      </c>
      <c r="E2519" s="116">
        <v>65.09</v>
      </c>
      <c r="F2519" s="116">
        <v>65.31</v>
      </c>
      <c r="G2519">
        <v>268025</v>
      </c>
      <c r="H2519" s="116"/>
      <c r="I2519" s="116"/>
      <c r="L2519" s="170">
        <v>45709</v>
      </c>
      <c r="M2519" s="116">
        <v>65.37</v>
      </c>
      <c r="N2519" s="116">
        <v>67.989999999999995</v>
      </c>
      <c r="O2519" s="116">
        <v>64.8</v>
      </c>
      <c r="P2519" s="116">
        <v>65.7</v>
      </c>
      <c r="Q2519" s="116">
        <v>65.37</v>
      </c>
      <c r="R2519">
        <v>3665305</v>
      </c>
    </row>
    <row r="2520" spans="1:18" x14ac:dyDescent="0.25">
      <c r="A2520" s="170">
        <v>45712</v>
      </c>
      <c r="B2520" s="116">
        <v>66</v>
      </c>
      <c r="C2520" s="116">
        <v>63.57</v>
      </c>
      <c r="D2520" s="116">
        <v>63.16</v>
      </c>
      <c r="E2520" s="116">
        <v>65.19</v>
      </c>
      <c r="F2520" s="116">
        <v>63.57</v>
      </c>
      <c r="G2520">
        <v>205929</v>
      </c>
      <c r="H2520" s="116"/>
      <c r="I2520" s="116"/>
      <c r="L2520" s="170">
        <v>45712</v>
      </c>
      <c r="M2520" s="116">
        <v>63.56</v>
      </c>
      <c r="N2520" s="116">
        <v>65.05</v>
      </c>
      <c r="O2520" s="116">
        <v>63.11</v>
      </c>
      <c r="P2520" s="116">
        <v>65</v>
      </c>
      <c r="Q2520" s="116">
        <v>63.56</v>
      </c>
      <c r="R2520">
        <v>2168683</v>
      </c>
    </row>
    <row r="2521" spans="1:18" x14ac:dyDescent="0.25">
      <c r="A2521" s="170">
        <v>45713</v>
      </c>
      <c r="B2521" s="116">
        <v>64.72</v>
      </c>
      <c r="C2521" s="116">
        <v>63.93</v>
      </c>
      <c r="D2521" s="116">
        <v>63.39</v>
      </c>
      <c r="E2521" s="116">
        <v>64.31</v>
      </c>
      <c r="F2521" s="116">
        <v>63.93</v>
      </c>
      <c r="G2521">
        <v>213055</v>
      </c>
      <c r="H2521" s="116"/>
      <c r="I2521" s="116"/>
      <c r="L2521" s="170">
        <v>45713</v>
      </c>
      <c r="M2521" s="116">
        <v>63.97</v>
      </c>
      <c r="N2521" s="116">
        <v>64.760000000000005</v>
      </c>
      <c r="O2521" s="116">
        <v>63.35</v>
      </c>
      <c r="P2521" s="116">
        <v>63.8</v>
      </c>
      <c r="Q2521" s="116">
        <v>63.97</v>
      </c>
      <c r="R2521">
        <v>2946655</v>
      </c>
    </row>
    <row r="2522" spans="1:18" x14ac:dyDescent="0.25">
      <c r="A2522" s="170">
        <v>45715</v>
      </c>
      <c r="B2522" s="116">
        <v>64.44</v>
      </c>
      <c r="C2522" s="116">
        <v>63.04</v>
      </c>
      <c r="D2522" s="116">
        <v>62.33</v>
      </c>
      <c r="E2522" s="116">
        <v>63.93</v>
      </c>
      <c r="F2522" s="116">
        <v>63.04</v>
      </c>
      <c r="G2522">
        <v>162794</v>
      </c>
      <c r="H2522" s="116"/>
      <c r="I2522" s="116"/>
      <c r="L2522" s="170">
        <v>45715</v>
      </c>
      <c r="M2522" s="116">
        <v>63.17</v>
      </c>
      <c r="N2522" s="116">
        <v>64.599999999999994</v>
      </c>
      <c r="O2522" s="116">
        <v>62.2</v>
      </c>
      <c r="P2522" s="116">
        <v>63.97</v>
      </c>
      <c r="Q2522" s="116">
        <v>63.17</v>
      </c>
      <c r="R2522">
        <v>2253077</v>
      </c>
    </row>
    <row r="2523" spans="1:18" x14ac:dyDescent="0.25">
      <c r="A2523" s="170">
        <v>45716</v>
      </c>
      <c r="B2523" s="116">
        <v>62.19</v>
      </c>
      <c r="C2523" s="116">
        <v>59.4</v>
      </c>
      <c r="D2523" s="116">
        <v>59.02</v>
      </c>
      <c r="E2523" s="116">
        <v>62.05</v>
      </c>
      <c r="F2523" s="116">
        <v>59.4</v>
      </c>
      <c r="G2523">
        <v>254506</v>
      </c>
      <c r="H2523" s="116"/>
      <c r="I2523" s="116"/>
      <c r="L2523" s="170">
        <v>45716</v>
      </c>
      <c r="M2523" s="116">
        <v>59.52</v>
      </c>
      <c r="N2523" s="116">
        <v>62.12</v>
      </c>
      <c r="O2523" s="116">
        <v>59</v>
      </c>
      <c r="P2523" s="116">
        <v>62.12</v>
      </c>
      <c r="Q2523" s="116">
        <v>59.52</v>
      </c>
      <c r="R2523">
        <v>3949115</v>
      </c>
    </row>
    <row r="2524" spans="1:18" x14ac:dyDescent="0.25">
      <c r="A2524" s="170">
        <v>45719</v>
      </c>
      <c r="B2524" s="116">
        <v>60.56</v>
      </c>
      <c r="C2524" s="116">
        <v>56.14</v>
      </c>
      <c r="D2524" s="116">
        <v>54.01</v>
      </c>
      <c r="E2524" s="116">
        <v>60.56</v>
      </c>
      <c r="F2524" s="116">
        <v>56.14</v>
      </c>
      <c r="G2524">
        <v>581976</v>
      </c>
      <c r="H2524" s="116"/>
      <c r="I2524" s="116"/>
      <c r="L2524" s="170">
        <v>45719</v>
      </c>
      <c r="M2524" s="116">
        <v>56.16</v>
      </c>
      <c r="N2524" s="116">
        <v>60.61</v>
      </c>
      <c r="O2524" s="116">
        <v>54</v>
      </c>
      <c r="P2524" s="116">
        <v>60</v>
      </c>
      <c r="Q2524" s="116">
        <v>56.16</v>
      </c>
      <c r="R2524">
        <v>8730404</v>
      </c>
    </row>
    <row r="2525" spans="1:18" x14ac:dyDescent="0.25">
      <c r="A2525" s="170">
        <v>45720</v>
      </c>
      <c r="B2525" s="116">
        <v>57.5</v>
      </c>
      <c r="C2525" s="116">
        <v>55.83</v>
      </c>
      <c r="D2525" s="116">
        <v>54.78</v>
      </c>
      <c r="E2525" s="116">
        <v>55.04</v>
      </c>
      <c r="F2525" s="116">
        <v>55.83</v>
      </c>
      <c r="G2525">
        <v>319265</v>
      </c>
      <c r="H2525" s="116"/>
      <c r="I2525" s="116"/>
      <c r="L2525" s="170">
        <v>45720</v>
      </c>
      <c r="M2525" s="116">
        <v>56</v>
      </c>
      <c r="N2525" s="116">
        <v>57.5</v>
      </c>
      <c r="O2525" s="116">
        <v>54.15</v>
      </c>
      <c r="P2525" s="116">
        <v>55.8</v>
      </c>
      <c r="Q2525" s="116">
        <v>56</v>
      </c>
      <c r="R2525">
        <v>5030019</v>
      </c>
    </row>
    <row r="2526" spans="1:18" x14ac:dyDescent="0.25">
      <c r="A2526" s="170">
        <v>45721</v>
      </c>
      <c r="B2526" s="116">
        <v>60.31</v>
      </c>
      <c r="C2526" s="116">
        <v>59.57</v>
      </c>
      <c r="D2526" s="116">
        <v>55.6</v>
      </c>
      <c r="E2526" s="116">
        <v>55.6</v>
      </c>
      <c r="F2526" s="116">
        <v>59.57</v>
      </c>
      <c r="G2526">
        <v>366846</v>
      </c>
      <c r="H2526" s="116"/>
      <c r="I2526" s="116"/>
      <c r="L2526" s="170">
        <v>45721</v>
      </c>
      <c r="M2526" s="116">
        <v>59.68</v>
      </c>
      <c r="N2526" s="116">
        <v>60.4</v>
      </c>
      <c r="O2526" s="116">
        <v>56</v>
      </c>
      <c r="P2526" s="116">
        <v>56</v>
      </c>
      <c r="Q2526" s="116">
        <v>59.68</v>
      </c>
      <c r="R2526">
        <v>5249698</v>
      </c>
    </row>
    <row r="2527" spans="1:18" x14ac:dyDescent="0.25">
      <c r="A2527" s="170">
        <v>45722</v>
      </c>
      <c r="B2527" s="116">
        <v>61.21</v>
      </c>
      <c r="C2527" s="116">
        <v>59.87</v>
      </c>
      <c r="D2527" s="116">
        <v>59.31</v>
      </c>
      <c r="E2527" s="116">
        <v>60.76</v>
      </c>
      <c r="F2527" s="116">
        <v>59.87</v>
      </c>
      <c r="G2527">
        <v>207614</v>
      </c>
      <c r="H2527" s="116"/>
      <c r="I2527" s="116"/>
      <c r="L2527" s="170">
        <v>45722</v>
      </c>
      <c r="M2527" s="116">
        <v>59.87</v>
      </c>
      <c r="N2527" s="116">
        <v>61.2</v>
      </c>
      <c r="O2527" s="116">
        <v>59.27</v>
      </c>
      <c r="P2527" s="116">
        <v>60.3</v>
      </c>
      <c r="Q2527" s="116">
        <v>59.87</v>
      </c>
      <c r="R2527">
        <v>3337944</v>
      </c>
    </row>
    <row r="2528" spans="1:18" x14ac:dyDescent="0.25">
      <c r="A2528" s="170">
        <v>45723</v>
      </c>
      <c r="B2528" s="116">
        <v>61.65</v>
      </c>
      <c r="C2528" s="116">
        <v>60.81</v>
      </c>
      <c r="D2528" s="116">
        <v>59.35</v>
      </c>
      <c r="E2528" s="116">
        <v>60.39</v>
      </c>
      <c r="F2528" s="116">
        <v>60.81</v>
      </c>
      <c r="G2528">
        <v>516858</v>
      </c>
      <c r="H2528" s="116"/>
      <c r="I2528" s="116"/>
      <c r="L2528" s="170">
        <v>45723</v>
      </c>
      <c r="M2528" s="116">
        <v>60.73</v>
      </c>
      <c r="N2528" s="116">
        <v>61.77</v>
      </c>
      <c r="O2528" s="116">
        <v>59.38</v>
      </c>
      <c r="P2528" s="116">
        <v>59.86</v>
      </c>
      <c r="Q2528" s="116">
        <v>60.73</v>
      </c>
      <c r="R2528">
        <v>3658916</v>
      </c>
    </row>
    <row r="2529" spans="1:18" x14ac:dyDescent="0.25">
      <c r="A2529" s="170">
        <v>45726</v>
      </c>
      <c r="B2529" s="116">
        <v>64.7</v>
      </c>
      <c r="C2529" s="116">
        <v>60.63</v>
      </c>
      <c r="D2529" s="116">
        <v>58.35</v>
      </c>
      <c r="E2529" s="116">
        <v>61.46</v>
      </c>
      <c r="F2529" s="116">
        <v>60.63</v>
      </c>
      <c r="G2529">
        <v>1778150</v>
      </c>
      <c r="H2529" s="116"/>
      <c r="I2529" s="116"/>
      <c r="L2529" s="170">
        <v>45726</v>
      </c>
      <c r="M2529" s="116">
        <v>61.11</v>
      </c>
      <c r="N2529" s="116">
        <v>64.7</v>
      </c>
      <c r="O2529" s="116">
        <v>57.55</v>
      </c>
      <c r="P2529" s="116">
        <v>61</v>
      </c>
      <c r="Q2529" s="116">
        <v>61.11</v>
      </c>
      <c r="R2529">
        <v>25266716</v>
      </c>
    </row>
    <row r="2530" spans="1:18" x14ac:dyDescent="0.25">
      <c r="A2530" s="170">
        <v>45727</v>
      </c>
      <c r="B2530" s="116">
        <v>60.65</v>
      </c>
      <c r="C2530" s="116">
        <v>60.21</v>
      </c>
      <c r="D2530" s="116">
        <v>58.18</v>
      </c>
      <c r="E2530" s="116">
        <v>60</v>
      </c>
      <c r="F2530" s="116">
        <v>60.21</v>
      </c>
      <c r="G2530">
        <v>539207</v>
      </c>
      <c r="H2530" s="116"/>
      <c r="I2530" s="116"/>
      <c r="L2530" s="170">
        <v>45727</v>
      </c>
      <c r="M2530" s="116">
        <v>60.03</v>
      </c>
      <c r="N2530" s="116">
        <v>60.73</v>
      </c>
      <c r="O2530" s="116">
        <v>58.2</v>
      </c>
      <c r="P2530" s="116">
        <v>60</v>
      </c>
      <c r="Q2530" s="116">
        <v>60.03</v>
      </c>
      <c r="R2530">
        <v>6412717</v>
      </c>
    </row>
    <row r="2531" spans="1:18" x14ac:dyDescent="0.25">
      <c r="A2531" s="170">
        <v>45728</v>
      </c>
      <c r="B2531" s="116">
        <v>63.2</v>
      </c>
      <c r="C2531" s="116">
        <v>61.13</v>
      </c>
      <c r="D2531" s="116">
        <v>59.61</v>
      </c>
      <c r="E2531" s="116">
        <v>60.8</v>
      </c>
      <c r="F2531" s="116">
        <v>61.13</v>
      </c>
      <c r="G2531">
        <v>660376</v>
      </c>
      <c r="H2531" s="116"/>
      <c r="I2531" s="116"/>
      <c r="L2531" s="170">
        <v>45728</v>
      </c>
      <c r="M2531" s="116">
        <v>61.16</v>
      </c>
      <c r="N2531" s="116">
        <v>63.36</v>
      </c>
      <c r="O2531" s="116">
        <v>59.57</v>
      </c>
      <c r="P2531" s="116">
        <v>60.51</v>
      </c>
      <c r="Q2531" s="116">
        <v>61.16</v>
      </c>
      <c r="R2531">
        <v>10683629</v>
      </c>
    </row>
    <row r="2532" spans="1:18" x14ac:dyDescent="0.25">
      <c r="A2532" s="170">
        <v>45729</v>
      </c>
      <c r="B2532" s="116">
        <v>62.55</v>
      </c>
      <c r="C2532" s="116">
        <v>60.81</v>
      </c>
      <c r="D2532" s="116">
        <v>60.34</v>
      </c>
      <c r="E2532" s="116">
        <v>62</v>
      </c>
      <c r="F2532" s="116">
        <v>60.81</v>
      </c>
      <c r="G2532">
        <v>318776</v>
      </c>
      <c r="H2532" s="116"/>
      <c r="I2532" s="116"/>
      <c r="L2532" s="170">
        <v>45729</v>
      </c>
      <c r="M2532" s="116">
        <v>60.85</v>
      </c>
      <c r="N2532" s="116">
        <v>62.34</v>
      </c>
      <c r="O2532" s="116">
        <v>60.3</v>
      </c>
      <c r="P2532" s="116">
        <v>61.9</v>
      </c>
      <c r="Q2532" s="116">
        <v>60.85</v>
      </c>
      <c r="R2532">
        <v>5529291</v>
      </c>
    </row>
    <row r="2533" spans="1:18" x14ac:dyDescent="0.25">
      <c r="A2533" s="170">
        <v>45733</v>
      </c>
      <c r="B2533" s="116">
        <v>61.31</v>
      </c>
      <c r="C2533" s="116">
        <v>59.51</v>
      </c>
      <c r="D2533" s="116">
        <v>58.89</v>
      </c>
      <c r="E2533" s="116">
        <v>60.77</v>
      </c>
      <c r="F2533" s="116">
        <v>59.51</v>
      </c>
      <c r="G2533">
        <v>243182</v>
      </c>
      <c r="H2533" s="116"/>
      <c r="I2533" s="116"/>
      <c r="L2533" s="170">
        <v>45733</v>
      </c>
      <c r="M2533" s="116">
        <v>59.33</v>
      </c>
      <c r="N2533" s="116">
        <v>61.29</v>
      </c>
      <c r="O2533" s="116">
        <v>58.85</v>
      </c>
      <c r="P2533" s="116">
        <v>60.85</v>
      </c>
      <c r="Q2533" s="116">
        <v>59.33</v>
      </c>
      <c r="R2533">
        <v>4225834</v>
      </c>
    </row>
    <row r="2534" spans="1:18" x14ac:dyDescent="0.25">
      <c r="A2534" s="170">
        <v>45734</v>
      </c>
      <c r="B2534" s="116">
        <v>60.5</v>
      </c>
      <c r="C2534" s="116">
        <v>60.25</v>
      </c>
      <c r="D2534" s="116">
        <v>59.51</v>
      </c>
      <c r="E2534" s="116">
        <v>59.77</v>
      </c>
      <c r="F2534" s="116">
        <v>60.25</v>
      </c>
      <c r="G2534">
        <v>387509</v>
      </c>
      <c r="H2534" s="116"/>
      <c r="I2534" s="116"/>
      <c r="L2534" s="170">
        <v>45734</v>
      </c>
      <c r="M2534" s="116">
        <v>60.25</v>
      </c>
      <c r="N2534" s="116">
        <v>60.54</v>
      </c>
      <c r="O2534" s="116">
        <v>59.5</v>
      </c>
      <c r="P2534" s="116">
        <v>59.5</v>
      </c>
      <c r="Q2534" s="116">
        <v>60.25</v>
      </c>
      <c r="R2534">
        <v>3490903</v>
      </c>
    </row>
    <row r="2535" spans="1:18" x14ac:dyDescent="0.25">
      <c r="A2535" s="170">
        <v>45735</v>
      </c>
      <c r="B2535" s="116">
        <v>61.75</v>
      </c>
      <c r="C2535" s="116">
        <v>61.25</v>
      </c>
      <c r="D2535" s="116">
        <v>60.58</v>
      </c>
      <c r="E2535" s="116">
        <v>60.95</v>
      </c>
      <c r="F2535" s="116">
        <v>61.25</v>
      </c>
      <c r="G2535">
        <v>461545</v>
      </c>
      <c r="H2535" s="116"/>
      <c r="I2535" s="116"/>
      <c r="L2535" s="170">
        <v>45735</v>
      </c>
      <c r="M2535" s="116">
        <v>61.24</v>
      </c>
      <c r="N2535" s="116">
        <v>61.79</v>
      </c>
      <c r="O2535" s="116">
        <v>60.44</v>
      </c>
      <c r="P2535" s="116">
        <v>60.5</v>
      </c>
      <c r="Q2535" s="116">
        <v>61.24</v>
      </c>
      <c r="R2535">
        <v>3669980</v>
      </c>
    </row>
    <row r="2536" spans="1:18" x14ac:dyDescent="0.25">
      <c r="A2536" s="170">
        <v>45736</v>
      </c>
      <c r="B2536" s="116">
        <v>62.7</v>
      </c>
      <c r="C2536" s="116">
        <v>61.08</v>
      </c>
      <c r="D2536" s="116">
        <v>60.6</v>
      </c>
      <c r="E2536" s="116">
        <v>61.83</v>
      </c>
      <c r="F2536" s="116">
        <v>61.08</v>
      </c>
      <c r="G2536">
        <v>380625</v>
      </c>
      <c r="H2536" s="116"/>
      <c r="I2536" s="116"/>
      <c r="L2536" s="170">
        <v>45736</v>
      </c>
      <c r="M2536" s="116">
        <v>61.1</v>
      </c>
      <c r="N2536" s="116">
        <v>62.7</v>
      </c>
      <c r="O2536" s="116">
        <v>60.51</v>
      </c>
      <c r="P2536" s="116">
        <v>61.96</v>
      </c>
      <c r="Q2536" s="116">
        <v>61.1</v>
      </c>
      <c r="R2536">
        <v>3796690</v>
      </c>
    </row>
    <row r="2537" spans="1:18" x14ac:dyDescent="0.25">
      <c r="A2537" s="170">
        <v>45737</v>
      </c>
      <c r="B2537" s="116">
        <v>62.44</v>
      </c>
      <c r="C2537" s="116">
        <v>61.55</v>
      </c>
      <c r="D2537" s="116">
        <v>60.6</v>
      </c>
      <c r="E2537" s="116">
        <v>61</v>
      </c>
      <c r="F2537" s="116">
        <v>61.55</v>
      </c>
      <c r="G2537">
        <v>361430</v>
      </c>
      <c r="H2537" s="116"/>
      <c r="I2537" s="116"/>
      <c r="L2537" s="170">
        <v>45737</v>
      </c>
      <c r="M2537" s="116">
        <v>61.56</v>
      </c>
      <c r="N2537" s="116">
        <v>62.45</v>
      </c>
      <c r="O2537" s="116">
        <v>60.55</v>
      </c>
      <c r="P2537" s="116">
        <v>61</v>
      </c>
      <c r="Q2537" s="116">
        <v>61.56</v>
      </c>
      <c r="R2537">
        <v>5016025</v>
      </c>
    </row>
    <row r="2538" spans="1:18" x14ac:dyDescent="0.25">
      <c r="A2538" s="170">
        <v>45740</v>
      </c>
      <c r="B2538" s="116">
        <v>63.14</v>
      </c>
      <c r="C2538" s="116">
        <v>61.78</v>
      </c>
      <c r="D2538" s="116">
        <v>61.5</v>
      </c>
      <c r="E2538" s="116">
        <v>61.57</v>
      </c>
      <c r="F2538" s="116">
        <v>61.78</v>
      </c>
      <c r="G2538">
        <v>207295</v>
      </c>
      <c r="H2538" s="116"/>
      <c r="I2538" s="116"/>
      <c r="L2538" s="170">
        <v>45740</v>
      </c>
      <c r="M2538" s="116">
        <v>61.72</v>
      </c>
      <c r="N2538" s="116">
        <v>63.05</v>
      </c>
      <c r="O2538" s="116">
        <v>61.5</v>
      </c>
      <c r="P2538" s="116">
        <v>62.16</v>
      </c>
      <c r="Q2538" s="116">
        <v>61.72</v>
      </c>
      <c r="R2538">
        <v>4222887</v>
      </c>
    </row>
    <row r="2539" spans="1:18" x14ac:dyDescent="0.25">
      <c r="A2539" s="170">
        <v>45741</v>
      </c>
      <c r="B2539" s="116">
        <v>62.49</v>
      </c>
      <c r="C2539" s="116">
        <v>59.56</v>
      </c>
      <c r="D2539" s="116">
        <v>59.21</v>
      </c>
      <c r="E2539" s="116">
        <v>62.49</v>
      </c>
      <c r="F2539" s="116">
        <v>59.56</v>
      </c>
      <c r="G2539">
        <v>475651</v>
      </c>
      <c r="H2539" s="116"/>
      <c r="I2539" s="116"/>
      <c r="L2539" s="170">
        <v>45741</v>
      </c>
      <c r="M2539" s="116">
        <v>59.59</v>
      </c>
      <c r="N2539" s="116">
        <v>62.3</v>
      </c>
      <c r="O2539" s="116">
        <v>59.14</v>
      </c>
      <c r="P2539" s="116">
        <v>62.1</v>
      </c>
      <c r="Q2539" s="116">
        <v>59.59</v>
      </c>
      <c r="R2539">
        <v>3845734</v>
      </c>
    </row>
    <row r="2540" spans="1:18" x14ac:dyDescent="0.25">
      <c r="A2540" s="170">
        <v>45742</v>
      </c>
      <c r="B2540" s="116">
        <v>60.1</v>
      </c>
      <c r="C2540" s="116">
        <v>57.58</v>
      </c>
      <c r="D2540" s="116">
        <v>57.2</v>
      </c>
      <c r="E2540" s="116">
        <v>59.56</v>
      </c>
      <c r="F2540" s="116">
        <v>57.58</v>
      </c>
      <c r="G2540">
        <v>302449</v>
      </c>
      <c r="H2540" s="116"/>
      <c r="I2540" s="116"/>
      <c r="L2540" s="170">
        <v>45742</v>
      </c>
      <c r="M2540" s="116">
        <v>57.57</v>
      </c>
      <c r="N2540" s="116">
        <v>60.17</v>
      </c>
      <c r="O2540" s="116">
        <v>57.15</v>
      </c>
      <c r="P2540" s="116">
        <v>59.59</v>
      </c>
      <c r="Q2540" s="116">
        <v>57.57</v>
      </c>
      <c r="R2540">
        <v>4692519</v>
      </c>
    </row>
    <row r="2541" spans="1:18" x14ac:dyDescent="0.25">
      <c r="A2541" s="170">
        <v>45743</v>
      </c>
      <c r="B2541" s="116">
        <v>59.4</v>
      </c>
      <c r="C2541" s="116">
        <v>58.36</v>
      </c>
      <c r="D2541" s="116">
        <v>55.99</v>
      </c>
      <c r="E2541" s="116">
        <v>56.99</v>
      </c>
      <c r="F2541" s="116">
        <v>58.36</v>
      </c>
      <c r="G2541">
        <v>1088403</v>
      </c>
      <c r="H2541" s="116"/>
      <c r="I2541" s="116"/>
      <c r="L2541" s="170">
        <v>45743</v>
      </c>
      <c r="M2541" s="116">
        <v>58.42</v>
      </c>
      <c r="N2541" s="116">
        <v>59.44</v>
      </c>
      <c r="O2541" s="116">
        <v>55.65</v>
      </c>
      <c r="P2541" s="116">
        <v>55.65</v>
      </c>
      <c r="Q2541" s="116">
        <v>58.42</v>
      </c>
      <c r="R2541">
        <v>8384357</v>
      </c>
    </row>
    <row r="2542" spans="1:18" x14ac:dyDescent="0.25">
      <c r="A2542" s="170">
        <v>45744</v>
      </c>
      <c r="B2542" s="116">
        <v>59.98</v>
      </c>
      <c r="C2542" s="116">
        <v>56.33</v>
      </c>
      <c r="D2542" s="116">
        <v>55.56</v>
      </c>
      <c r="E2542" s="116">
        <v>59.08</v>
      </c>
      <c r="F2542" s="116">
        <v>56.33</v>
      </c>
      <c r="G2542">
        <v>386927</v>
      </c>
      <c r="H2542" s="116"/>
      <c r="I2542" s="116"/>
      <c r="L2542" s="170">
        <v>45744</v>
      </c>
      <c r="M2542" s="116">
        <v>56.29</v>
      </c>
      <c r="N2542" s="116">
        <v>60</v>
      </c>
      <c r="O2542" s="116">
        <v>54.6</v>
      </c>
      <c r="P2542" s="116">
        <v>59</v>
      </c>
      <c r="Q2542" s="116">
        <v>56.29</v>
      </c>
      <c r="R2542">
        <v>5448960</v>
      </c>
    </row>
    <row r="2543" spans="1:18" x14ac:dyDescent="0.25">
      <c r="A2543" s="170">
        <v>45748</v>
      </c>
      <c r="B2543" s="116">
        <v>61.46</v>
      </c>
      <c r="C2543" s="116">
        <v>59.61</v>
      </c>
      <c r="D2543" s="116">
        <v>55.87</v>
      </c>
      <c r="E2543" s="116">
        <v>56</v>
      </c>
      <c r="F2543" s="116">
        <v>59.61</v>
      </c>
      <c r="G2543">
        <v>2598368</v>
      </c>
      <c r="H2543" s="116"/>
      <c r="I2543" s="116"/>
      <c r="L2543" s="170">
        <v>45748</v>
      </c>
      <c r="M2543" s="116">
        <v>59.63</v>
      </c>
      <c r="N2543" s="116">
        <v>61.49</v>
      </c>
      <c r="O2543" s="116">
        <v>55.91</v>
      </c>
      <c r="P2543" s="116">
        <v>55.99</v>
      </c>
      <c r="Q2543" s="116">
        <v>59.63</v>
      </c>
      <c r="R2543">
        <v>29738115</v>
      </c>
    </row>
    <row r="2544" spans="1:18" x14ac:dyDescent="0.25">
      <c r="A2544" s="170">
        <v>45749</v>
      </c>
      <c r="B2544" s="116">
        <v>59.93</v>
      </c>
      <c r="C2544" s="116">
        <v>58.98</v>
      </c>
      <c r="D2544" s="116">
        <v>58.21</v>
      </c>
      <c r="E2544" s="116">
        <v>59.29</v>
      </c>
      <c r="F2544" s="116">
        <v>58.98</v>
      </c>
      <c r="G2544">
        <v>207847</v>
      </c>
      <c r="H2544" s="116"/>
      <c r="I2544" s="116"/>
      <c r="L2544" s="170">
        <v>45749</v>
      </c>
      <c r="M2544" s="116">
        <v>58.95</v>
      </c>
      <c r="N2544" s="116">
        <v>59.9</v>
      </c>
      <c r="O2544" s="116">
        <v>58.16</v>
      </c>
      <c r="P2544" s="116">
        <v>59.6</v>
      </c>
      <c r="Q2544" s="116">
        <v>58.95</v>
      </c>
      <c r="R2544">
        <v>3683839</v>
      </c>
    </row>
    <row r="2545" spans="1:18" x14ac:dyDescent="0.25">
      <c r="A2545" s="170">
        <v>45750</v>
      </c>
      <c r="B2545" s="116">
        <v>60.2</v>
      </c>
      <c r="C2545" s="116">
        <v>59.93</v>
      </c>
      <c r="D2545" s="116">
        <v>58.08</v>
      </c>
      <c r="E2545" s="116">
        <v>58.08</v>
      </c>
      <c r="F2545" s="116">
        <v>59.93</v>
      </c>
      <c r="G2545">
        <v>431634</v>
      </c>
      <c r="H2545" s="116"/>
      <c r="I2545" s="116"/>
      <c r="L2545" s="170">
        <v>45750</v>
      </c>
      <c r="M2545" s="116">
        <v>59.94</v>
      </c>
      <c r="N2545" s="116">
        <v>60.24</v>
      </c>
      <c r="O2545" s="116">
        <v>58.22</v>
      </c>
      <c r="P2545" s="116">
        <v>58.29</v>
      </c>
      <c r="Q2545" s="116">
        <v>59.94</v>
      </c>
      <c r="R2545">
        <v>3339493</v>
      </c>
    </row>
    <row r="2546" spans="1:18" x14ac:dyDescent="0.25">
      <c r="A2546" s="170">
        <v>45751</v>
      </c>
      <c r="B2546" s="116">
        <v>60.09</v>
      </c>
      <c r="C2546" s="116">
        <v>57.85</v>
      </c>
      <c r="D2546" s="116">
        <v>57.2</v>
      </c>
      <c r="E2546" s="116">
        <v>59.93</v>
      </c>
      <c r="F2546" s="116">
        <v>57.85</v>
      </c>
      <c r="G2546">
        <v>182099</v>
      </c>
      <c r="H2546" s="116"/>
      <c r="I2546" s="116"/>
      <c r="L2546" s="170">
        <v>45751</v>
      </c>
      <c r="M2546" s="116">
        <v>57.84</v>
      </c>
      <c r="N2546" s="116">
        <v>60.17</v>
      </c>
      <c r="O2546" s="116">
        <v>57.18</v>
      </c>
      <c r="P2546" s="116">
        <v>59.98</v>
      </c>
      <c r="Q2546" s="116">
        <v>57.84</v>
      </c>
      <c r="R2546">
        <v>3774074</v>
      </c>
    </row>
    <row r="2547" spans="1:18" x14ac:dyDescent="0.25">
      <c r="A2547" s="170">
        <v>45754</v>
      </c>
      <c r="B2547" s="116">
        <v>56.23</v>
      </c>
      <c r="C2547" s="116">
        <v>54.76</v>
      </c>
      <c r="D2547" s="116">
        <v>50.01</v>
      </c>
      <c r="E2547" s="116">
        <v>50.01</v>
      </c>
      <c r="F2547" s="116">
        <v>54.76</v>
      </c>
      <c r="G2547">
        <v>672557</v>
      </c>
      <c r="H2547" s="116"/>
      <c r="I2547" s="116"/>
      <c r="L2547" s="170">
        <v>45754</v>
      </c>
      <c r="M2547" s="116">
        <v>54.47</v>
      </c>
      <c r="N2547" s="116">
        <v>56.2</v>
      </c>
      <c r="O2547" s="116">
        <v>50.1</v>
      </c>
      <c r="P2547" s="116">
        <v>50.2</v>
      </c>
      <c r="Q2547" s="116">
        <v>54.47</v>
      </c>
      <c r="R2547">
        <v>5388062</v>
      </c>
    </row>
    <row r="2548" spans="1:18" x14ac:dyDescent="0.25">
      <c r="A2548" s="170">
        <v>45755</v>
      </c>
      <c r="B2548" s="116">
        <v>57.02</v>
      </c>
      <c r="C2548" s="116">
        <v>56.34</v>
      </c>
      <c r="D2548" s="116">
        <v>55.48</v>
      </c>
      <c r="E2548" s="116">
        <v>57.01</v>
      </c>
      <c r="F2548" s="116">
        <v>56.34</v>
      </c>
      <c r="G2548">
        <v>277783</v>
      </c>
      <c r="H2548" s="116"/>
      <c r="I2548" s="116"/>
      <c r="L2548" s="170">
        <v>45755</v>
      </c>
      <c r="M2548" s="116">
        <v>56.27</v>
      </c>
      <c r="N2548" s="116">
        <v>57.05</v>
      </c>
      <c r="O2548" s="116">
        <v>55.4</v>
      </c>
      <c r="P2548" s="116">
        <v>57.05</v>
      </c>
      <c r="Q2548" s="116">
        <v>56.27</v>
      </c>
      <c r="R2548">
        <v>3846449</v>
      </c>
    </row>
    <row r="2549" spans="1:18" x14ac:dyDescent="0.25">
      <c r="A2549" s="170">
        <v>45756</v>
      </c>
      <c r="B2549" s="116">
        <v>56.62</v>
      </c>
      <c r="C2549" s="116">
        <v>55.07</v>
      </c>
      <c r="D2549" s="116">
        <v>54.72</v>
      </c>
      <c r="E2549" s="116">
        <v>56.09</v>
      </c>
      <c r="F2549" s="116">
        <v>55.07</v>
      </c>
      <c r="G2549">
        <v>173355</v>
      </c>
      <c r="H2549" s="116"/>
      <c r="I2549" s="116"/>
      <c r="L2549" s="170">
        <v>45756</v>
      </c>
      <c r="M2549" s="116">
        <v>55.1</v>
      </c>
      <c r="N2549" s="116">
        <v>56.65</v>
      </c>
      <c r="O2549" s="116">
        <v>54.72</v>
      </c>
      <c r="P2549" s="116">
        <v>56.26</v>
      </c>
      <c r="Q2549" s="116">
        <v>55.1</v>
      </c>
      <c r="R2549">
        <v>1841486</v>
      </c>
    </row>
    <row r="2550" spans="1:18" x14ac:dyDescent="0.25">
      <c r="A2550" s="170">
        <v>45758</v>
      </c>
      <c r="B2550" s="116">
        <v>58.18</v>
      </c>
      <c r="C2550" s="116">
        <v>56.67</v>
      </c>
      <c r="D2550" s="116">
        <v>55.67</v>
      </c>
      <c r="E2550" s="116">
        <v>57.85</v>
      </c>
      <c r="F2550" s="116">
        <v>56.67</v>
      </c>
      <c r="G2550">
        <v>289994</v>
      </c>
      <c r="H2550" s="116"/>
      <c r="I2550" s="116"/>
      <c r="L2550" s="170">
        <v>45758</v>
      </c>
      <c r="M2550" s="116">
        <v>56.63</v>
      </c>
      <c r="N2550" s="116">
        <v>57.92</v>
      </c>
      <c r="O2550" s="116">
        <v>55.71</v>
      </c>
      <c r="P2550" s="116">
        <v>57.9</v>
      </c>
      <c r="Q2550" s="116">
        <v>56.63</v>
      </c>
      <c r="R2550">
        <v>2831709</v>
      </c>
    </row>
    <row r="2551" spans="1:18" x14ac:dyDescent="0.25">
      <c r="A2551" s="170">
        <v>45762</v>
      </c>
      <c r="B2551" s="116">
        <v>58.76</v>
      </c>
      <c r="C2551" s="116">
        <v>58.48</v>
      </c>
      <c r="D2551" s="116">
        <v>57.14</v>
      </c>
      <c r="E2551" s="116">
        <v>57.77</v>
      </c>
      <c r="F2551" s="116">
        <v>58.48</v>
      </c>
      <c r="G2551">
        <v>655711</v>
      </c>
      <c r="H2551" s="116"/>
      <c r="I2551" s="116"/>
      <c r="L2551" s="170">
        <v>45762</v>
      </c>
      <c r="M2551" s="116">
        <v>58.46</v>
      </c>
      <c r="N2551" s="116">
        <v>58.9</v>
      </c>
      <c r="O2551" s="116">
        <v>57.1</v>
      </c>
      <c r="P2551" s="116">
        <v>57.25</v>
      </c>
      <c r="Q2551" s="116">
        <v>58.46</v>
      </c>
      <c r="R2551">
        <v>2662550</v>
      </c>
    </row>
    <row r="2552" spans="1:18" x14ac:dyDescent="0.25">
      <c r="A2552" s="170">
        <v>45763</v>
      </c>
      <c r="B2552" s="116">
        <v>60.59</v>
      </c>
      <c r="C2552" s="116">
        <v>60.23</v>
      </c>
      <c r="D2552" s="116">
        <v>58.22</v>
      </c>
      <c r="E2552" s="116">
        <v>58.49</v>
      </c>
      <c r="F2552" s="116">
        <v>60.23</v>
      </c>
      <c r="G2552">
        <v>577205</v>
      </c>
      <c r="H2552" s="116"/>
      <c r="I2552" s="116"/>
      <c r="L2552" s="170">
        <v>45763</v>
      </c>
      <c r="M2552" s="116">
        <v>60.24</v>
      </c>
      <c r="N2552" s="116">
        <v>60.55</v>
      </c>
      <c r="O2552" s="116">
        <v>58.37</v>
      </c>
      <c r="P2552" s="116">
        <v>58.72</v>
      </c>
      <c r="Q2552" s="116">
        <v>60.24</v>
      </c>
      <c r="R2552">
        <v>3929252</v>
      </c>
    </row>
    <row r="2553" spans="1:18" x14ac:dyDescent="0.25">
      <c r="A2553" s="170">
        <v>45764</v>
      </c>
      <c r="B2553" s="116">
        <v>60.24</v>
      </c>
      <c r="C2553" s="116">
        <v>59.59</v>
      </c>
      <c r="D2553" s="116">
        <v>59.14</v>
      </c>
      <c r="E2553" s="116">
        <v>60.23</v>
      </c>
      <c r="F2553" s="116">
        <v>59.59</v>
      </c>
      <c r="G2553">
        <v>240955</v>
      </c>
      <c r="H2553" s="116"/>
      <c r="I2553" s="116"/>
      <c r="L2553" s="170">
        <v>45764</v>
      </c>
      <c r="M2553" s="116">
        <v>59.58</v>
      </c>
      <c r="N2553" s="116">
        <v>60.14</v>
      </c>
      <c r="O2553" s="116">
        <v>59.15</v>
      </c>
      <c r="P2553" s="116">
        <v>59.9</v>
      </c>
      <c r="Q2553" s="116">
        <v>59.58</v>
      </c>
      <c r="R2553">
        <v>2147044</v>
      </c>
    </row>
    <row r="2554" spans="1:18" x14ac:dyDescent="0.25">
      <c r="A2554" s="170">
        <v>45768</v>
      </c>
      <c r="B2554" s="116">
        <v>60.95</v>
      </c>
      <c r="C2554" s="116">
        <v>60.74</v>
      </c>
      <c r="D2554" s="116">
        <v>59.01</v>
      </c>
      <c r="E2554" s="116">
        <v>59.93</v>
      </c>
      <c r="F2554" s="116">
        <v>60.74</v>
      </c>
      <c r="G2554">
        <v>417466</v>
      </c>
      <c r="H2554" s="116"/>
      <c r="I2554" s="116"/>
      <c r="L2554" s="170">
        <v>45768</v>
      </c>
      <c r="M2554" s="116">
        <v>60.7</v>
      </c>
      <c r="N2554" s="116">
        <v>60.97</v>
      </c>
      <c r="O2554" s="116">
        <v>59</v>
      </c>
      <c r="P2554" s="116">
        <v>60</v>
      </c>
      <c r="Q2554" s="116">
        <v>60.7</v>
      </c>
      <c r="R2554">
        <v>3143939</v>
      </c>
    </row>
    <row r="2555" spans="1:18" x14ac:dyDescent="0.25">
      <c r="A2555" s="170">
        <v>45769</v>
      </c>
      <c r="B2555" s="116">
        <v>62.15</v>
      </c>
      <c r="C2555" s="116">
        <v>61.3</v>
      </c>
      <c r="D2555" s="116">
        <v>60.51</v>
      </c>
      <c r="E2555" s="116">
        <v>61.01</v>
      </c>
      <c r="F2555" s="116">
        <v>61.3</v>
      </c>
      <c r="G2555">
        <v>557217</v>
      </c>
      <c r="H2555" s="116"/>
      <c r="I2555" s="116"/>
      <c r="L2555" s="170">
        <v>45769</v>
      </c>
      <c r="M2555" s="116">
        <v>61.3</v>
      </c>
      <c r="N2555" s="116">
        <v>62.09</v>
      </c>
      <c r="O2555" s="116">
        <v>60.5</v>
      </c>
      <c r="P2555" s="116">
        <v>61.02</v>
      </c>
      <c r="Q2555" s="116">
        <v>61.3</v>
      </c>
      <c r="R2555">
        <v>3318980</v>
      </c>
    </row>
    <row r="2556" spans="1:18" x14ac:dyDescent="0.25">
      <c r="A2556" s="170">
        <v>45770</v>
      </c>
      <c r="B2556" s="116">
        <v>62.16</v>
      </c>
      <c r="C2556" s="116">
        <v>61.19</v>
      </c>
      <c r="D2556" s="116">
        <v>59.95</v>
      </c>
      <c r="E2556" s="116">
        <v>61.67</v>
      </c>
      <c r="F2556" s="116">
        <v>61.19</v>
      </c>
      <c r="G2556">
        <v>443501</v>
      </c>
      <c r="H2556" s="116"/>
      <c r="I2556" s="116"/>
      <c r="L2556" s="170">
        <v>45770</v>
      </c>
      <c r="M2556" s="116">
        <v>61.18</v>
      </c>
      <c r="N2556" s="116">
        <v>62.1</v>
      </c>
      <c r="O2556" s="116">
        <v>59.89</v>
      </c>
      <c r="P2556" s="116">
        <v>61.95</v>
      </c>
      <c r="Q2556" s="116">
        <v>61.18</v>
      </c>
      <c r="R2556">
        <v>2644389</v>
      </c>
    </row>
    <row r="2557" spans="1:18" x14ac:dyDescent="0.25">
      <c r="A2557" s="170">
        <v>45771</v>
      </c>
      <c r="B2557" s="116">
        <v>62.1</v>
      </c>
      <c r="C2557" s="116">
        <v>61.2</v>
      </c>
      <c r="D2557" s="116">
        <v>60.13</v>
      </c>
      <c r="E2557" s="116">
        <v>60.64</v>
      </c>
      <c r="F2557" s="116">
        <v>61.2</v>
      </c>
      <c r="G2557">
        <v>648357</v>
      </c>
      <c r="H2557" s="116"/>
      <c r="I2557" s="116"/>
      <c r="L2557" s="170">
        <v>45771</v>
      </c>
      <c r="M2557" s="116">
        <v>61.14</v>
      </c>
      <c r="N2557" s="116">
        <v>62.1</v>
      </c>
      <c r="O2557" s="116">
        <v>60.25</v>
      </c>
      <c r="P2557" s="116">
        <v>61.17</v>
      </c>
      <c r="Q2557" s="116">
        <v>61.14</v>
      </c>
      <c r="R2557">
        <v>4013419</v>
      </c>
    </row>
    <row r="2558" spans="1:18" x14ac:dyDescent="0.25">
      <c r="A2558" s="170">
        <v>45772</v>
      </c>
      <c r="B2558" s="116">
        <v>61.2</v>
      </c>
      <c r="C2558" s="116">
        <v>58.89</v>
      </c>
      <c r="D2558" s="116">
        <v>58.31</v>
      </c>
      <c r="E2558" s="116">
        <v>60.99</v>
      </c>
      <c r="F2558" s="116">
        <v>58.89</v>
      </c>
      <c r="G2558">
        <v>504285</v>
      </c>
      <c r="H2558" s="116"/>
      <c r="I2558" s="116"/>
      <c r="L2558" s="170">
        <v>45772</v>
      </c>
      <c r="M2558" s="116">
        <v>58.83</v>
      </c>
      <c r="N2558" s="116">
        <v>61.2</v>
      </c>
      <c r="O2558" s="116">
        <v>58.3</v>
      </c>
      <c r="P2558" s="116">
        <v>60.81</v>
      </c>
      <c r="Q2558" s="116">
        <v>58.83</v>
      </c>
      <c r="R2558">
        <v>3257002</v>
      </c>
    </row>
    <row r="2559" spans="1:18" x14ac:dyDescent="0.25">
      <c r="A2559" s="170">
        <v>45775</v>
      </c>
      <c r="B2559" s="116">
        <v>58.86</v>
      </c>
      <c r="C2559" s="116">
        <v>58.36</v>
      </c>
      <c r="D2559" s="116">
        <v>57.69</v>
      </c>
      <c r="E2559" s="116">
        <v>58.17</v>
      </c>
      <c r="F2559" s="116">
        <v>58.36</v>
      </c>
      <c r="G2559">
        <v>438455</v>
      </c>
      <c r="H2559" s="116"/>
      <c r="I2559" s="116"/>
      <c r="L2559" s="170">
        <v>45775</v>
      </c>
      <c r="M2559" s="116">
        <v>58.31</v>
      </c>
      <c r="N2559" s="116">
        <v>58.84</v>
      </c>
      <c r="O2559" s="116">
        <v>57.75</v>
      </c>
      <c r="P2559" s="116">
        <v>58.3</v>
      </c>
      <c r="Q2559" s="116">
        <v>58.31</v>
      </c>
      <c r="R2559">
        <v>2151736</v>
      </c>
    </row>
    <row r="2560" spans="1:18" x14ac:dyDescent="0.25">
      <c r="A2560" s="170">
        <v>45776</v>
      </c>
      <c r="B2560" s="116">
        <v>59.65</v>
      </c>
      <c r="C2560" s="116">
        <v>58.47</v>
      </c>
      <c r="D2560" s="116">
        <v>57.92</v>
      </c>
      <c r="E2560" s="116">
        <v>57.92</v>
      </c>
      <c r="F2560" s="116">
        <v>58.47</v>
      </c>
      <c r="G2560">
        <v>316553</v>
      </c>
      <c r="H2560" s="116"/>
      <c r="I2560" s="116"/>
      <c r="L2560" s="170">
        <v>45776</v>
      </c>
      <c r="M2560" s="116">
        <v>58.37</v>
      </c>
      <c r="N2560" s="116">
        <v>59.7</v>
      </c>
      <c r="O2560" s="116">
        <v>58</v>
      </c>
      <c r="P2560" s="116">
        <v>58</v>
      </c>
      <c r="Q2560" s="116">
        <v>58.37</v>
      </c>
      <c r="R2560">
        <v>1699611</v>
      </c>
    </row>
    <row r="2561" spans="1:18" x14ac:dyDescent="0.25">
      <c r="A2561" s="170">
        <v>45777</v>
      </c>
      <c r="B2561" s="116">
        <v>58.76</v>
      </c>
      <c r="C2561" s="116">
        <v>56.87</v>
      </c>
      <c r="D2561" s="116">
        <v>56.5</v>
      </c>
      <c r="E2561" s="116">
        <v>58.47</v>
      </c>
      <c r="F2561" s="116">
        <v>56.87</v>
      </c>
      <c r="G2561">
        <v>500333</v>
      </c>
      <c r="H2561" s="116"/>
      <c r="I2561" s="116"/>
      <c r="L2561" s="170">
        <v>45777</v>
      </c>
      <c r="M2561" s="116">
        <v>56.82</v>
      </c>
      <c r="N2561" s="116">
        <v>58.72</v>
      </c>
      <c r="O2561" s="116">
        <v>56.5</v>
      </c>
      <c r="P2561" s="116">
        <v>58.4</v>
      </c>
      <c r="Q2561" s="116">
        <v>56.82</v>
      </c>
      <c r="R2561">
        <v>2126880</v>
      </c>
    </row>
    <row r="2562" spans="1:18" x14ac:dyDescent="0.25">
      <c r="A2562" s="170">
        <v>45779</v>
      </c>
      <c r="B2562" s="116">
        <v>57.19</v>
      </c>
      <c r="C2562" s="116">
        <v>55.7</v>
      </c>
      <c r="D2562" s="116">
        <v>55.3</v>
      </c>
      <c r="E2562" s="116">
        <v>56.79</v>
      </c>
      <c r="F2562" s="116">
        <v>55.7</v>
      </c>
      <c r="G2562">
        <v>314084</v>
      </c>
      <c r="H2562" s="116"/>
      <c r="I2562" s="116"/>
      <c r="L2562" s="170">
        <v>45779</v>
      </c>
      <c r="M2562" s="116">
        <v>55.68</v>
      </c>
      <c r="N2562" s="116">
        <v>57.42</v>
      </c>
      <c r="O2562" s="116">
        <v>55.25</v>
      </c>
      <c r="P2562" s="116">
        <v>56.5</v>
      </c>
      <c r="Q2562" s="116">
        <v>55.68</v>
      </c>
      <c r="R2562">
        <v>2567039</v>
      </c>
    </row>
    <row r="2563" spans="1:18" x14ac:dyDescent="0.25">
      <c r="A2563" s="170">
        <v>45782</v>
      </c>
      <c r="B2563" s="116">
        <v>58.44</v>
      </c>
      <c r="C2563" s="116">
        <v>57.8</v>
      </c>
      <c r="D2563" s="116">
        <v>55.3</v>
      </c>
      <c r="E2563" s="116">
        <v>55.33</v>
      </c>
      <c r="F2563" s="116">
        <v>57.8</v>
      </c>
      <c r="G2563">
        <v>703138</v>
      </c>
      <c r="H2563" s="116"/>
      <c r="I2563" s="116"/>
      <c r="L2563" s="170">
        <v>45782</v>
      </c>
      <c r="M2563" s="116">
        <v>57.8</v>
      </c>
      <c r="N2563" s="116">
        <v>58.41</v>
      </c>
      <c r="O2563" s="116">
        <v>55.29</v>
      </c>
      <c r="P2563" s="116">
        <v>55.68</v>
      </c>
      <c r="Q2563" s="116">
        <v>57.8</v>
      </c>
      <c r="R2563">
        <v>5118876</v>
      </c>
    </row>
    <row r="2564" spans="1:18" x14ac:dyDescent="0.25">
      <c r="A2564" s="170">
        <v>45783</v>
      </c>
      <c r="B2564" s="116">
        <v>57.71</v>
      </c>
      <c r="C2564" s="116">
        <v>55.98</v>
      </c>
      <c r="D2564" s="116">
        <v>55.51</v>
      </c>
      <c r="E2564" s="116">
        <v>57.24</v>
      </c>
      <c r="F2564" s="116">
        <v>55.98</v>
      </c>
      <c r="G2564">
        <v>285587</v>
      </c>
      <c r="H2564" s="116"/>
      <c r="I2564" s="116"/>
      <c r="L2564" s="170">
        <v>45783</v>
      </c>
      <c r="M2564" s="116">
        <v>56</v>
      </c>
      <c r="N2564" s="116">
        <v>57.77</v>
      </c>
      <c r="O2564" s="116">
        <v>55.5</v>
      </c>
      <c r="P2564" s="116">
        <v>57.5</v>
      </c>
      <c r="Q2564" s="116">
        <v>56</v>
      </c>
      <c r="R2564">
        <v>1820554</v>
      </c>
    </row>
    <row r="2565" spans="1:18" x14ac:dyDescent="0.25">
      <c r="A2565" s="170">
        <v>45784</v>
      </c>
      <c r="B2565" s="116">
        <v>55.95</v>
      </c>
      <c r="C2565" s="116">
        <v>55.69</v>
      </c>
      <c r="D2565" s="116">
        <v>54.1</v>
      </c>
      <c r="E2565" s="116">
        <v>54.1</v>
      </c>
      <c r="F2565" s="116">
        <v>55.69</v>
      </c>
      <c r="G2565">
        <v>215037</v>
      </c>
      <c r="H2565" s="116"/>
      <c r="I2565" s="116"/>
      <c r="L2565" s="170">
        <v>45784</v>
      </c>
      <c r="M2565" s="116">
        <v>55.61</v>
      </c>
      <c r="N2565" s="116">
        <v>55.89</v>
      </c>
      <c r="O2565" s="116">
        <v>54.55</v>
      </c>
      <c r="P2565" s="116">
        <v>54.88</v>
      </c>
      <c r="Q2565" s="116">
        <v>55.61</v>
      </c>
      <c r="R2565">
        <v>2206583</v>
      </c>
    </row>
    <row r="2566" spans="1:18" x14ac:dyDescent="0.25">
      <c r="A2566" s="170">
        <v>45785</v>
      </c>
      <c r="B2566" s="116">
        <v>56.8</v>
      </c>
      <c r="C2566" s="116">
        <v>54.93</v>
      </c>
      <c r="D2566" s="116">
        <v>54.77</v>
      </c>
      <c r="E2566" s="116">
        <v>55.43</v>
      </c>
      <c r="F2566" s="116">
        <v>54.93</v>
      </c>
      <c r="G2566">
        <v>249424</v>
      </c>
      <c r="H2566" s="116"/>
      <c r="I2566" s="116"/>
      <c r="L2566" s="170">
        <v>45785</v>
      </c>
      <c r="M2566" s="116">
        <v>54.91</v>
      </c>
      <c r="N2566" s="116">
        <v>56.84</v>
      </c>
      <c r="O2566" s="116">
        <v>54.5</v>
      </c>
      <c r="P2566" s="116">
        <v>55.61</v>
      </c>
      <c r="Q2566" s="116">
        <v>54.91</v>
      </c>
      <c r="R2566">
        <v>1556758</v>
      </c>
    </row>
    <row r="2567" spans="1:18" x14ac:dyDescent="0.25">
      <c r="A2567" s="170">
        <v>45786</v>
      </c>
      <c r="B2567" s="116">
        <v>54.4</v>
      </c>
      <c r="C2567" s="116">
        <v>53.92</v>
      </c>
      <c r="D2567" s="116">
        <v>51.53</v>
      </c>
      <c r="E2567" s="116">
        <v>51.53</v>
      </c>
      <c r="F2567" s="116">
        <v>53.92</v>
      </c>
      <c r="G2567">
        <v>442985</v>
      </c>
      <c r="H2567" s="116"/>
      <c r="I2567" s="116"/>
      <c r="L2567" s="170">
        <v>45786</v>
      </c>
      <c r="M2567" s="116">
        <v>53.92</v>
      </c>
      <c r="N2567" s="116">
        <v>54.9</v>
      </c>
      <c r="O2567" s="116">
        <v>52</v>
      </c>
      <c r="P2567" s="116">
        <v>54</v>
      </c>
      <c r="Q2567" s="116">
        <v>53.92</v>
      </c>
      <c r="R2567">
        <v>2597959</v>
      </c>
    </row>
    <row r="2568" spans="1:18" x14ac:dyDescent="0.25">
      <c r="A2568" s="170">
        <v>45789</v>
      </c>
      <c r="B2568" s="116">
        <v>57.41</v>
      </c>
      <c r="C2568" s="116">
        <v>57.34</v>
      </c>
      <c r="D2568" s="116">
        <v>55.68</v>
      </c>
      <c r="E2568" s="116">
        <v>55.68</v>
      </c>
      <c r="F2568" s="116">
        <v>57.34</v>
      </c>
      <c r="G2568">
        <v>448937</v>
      </c>
      <c r="H2568" s="116"/>
      <c r="I2568" s="116"/>
      <c r="L2568" s="170">
        <v>45789</v>
      </c>
      <c r="M2568" s="116">
        <v>57.3</v>
      </c>
      <c r="N2568" s="116">
        <v>57.5</v>
      </c>
      <c r="O2568" s="116">
        <v>55.76</v>
      </c>
      <c r="P2568" s="116">
        <v>56</v>
      </c>
      <c r="Q2568" s="116">
        <v>57.3</v>
      </c>
      <c r="R2568">
        <v>2388713</v>
      </c>
    </row>
    <row r="2569" spans="1:18" x14ac:dyDescent="0.25">
      <c r="A2569" s="170">
        <v>45790</v>
      </c>
      <c r="B2569" s="116">
        <v>57.8</v>
      </c>
      <c r="C2569" s="116">
        <v>57.5</v>
      </c>
      <c r="D2569" s="116">
        <v>56.77</v>
      </c>
      <c r="E2569" s="116">
        <v>57.6</v>
      </c>
      <c r="F2569" s="116">
        <v>57.5</v>
      </c>
      <c r="G2569">
        <v>458128</v>
      </c>
      <c r="H2569" s="116"/>
      <c r="I2569" s="116"/>
      <c r="L2569" s="170">
        <v>45790</v>
      </c>
      <c r="M2569" s="116">
        <v>57.5</v>
      </c>
      <c r="N2569" s="116">
        <v>57.8</v>
      </c>
      <c r="O2569" s="116">
        <v>56.8</v>
      </c>
      <c r="P2569" s="116">
        <v>57.56</v>
      </c>
      <c r="Q2569" s="116">
        <v>57.5</v>
      </c>
      <c r="R2569">
        <v>1795137</v>
      </c>
    </row>
    <row r="2570" spans="1:18" x14ac:dyDescent="0.25">
      <c r="A2570" s="170">
        <v>45791</v>
      </c>
      <c r="B2570" s="116">
        <v>59.93</v>
      </c>
      <c r="C2570" s="116">
        <v>58.66</v>
      </c>
      <c r="D2570" s="116">
        <v>57.22</v>
      </c>
      <c r="E2570" s="116">
        <v>57.61</v>
      </c>
      <c r="F2570" s="116">
        <v>58.66</v>
      </c>
      <c r="G2570">
        <v>557867</v>
      </c>
      <c r="H2570" s="116"/>
      <c r="I2570" s="116"/>
      <c r="L2570" s="170">
        <v>45791</v>
      </c>
      <c r="M2570" s="116">
        <v>58.65</v>
      </c>
      <c r="N2570" s="116">
        <v>59.95</v>
      </c>
      <c r="O2570" s="116">
        <v>57.32</v>
      </c>
      <c r="P2570" s="116">
        <v>57.9</v>
      </c>
      <c r="Q2570" s="116">
        <v>58.65</v>
      </c>
      <c r="R2570">
        <v>4007493</v>
      </c>
    </row>
    <row r="2571" spans="1:18" x14ac:dyDescent="0.25">
      <c r="A2571" s="170">
        <v>45792</v>
      </c>
      <c r="B2571" s="116">
        <v>59.67</v>
      </c>
      <c r="C2571" s="116">
        <v>59.3</v>
      </c>
      <c r="D2571" s="116">
        <v>58.82</v>
      </c>
      <c r="E2571" s="116">
        <v>59.45</v>
      </c>
      <c r="F2571" s="116">
        <v>59.3</v>
      </c>
      <c r="G2571">
        <v>351748</v>
      </c>
      <c r="H2571" s="116"/>
      <c r="I2571" s="116"/>
      <c r="L2571" s="170">
        <v>45792</v>
      </c>
      <c r="M2571" s="116">
        <v>59.31</v>
      </c>
      <c r="N2571" s="116">
        <v>59.65</v>
      </c>
      <c r="O2571" s="116">
        <v>58.86</v>
      </c>
      <c r="P2571" s="116">
        <v>59.1</v>
      </c>
      <c r="Q2571" s="116">
        <v>59.31</v>
      </c>
      <c r="R2571">
        <v>2156540</v>
      </c>
    </row>
    <row r="2572" spans="1:18" x14ac:dyDescent="0.25">
      <c r="A2572" s="170">
        <v>45793</v>
      </c>
      <c r="B2572" s="116">
        <v>61.35</v>
      </c>
      <c r="C2572" s="116">
        <v>60.63</v>
      </c>
      <c r="D2572" s="116">
        <v>59</v>
      </c>
      <c r="E2572" s="116">
        <v>59.36</v>
      </c>
      <c r="F2572" s="116">
        <v>60.63</v>
      </c>
      <c r="G2572">
        <v>298392</v>
      </c>
      <c r="H2572" s="116"/>
      <c r="I2572" s="116"/>
      <c r="L2572" s="170">
        <v>45793</v>
      </c>
      <c r="M2572" s="116">
        <v>60.62</v>
      </c>
      <c r="N2572" s="116">
        <v>61.3</v>
      </c>
      <c r="O2572" s="116">
        <v>59.02</v>
      </c>
      <c r="P2572" s="116">
        <v>59.4</v>
      </c>
      <c r="Q2572" s="116">
        <v>60.62</v>
      </c>
      <c r="R2572">
        <v>5420147</v>
      </c>
    </row>
    <row r="2573" spans="1:18" x14ac:dyDescent="0.25">
      <c r="A2573" s="170">
        <v>45796</v>
      </c>
      <c r="B2573" s="116">
        <v>61.7</v>
      </c>
      <c r="C2573" s="116">
        <v>60.35</v>
      </c>
      <c r="D2573" s="116">
        <v>59.89</v>
      </c>
      <c r="E2573" s="116">
        <v>60.84</v>
      </c>
      <c r="F2573" s="116">
        <v>60.35</v>
      </c>
      <c r="G2573">
        <v>652583</v>
      </c>
      <c r="H2573" s="116"/>
      <c r="I2573" s="116"/>
      <c r="L2573" s="170">
        <v>45796</v>
      </c>
      <c r="M2573" s="116">
        <v>60.27</v>
      </c>
      <c r="N2573" s="116">
        <v>61.69</v>
      </c>
      <c r="O2573" s="116">
        <v>59.88</v>
      </c>
      <c r="P2573" s="116">
        <v>61.01</v>
      </c>
      <c r="Q2573" s="116">
        <v>60.27</v>
      </c>
      <c r="R2573">
        <v>3671049</v>
      </c>
    </row>
    <row r="2574" spans="1:18" x14ac:dyDescent="0.25">
      <c r="A2574" s="170">
        <v>45797</v>
      </c>
      <c r="B2574" s="116">
        <v>60.55</v>
      </c>
      <c r="C2574" s="116">
        <v>58.21</v>
      </c>
      <c r="D2574" s="116">
        <v>58.01</v>
      </c>
      <c r="E2574" s="116">
        <v>60.36</v>
      </c>
      <c r="F2574" s="116">
        <v>58.21</v>
      </c>
      <c r="G2574">
        <v>392008</v>
      </c>
      <c r="H2574" s="116"/>
      <c r="I2574" s="116"/>
      <c r="L2574" s="170">
        <v>45797</v>
      </c>
      <c r="M2574" s="116">
        <v>58.23</v>
      </c>
      <c r="N2574" s="116">
        <v>60.59</v>
      </c>
      <c r="O2574" s="116">
        <v>58.01</v>
      </c>
      <c r="P2574" s="116">
        <v>60.38</v>
      </c>
      <c r="Q2574" s="116">
        <v>58.23</v>
      </c>
      <c r="R2574">
        <v>2788754</v>
      </c>
    </row>
    <row r="2575" spans="1:18" x14ac:dyDescent="0.25">
      <c r="A2575" s="170">
        <v>45798</v>
      </c>
      <c r="B2575" s="116">
        <v>69.849999999999994</v>
      </c>
      <c r="C2575" s="116">
        <v>69.05</v>
      </c>
      <c r="D2575" s="116">
        <v>58</v>
      </c>
      <c r="E2575" s="116">
        <v>58.21</v>
      </c>
      <c r="F2575" s="116">
        <v>69.05</v>
      </c>
      <c r="G2575">
        <v>8270593</v>
      </c>
      <c r="H2575" s="116"/>
      <c r="I2575" s="116"/>
      <c r="L2575" s="170">
        <v>45798</v>
      </c>
      <c r="M2575" s="116">
        <v>69.09</v>
      </c>
      <c r="N2575" s="116">
        <v>69.87</v>
      </c>
      <c r="O2575" s="116">
        <v>57.96</v>
      </c>
      <c r="P2575" s="116">
        <v>58.22</v>
      </c>
      <c r="Q2575" s="116">
        <v>69.09</v>
      </c>
      <c r="R2575">
        <v>105905634</v>
      </c>
    </row>
    <row r="2576" spans="1:18" x14ac:dyDescent="0.25">
      <c r="A2576" s="170">
        <v>45799</v>
      </c>
      <c r="B2576" s="116">
        <v>79.5</v>
      </c>
      <c r="C2576" s="116">
        <v>76.900000000000006</v>
      </c>
      <c r="D2576" s="116">
        <v>68.8</v>
      </c>
      <c r="E2576" s="116">
        <v>69.599999999999994</v>
      </c>
      <c r="F2576" s="116">
        <v>76.900000000000006</v>
      </c>
      <c r="G2576">
        <v>33182759</v>
      </c>
      <c r="H2576" s="116"/>
      <c r="I2576" s="116"/>
      <c r="L2576" s="170">
        <v>45799</v>
      </c>
      <c r="M2576" s="116">
        <v>76.680000000000007</v>
      </c>
      <c r="N2576" s="116">
        <v>79.489999999999995</v>
      </c>
      <c r="O2576" s="116">
        <v>68.8</v>
      </c>
      <c r="P2576" s="116">
        <v>69.09</v>
      </c>
      <c r="Q2576" s="116">
        <v>76.680000000000007</v>
      </c>
      <c r="R2576">
        <v>272689572</v>
      </c>
    </row>
    <row r="2577" spans="1:18" x14ac:dyDescent="0.25">
      <c r="A2577" s="170">
        <v>45800</v>
      </c>
      <c r="B2577" s="116">
        <v>80.53</v>
      </c>
      <c r="C2577" s="116">
        <v>76.75</v>
      </c>
      <c r="D2577" s="116">
        <v>73.3</v>
      </c>
      <c r="E2577" s="116">
        <v>75.8</v>
      </c>
      <c r="F2577" s="116">
        <v>76.75</v>
      </c>
      <c r="G2577">
        <v>15175092</v>
      </c>
      <c r="H2577" s="116"/>
      <c r="I2577" s="116"/>
      <c r="L2577" s="170">
        <v>45800</v>
      </c>
      <c r="M2577" s="116">
        <v>76.72</v>
      </c>
      <c r="N2577" s="116">
        <v>80.5</v>
      </c>
      <c r="O2577" s="116">
        <v>73.349999999999994</v>
      </c>
      <c r="P2577" s="116">
        <v>75.75</v>
      </c>
      <c r="Q2577" s="116">
        <v>76.72</v>
      </c>
      <c r="R2577">
        <v>119145009</v>
      </c>
    </row>
    <row r="2578" spans="1:18" x14ac:dyDescent="0.25">
      <c r="A2578" s="170">
        <v>45803</v>
      </c>
      <c r="B2578" s="116">
        <v>78.5</v>
      </c>
      <c r="C2578" s="116">
        <v>74.92</v>
      </c>
      <c r="D2578" s="116">
        <v>74.48</v>
      </c>
      <c r="E2578" s="116">
        <v>76.39</v>
      </c>
      <c r="F2578" s="116">
        <v>74.92</v>
      </c>
      <c r="G2578">
        <v>5883038</v>
      </c>
      <c r="H2578" s="116"/>
      <c r="I2578" s="116"/>
      <c r="L2578" s="170">
        <v>45803</v>
      </c>
      <c r="M2578" s="116">
        <v>74.87</v>
      </c>
      <c r="N2578" s="116">
        <v>78.5</v>
      </c>
      <c r="O2578" s="116">
        <v>74</v>
      </c>
      <c r="P2578" s="116">
        <v>76.19</v>
      </c>
      <c r="Q2578" s="116">
        <v>74.87</v>
      </c>
      <c r="R2578">
        <v>32073876</v>
      </c>
    </row>
    <row r="2579" spans="1:18" x14ac:dyDescent="0.25">
      <c r="A2579" s="170">
        <v>45804</v>
      </c>
      <c r="B2579" s="116">
        <v>76.900000000000006</v>
      </c>
      <c r="C2579" s="116">
        <v>75.03</v>
      </c>
      <c r="D2579" s="116">
        <v>74.290000000000006</v>
      </c>
      <c r="E2579" s="116">
        <v>74.83</v>
      </c>
      <c r="F2579" s="116">
        <v>75.03</v>
      </c>
      <c r="G2579">
        <v>3736298</v>
      </c>
      <c r="H2579" s="116"/>
      <c r="I2579" s="116"/>
      <c r="L2579" s="170">
        <v>45804</v>
      </c>
      <c r="M2579" s="116">
        <v>75.010000000000005</v>
      </c>
      <c r="N2579" s="116">
        <v>76.900000000000006</v>
      </c>
      <c r="O2579" s="116">
        <v>74.28</v>
      </c>
      <c r="P2579" s="116">
        <v>74.5</v>
      </c>
      <c r="Q2579" s="116">
        <v>75.010000000000005</v>
      </c>
      <c r="R2579">
        <v>24849963</v>
      </c>
    </row>
    <row r="2580" spans="1:18" x14ac:dyDescent="0.25">
      <c r="A2580" s="170">
        <v>45805</v>
      </c>
      <c r="B2580" s="116">
        <v>76.400000000000006</v>
      </c>
      <c r="C2580" s="116">
        <v>74.34</v>
      </c>
      <c r="D2580" s="116">
        <v>74.069999999999993</v>
      </c>
      <c r="E2580" s="116">
        <v>75.569999999999993</v>
      </c>
      <c r="F2580" s="116">
        <v>74.34</v>
      </c>
      <c r="G2580">
        <v>2268269</v>
      </c>
      <c r="H2580" s="116"/>
      <c r="I2580" s="116"/>
      <c r="L2580" s="170">
        <v>45805</v>
      </c>
      <c r="M2580" s="116">
        <v>74.36</v>
      </c>
      <c r="N2580" s="116">
        <v>76.48</v>
      </c>
      <c r="O2580" s="116">
        <v>74.010000000000005</v>
      </c>
      <c r="P2580" s="116">
        <v>75.099999999999994</v>
      </c>
      <c r="Q2580" s="116">
        <v>74.36</v>
      </c>
      <c r="R2580">
        <v>12579941</v>
      </c>
    </row>
    <row r="2581" spans="1:18" x14ac:dyDescent="0.25">
      <c r="A2581" s="170">
        <v>45806</v>
      </c>
      <c r="B2581" s="116">
        <v>75.27</v>
      </c>
      <c r="C2581" s="116">
        <v>74.290000000000006</v>
      </c>
      <c r="D2581" s="116">
        <v>72.989999999999995</v>
      </c>
      <c r="E2581" s="116">
        <v>74.66</v>
      </c>
      <c r="F2581" s="116">
        <v>74.290000000000006</v>
      </c>
      <c r="G2581">
        <v>1695176</v>
      </c>
      <c r="H2581" s="116"/>
      <c r="I2581" s="116"/>
      <c r="L2581" s="170">
        <v>45806</v>
      </c>
      <c r="M2581" s="116">
        <v>74.2</v>
      </c>
      <c r="N2581" s="116">
        <v>75.260000000000005</v>
      </c>
      <c r="O2581" s="116">
        <v>73.010000000000005</v>
      </c>
      <c r="P2581" s="116">
        <v>75.08</v>
      </c>
      <c r="Q2581" s="116">
        <v>74.2</v>
      </c>
      <c r="R2581">
        <v>10964204</v>
      </c>
    </row>
    <row r="2582" spans="1:18" x14ac:dyDescent="0.25">
      <c r="A2582" s="170">
        <v>45807</v>
      </c>
      <c r="B2582" s="116">
        <v>75.25</v>
      </c>
      <c r="C2582" s="116">
        <v>72.94</v>
      </c>
      <c r="D2582" s="116">
        <v>72.260000000000005</v>
      </c>
      <c r="E2582" s="116">
        <v>74.63</v>
      </c>
      <c r="F2582" s="116">
        <v>72.94</v>
      </c>
      <c r="G2582">
        <v>1069077</v>
      </c>
      <c r="H2582" s="116"/>
      <c r="I2582" s="116"/>
      <c r="L2582" s="170">
        <v>45807</v>
      </c>
      <c r="M2582" s="116">
        <v>72.91</v>
      </c>
      <c r="N2582" s="116">
        <v>75.25</v>
      </c>
      <c r="O2582" s="116">
        <v>72.22</v>
      </c>
      <c r="P2582" s="116">
        <v>74.75</v>
      </c>
      <c r="Q2582" s="116">
        <v>72.91</v>
      </c>
      <c r="R2582">
        <v>8019197</v>
      </c>
    </row>
    <row r="2583" spans="1:18" x14ac:dyDescent="0.25">
      <c r="A2583" s="170">
        <v>45810</v>
      </c>
      <c r="B2583" s="116">
        <v>76.38</v>
      </c>
      <c r="C2583" s="116">
        <v>73.459999999999994</v>
      </c>
      <c r="D2583" s="116">
        <v>71.709999999999994</v>
      </c>
      <c r="E2583" s="116">
        <v>72</v>
      </c>
      <c r="F2583" s="116">
        <v>73.459999999999994</v>
      </c>
      <c r="G2583">
        <v>2460129</v>
      </c>
      <c r="H2583" s="116"/>
      <c r="I2583" s="116"/>
      <c r="L2583" s="170">
        <v>45810</v>
      </c>
      <c r="M2583" s="116">
        <v>73.510000000000005</v>
      </c>
      <c r="N2583" s="116">
        <v>76.400000000000006</v>
      </c>
      <c r="O2583" s="116">
        <v>71.760000000000005</v>
      </c>
      <c r="P2583" s="116">
        <v>72.010000000000005</v>
      </c>
      <c r="Q2583" s="116">
        <v>73.510000000000005</v>
      </c>
      <c r="R2583">
        <v>16061184</v>
      </c>
    </row>
    <row r="2584" spans="1:18" x14ac:dyDescent="0.25">
      <c r="A2584" s="170">
        <v>45811</v>
      </c>
      <c r="B2584" s="116">
        <v>74.5</v>
      </c>
      <c r="C2584" s="116">
        <v>72.47</v>
      </c>
      <c r="D2584" s="116">
        <v>72</v>
      </c>
      <c r="E2584" s="116">
        <v>74.5</v>
      </c>
      <c r="F2584" s="116">
        <v>72.47</v>
      </c>
      <c r="G2584">
        <v>690539</v>
      </c>
      <c r="H2584" s="116"/>
      <c r="I2584" s="116"/>
      <c r="L2584" s="170">
        <v>45811</v>
      </c>
      <c r="M2584" s="116">
        <v>72.48</v>
      </c>
      <c r="N2584" s="116">
        <v>74.19</v>
      </c>
      <c r="O2584" s="116">
        <v>72</v>
      </c>
      <c r="P2584" s="116">
        <v>73.88</v>
      </c>
      <c r="Q2584" s="116">
        <v>72.48</v>
      </c>
      <c r="R2584">
        <v>6024238</v>
      </c>
    </row>
    <row r="2585" spans="1:18" x14ac:dyDescent="0.25">
      <c r="A2585" s="170">
        <v>45812</v>
      </c>
      <c r="B2585" s="116">
        <v>73.599999999999994</v>
      </c>
      <c r="C2585" s="116">
        <v>72.44</v>
      </c>
      <c r="D2585" s="116">
        <v>70.77</v>
      </c>
      <c r="E2585" s="116">
        <v>72.510000000000005</v>
      </c>
      <c r="F2585" s="116">
        <v>72.44</v>
      </c>
      <c r="G2585">
        <v>569749</v>
      </c>
      <c r="H2585" s="116"/>
      <c r="I2585" s="116"/>
      <c r="L2585" s="170">
        <v>45812</v>
      </c>
      <c r="M2585" s="116">
        <v>72.41</v>
      </c>
      <c r="N2585" s="116">
        <v>73.8</v>
      </c>
      <c r="O2585" s="116">
        <v>70.8</v>
      </c>
      <c r="P2585" s="116">
        <v>72.790000000000006</v>
      </c>
      <c r="Q2585" s="116">
        <v>72.41</v>
      </c>
      <c r="R2585">
        <v>9567996</v>
      </c>
    </row>
    <row r="2586" spans="1:18" x14ac:dyDescent="0.25">
      <c r="A2586" s="170">
        <v>45813</v>
      </c>
      <c r="B2586" s="116">
        <v>74.739999999999995</v>
      </c>
      <c r="C2586" s="116">
        <v>72.28</v>
      </c>
      <c r="D2586" s="116">
        <v>71.900000000000006</v>
      </c>
      <c r="E2586" s="116">
        <v>72.88</v>
      </c>
      <c r="F2586" s="116">
        <v>72.28</v>
      </c>
      <c r="G2586">
        <v>902929</v>
      </c>
      <c r="H2586" s="116"/>
      <c r="I2586" s="116"/>
      <c r="L2586" s="170">
        <v>45813</v>
      </c>
      <c r="M2586" s="116">
        <v>72.33</v>
      </c>
      <c r="N2586" s="116">
        <v>74.75</v>
      </c>
      <c r="O2586" s="116">
        <v>71.849999999999994</v>
      </c>
      <c r="P2586" s="116">
        <v>72.8</v>
      </c>
      <c r="Q2586" s="116">
        <v>72.33</v>
      </c>
      <c r="R2586">
        <v>7633396</v>
      </c>
    </row>
    <row r="2587" spans="1:18" x14ac:dyDescent="0.25">
      <c r="A2587" s="170">
        <v>45814</v>
      </c>
      <c r="B2587" s="116">
        <v>72.349999999999994</v>
      </c>
      <c r="C2587" s="116">
        <v>71.14</v>
      </c>
      <c r="D2587" s="116">
        <v>70.94</v>
      </c>
      <c r="E2587" s="116">
        <v>72</v>
      </c>
      <c r="F2587" s="116">
        <v>71.14</v>
      </c>
      <c r="G2587">
        <v>425111</v>
      </c>
      <c r="H2587" s="116"/>
      <c r="I2587" s="116"/>
      <c r="L2587" s="170">
        <v>45814</v>
      </c>
      <c r="M2587" s="116">
        <v>71.12</v>
      </c>
      <c r="N2587" s="116">
        <v>72.42</v>
      </c>
      <c r="O2587" s="116">
        <v>70.83</v>
      </c>
      <c r="P2587" s="116">
        <v>71.900000000000006</v>
      </c>
      <c r="Q2587" s="116">
        <v>71.12</v>
      </c>
      <c r="R2587">
        <v>3550113</v>
      </c>
    </row>
    <row r="2588" spans="1:18" x14ac:dyDescent="0.25">
      <c r="A2588" s="170">
        <v>45817</v>
      </c>
      <c r="B2588" s="116">
        <v>72.349999999999994</v>
      </c>
      <c r="C2588" s="116">
        <v>71.819999999999993</v>
      </c>
      <c r="D2588" s="116">
        <v>71.099999999999994</v>
      </c>
      <c r="E2588" s="116">
        <v>71.25</v>
      </c>
      <c r="F2588" s="116">
        <v>71.819999999999993</v>
      </c>
      <c r="G2588">
        <v>563305</v>
      </c>
      <c r="H2588" s="116"/>
      <c r="I2588" s="116"/>
      <c r="L2588" s="170">
        <v>45817</v>
      </c>
      <c r="M2588" s="116">
        <v>71.84</v>
      </c>
      <c r="N2588" s="116">
        <v>72.37</v>
      </c>
      <c r="O2588" s="116">
        <v>71.08</v>
      </c>
      <c r="P2588" s="116">
        <v>71.400000000000006</v>
      </c>
      <c r="Q2588" s="116">
        <v>71.84</v>
      </c>
      <c r="R2588">
        <v>3267175</v>
      </c>
    </row>
    <row r="2589" spans="1:18" x14ac:dyDescent="0.25">
      <c r="A2589" s="170">
        <v>45818</v>
      </c>
      <c r="B2589" s="116">
        <v>72.849999999999994</v>
      </c>
      <c r="C2589" s="116">
        <v>71.47</v>
      </c>
      <c r="D2589" s="116">
        <v>71.25</v>
      </c>
      <c r="E2589" s="116">
        <v>71.95</v>
      </c>
      <c r="F2589" s="116">
        <v>71.47</v>
      </c>
      <c r="G2589">
        <v>421143</v>
      </c>
      <c r="H2589" s="116"/>
      <c r="I2589" s="116"/>
      <c r="L2589" s="170">
        <v>45818</v>
      </c>
      <c r="M2589" s="116">
        <v>71.489999999999995</v>
      </c>
      <c r="N2589" s="116">
        <v>72.75</v>
      </c>
      <c r="O2589" s="116">
        <v>71.25</v>
      </c>
      <c r="P2589" s="116">
        <v>71.86</v>
      </c>
      <c r="Q2589" s="116">
        <v>71.489999999999995</v>
      </c>
      <c r="R2589">
        <v>4308041</v>
      </c>
    </row>
    <row r="2590" spans="1:18" x14ac:dyDescent="0.25">
      <c r="A2590" s="170">
        <v>45819</v>
      </c>
      <c r="B2590" s="116">
        <v>81.16</v>
      </c>
      <c r="C2590" s="116">
        <v>76.040000000000006</v>
      </c>
      <c r="D2590" s="116">
        <v>71.33</v>
      </c>
      <c r="E2590" s="116">
        <v>72.42</v>
      </c>
      <c r="F2590" s="116">
        <v>76.040000000000006</v>
      </c>
      <c r="G2590">
        <v>13613980</v>
      </c>
      <c r="H2590" s="116"/>
      <c r="I2590" s="116"/>
      <c r="L2590" s="170">
        <v>45819</v>
      </c>
      <c r="M2590" s="116">
        <v>75.849999999999994</v>
      </c>
      <c r="N2590" s="116">
        <v>81.12</v>
      </c>
      <c r="O2590" s="116">
        <v>71.489999999999995</v>
      </c>
      <c r="P2590" s="116">
        <v>72</v>
      </c>
      <c r="Q2590" s="116">
        <v>75.849999999999994</v>
      </c>
      <c r="R2590">
        <v>141151495</v>
      </c>
    </row>
    <row r="2591" spans="1:18" x14ac:dyDescent="0.25">
      <c r="A2591" s="170">
        <v>45820</v>
      </c>
      <c r="B2591" s="116">
        <v>79.55</v>
      </c>
      <c r="C2591" s="116">
        <v>77</v>
      </c>
      <c r="D2591" s="116">
        <v>75.540000000000006</v>
      </c>
      <c r="E2591" s="116">
        <v>76.03</v>
      </c>
      <c r="F2591" s="116">
        <v>77</v>
      </c>
      <c r="G2591">
        <v>6995270</v>
      </c>
      <c r="H2591" s="116"/>
      <c r="I2591" s="116"/>
      <c r="L2591" s="170">
        <v>45820</v>
      </c>
      <c r="M2591" s="116">
        <v>76.900000000000006</v>
      </c>
      <c r="N2591" s="116">
        <v>79.69</v>
      </c>
      <c r="O2591" s="116">
        <v>75.52</v>
      </c>
      <c r="P2591" s="116">
        <v>75.849999999999994</v>
      </c>
      <c r="Q2591" s="116">
        <v>76.900000000000006</v>
      </c>
      <c r="R2591">
        <v>50050397</v>
      </c>
    </row>
    <row r="2592" spans="1:18" x14ac:dyDescent="0.25">
      <c r="A2592" s="170">
        <v>45821</v>
      </c>
      <c r="B2592" s="116">
        <v>74.709999999999994</v>
      </c>
      <c r="C2592" s="116">
        <v>71.650000000000006</v>
      </c>
      <c r="D2592" s="116">
        <v>69.099999999999994</v>
      </c>
      <c r="E2592" s="116">
        <v>74.319999999999993</v>
      </c>
      <c r="F2592" s="116">
        <v>71.650000000000006</v>
      </c>
      <c r="G2592">
        <v>3201194</v>
      </c>
      <c r="H2592" s="116"/>
      <c r="I2592" s="116"/>
      <c r="L2592" s="170">
        <v>45821</v>
      </c>
      <c r="M2592" s="116">
        <v>71.599999999999994</v>
      </c>
      <c r="N2592" s="116">
        <v>74.75</v>
      </c>
      <c r="O2592" s="116">
        <v>69</v>
      </c>
      <c r="P2592" s="116">
        <v>74.55</v>
      </c>
      <c r="Q2592" s="116">
        <v>71.599999999999994</v>
      </c>
      <c r="R2592">
        <v>21143722</v>
      </c>
    </row>
    <row r="2593" spans="1:18" x14ac:dyDescent="0.25">
      <c r="A2593" s="170">
        <v>45824</v>
      </c>
      <c r="B2593" s="116">
        <v>72.510000000000005</v>
      </c>
      <c r="C2593" s="116">
        <v>71.790000000000006</v>
      </c>
      <c r="D2593" s="116">
        <v>66.95</v>
      </c>
      <c r="E2593" s="116">
        <v>72.13</v>
      </c>
      <c r="F2593" s="116">
        <v>71.790000000000006</v>
      </c>
      <c r="G2593">
        <v>3780649</v>
      </c>
      <c r="H2593" s="116"/>
      <c r="I2593" s="116"/>
      <c r="L2593" s="170">
        <v>45824</v>
      </c>
      <c r="M2593" s="116">
        <v>71.81</v>
      </c>
      <c r="N2593" s="116">
        <v>72.45</v>
      </c>
      <c r="O2593" s="116">
        <v>66.94</v>
      </c>
      <c r="P2593" s="116">
        <v>72.400000000000006</v>
      </c>
      <c r="Q2593" s="116">
        <v>71.81</v>
      </c>
      <c r="R2593">
        <v>25865331</v>
      </c>
    </row>
    <row r="2594" spans="1:18" x14ac:dyDescent="0.25">
      <c r="A2594" s="170">
        <v>45825</v>
      </c>
      <c r="B2594" s="116">
        <v>72.900000000000006</v>
      </c>
      <c r="C2594" s="116">
        <v>68.87</v>
      </c>
      <c r="D2594" s="116">
        <v>68.5</v>
      </c>
      <c r="E2594" s="116">
        <v>71.400000000000006</v>
      </c>
      <c r="F2594" s="116">
        <v>68.87</v>
      </c>
      <c r="G2594">
        <v>272421</v>
      </c>
      <c r="H2594" s="116"/>
      <c r="I2594" s="116"/>
      <c r="L2594" s="170">
        <v>45825</v>
      </c>
      <c r="M2594" s="116">
        <v>68.77</v>
      </c>
      <c r="N2594" s="116">
        <v>72.2</v>
      </c>
      <c r="O2594" s="116">
        <v>68.400000000000006</v>
      </c>
      <c r="P2594" s="116">
        <v>71.099999999999994</v>
      </c>
      <c r="Q2594" s="116">
        <v>68.77</v>
      </c>
      <c r="R2594">
        <v>1797512</v>
      </c>
    </row>
    <row r="2595" spans="1:18" x14ac:dyDescent="0.25">
      <c r="A2595" s="170">
        <v>45826</v>
      </c>
      <c r="B2595" s="116">
        <v>69</v>
      </c>
      <c r="C2595" s="116">
        <v>66.459999999999994</v>
      </c>
      <c r="D2595" s="116">
        <v>65.75</v>
      </c>
      <c r="E2595" s="116">
        <v>68.900000000000006</v>
      </c>
      <c r="F2595" s="116">
        <v>66.459999999999994</v>
      </c>
      <c r="G2595">
        <v>382348</v>
      </c>
      <c r="H2595" s="116"/>
      <c r="I2595" s="116"/>
      <c r="L2595" s="170">
        <v>45826</v>
      </c>
      <c r="M2595" s="116">
        <v>66.52</v>
      </c>
      <c r="N2595" s="116">
        <v>69.400000000000006</v>
      </c>
      <c r="O2595" s="116">
        <v>65.599999999999994</v>
      </c>
      <c r="P2595" s="116">
        <v>68.77</v>
      </c>
      <c r="Q2595" s="116">
        <v>66.52</v>
      </c>
      <c r="R2595">
        <v>1841032</v>
      </c>
    </row>
    <row r="2596" spans="1:18" x14ac:dyDescent="0.25">
      <c r="A2596" s="170">
        <v>45827</v>
      </c>
      <c r="B2596" s="116">
        <v>68.900000000000006</v>
      </c>
      <c r="C2596" s="116">
        <v>63.9</v>
      </c>
      <c r="D2596" s="116">
        <v>63.5</v>
      </c>
      <c r="E2596" s="116">
        <v>66.52</v>
      </c>
      <c r="F2596" s="116">
        <v>63.9</v>
      </c>
      <c r="G2596">
        <v>198390</v>
      </c>
      <c r="H2596" s="116"/>
      <c r="I2596" s="116"/>
      <c r="L2596" s="170">
        <v>45827</v>
      </c>
      <c r="M2596" s="116">
        <v>63.96</v>
      </c>
      <c r="N2596" s="116">
        <v>67.89</v>
      </c>
      <c r="O2596" s="116">
        <v>63.65</v>
      </c>
      <c r="P2596" s="116">
        <v>66</v>
      </c>
      <c r="Q2596" s="116">
        <v>63.96</v>
      </c>
      <c r="R2596">
        <v>1881724</v>
      </c>
    </row>
    <row r="2597" spans="1:18" x14ac:dyDescent="0.25">
      <c r="A2597" s="170">
        <v>45828</v>
      </c>
      <c r="B2597" s="116">
        <v>65.349999999999994</v>
      </c>
      <c r="C2597" s="116">
        <v>63.81</v>
      </c>
      <c r="D2597" s="116">
        <v>63.18</v>
      </c>
      <c r="E2597" s="116">
        <v>63.9</v>
      </c>
      <c r="F2597" s="116">
        <v>63.81</v>
      </c>
      <c r="G2597">
        <v>152008</v>
      </c>
      <c r="H2597" s="116"/>
      <c r="I2597" s="116"/>
      <c r="L2597" s="170">
        <v>45828</v>
      </c>
      <c r="M2597" s="116">
        <v>63.62</v>
      </c>
      <c r="N2597" s="116">
        <v>65.08</v>
      </c>
      <c r="O2597" s="116">
        <v>62</v>
      </c>
      <c r="P2597" s="116">
        <v>63</v>
      </c>
      <c r="Q2597" s="116">
        <v>63.62</v>
      </c>
      <c r="R2597">
        <v>1676744</v>
      </c>
    </row>
    <row r="2598" spans="1:18" x14ac:dyDescent="0.25">
      <c r="A2598" s="170">
        <v>45831</v>
      </c>
      <c r="B2598" s="116">
        <v>65</v>
      </c>
      <c r="C2598" s="116">
        <v>63.78</v>
      </c>
      <c r="D2598" s="116">
        <v>61.51</v>
      </c>
      <c r="E2598" s="116">
        <v>62.53</v>
      </c>
      <c r="F2598" s="116">
        <v>63.78</v>
      </c>
      <c r="G2598">
        <v>276267</v>
      </c>
      <c r="H2598" s="116"/>
      <c r="I2598" s="116"/>
      <c r="L2598" s="170">
        <v>45831</v>
      </c>
      <c r="M2598" s="116">
        <v>63.53</v>
      </c>
      <c r="N2598" s="116">
        <v>64.900000000000006</v>
      </c>
      <c r="O2598" s="116">
        <v>62.3</v>
      </c>
      <c r="P2598" s="116">
        <v>63.3</v>
      </c>
      <c r="Q2598" s="116">
        <v>63.53</v>
      </c>
      <c r="R2598">
        <v>1437224</v>
      </c>
    </row>
    <row r="2599" spans="1:18" x14ac:dyDescent="0.25">
      <c r="A2599" s="170">
        <v>45832</v>
      </c>
      <c r="B2599" s="116">
        <v>66</v>
      </c>
      <c r="C2599" s="116">
        <v>63.64</v>
      </c>
      <c r="D2599" s="116">
        <v>63.5</v>
      </c>
      <c r="E2599" s="116">
        <v>64.7</v>
      </c>
      <c r="F2599" s="116">
        <v>63.64</v>
      </c>
      <c r="G2599">
        <v>272787</v>
      </c>
      <c r="H2599" s="116"/>
      <c r="I2599" s="116"/>
      <c r="L2599" s="170">
        <v>45832</v>
      </c>
      <c r="M2599" s="116">
        <v>63.62</v>
      </c>
      <c r="N2599" s="116">
        <v>64.900000000000006</v>
      </c>
      <c r="O2599" s="116">
        <v>63.5</v>
      </c>
      <c r="P2599" s="116">
        <v>64.2</v>
      </c>
      <c r="Q2599" s="116">
        <v>63.62</v>
      </c>
      <c r="R2599">
        <v>1360574</v>
      </c>
    </row>
    <row r="2600" spans="1:18" x14ac:dyDescent="0.25">
      <c r="A2600" s="170">
        <v>45833</v>
      </c>
      <c r="B2600" s="116">
        <v>66.819999999999993</v>
      </c>
      <c r="C2600" s="116">
        <v>66.819999999999993</v>
      </c>
      <c r="D2600" s="116">
        <v>63.75</v>
      </c>
      <c r="E2600" s="116">
        <v>64.45</v>
      </c>
      <c r="F2600" s="116">
        <v>66.819999999999993</v>
      </c>
      <c r="G2600">
        <v>496219</v>
      </c>
      <c r="H2600" s="116"/>
      <c r="I2600" s="116"/>
      <c r="L2600" s="170">
        <v>45833</v>
      </c>
      <c r="M2600" s="116">
        <v>66.8</v>
      </c>
      <c r="N2600" s="116">
        <v>66.8</v>
      </c>
      <c r="O2600" s="116">
        <v>63.93</v>
      </c>
      <c r="P2600" s="116">
        <v>63.93</v>
      </c>
      <c r="Q2600" s="116">
        <v>66.8</v>
      </c>
      <c r="R2600">
        <v>1583307</v>
      </c>
    </row>
    <row r="2601" spans="1:18" x14ac:dyDescent="0.25">
      <c r="A2601" s="170">
        <v>45834</v>
      </c>
      <c r="B2601" s="116">
        <v>69.89</v>
      </c>
      <c r="C2601" s="116">
        <v>67.28</v>
      </c>
      <c r="D2601" s="116">
        <v>66.56</v>
      </c>
      <c r="E2601" s="116">
        <v>68</v>
      </c>
      <c r="F2601" s="116">
        <v>67.28</v>
      </c>
      <c r="G2601">
        <v>499840</v>
      </c>
      <c r="H2601" s="116"/>
      <c r="I2601" s="116"/>
      <c r="L2601" s="170">
        <v>45834</v>
      </c>
      <c r="M2601" s="116">
        <v>67.3</v>
      </c>
      <c r="N2601" s="116">
        <v>69.75</v>
      </c>
      <c r="O2601" s="116">
        <v>66.099999999999994</v>
      </c>
      <c r="P2601" s="116">
        <v>67.91</v>
      </c>
      <c r="Q2601" s="116">
        <v>67.3</v>
      </c>
      <c r="R2601">
        <v>2446484</v>
      </c>
    </row>
    <row r="2602" spans="1:18" x14ac:dyDescent="0.25">
      <c r="A2602" s="170">
        <v>45835</v>
      </c>
      <c r="B2602" s="116">
        <v>68.400000000000006</v>
      </c>
      <c r="C2602" s="116">
        <v>67.05</v>
      </c>
      <c r="D2602" s="116">
        <v>66.31</v>
      </c>
      <c r="E2602" s="116">
        <v>67.06</v>
      </c>
      <c r="F2602" s="116">
        <v>67.05</v>
      </c>
      <c r="G2602">
        <v>170952</v>
      </c>
      <c r="H2602" s="116"/>
      <c r="I2602" s="116"/>
      <c r="L2602" s="170">
        <v>45835</v>
      </c>
      <c r="M2602" s="116">
        <v>67.02</v>
      </c>
      <c r="N2602" s="116">
        <v>68.489999999999995</v>
      </c>
      <c r="O2602" s="116">
        <v>66.11</v>
      </c>
      <c r="P2602" s="116">
        <v>68.010000000000005</v>
      </c>
      <c r="Q2602" s="116">
        <v>67.02</v>
      </c>
      <c r="R2602">
        <v>1196096</v>
      </c>
    </row>
    <row r="2603" spans="1:18" x14ac:dyDescent="0.25">
      <c r="A2603" s="170">
        <v>45838</v>
      </c>
      <c r="B2603" s="116">
        <v>67.349999999999994</v>
      </c>
      <c r="C2603" s="116">
        <v>66.19</v>
      </c>
      <c r="D2603" s="116">
        <v>65.209999999999994</v>
      </c>
      <c r="E2603" s="116">
        <v>67.349999999999994</v>
      </c>
      <c r="F2603" s="116">
        <v>66.19</v>
      </c>
      <c r="G2603">
        <v>199271</v>
      </c>
      <c r="H2603" s="116"/>
      <c r="I2603" s="116"/>
      <c r="L2603" s="170">
        <v>45838</v>
      </c>
      <c r="M2603" s="116">
        <v>66.09</v>
      </c>
      <c r="N2603" s="116">
        <v>67.02</v>
      </c>
      <c r="O2603" s="116">
        <v>65</v>
      </c>
      <c r="P2603" s="116">
        <v>67</v>
      </c>
      <c r="Q2603" s="116">
        <v>66.09</v>
      </c>
      <c r="R2603">
        <v>1468538</v>
      </c>
    </row>
    <row r="2604" spans="1:18" x14ac:dyDescent="0.25">
      <c r="A2604" s="170">
        <v>45839</v>
      </c>
      <c r="B2604" s="116">
        <v>66.989999999999995</v>
      </c>
      <c r="C2604" s="116">
        <v>66.09</v>
      </c>
      <c r="D2604" s="116">
        <v>65.12</v>
      </c>
      <c r="E2604" s="116">
        <v>66</v>
      </c>
      <c r="F2604" s="116">
        <v>66.09</v>
      </c>
      <c r="G2604">
        <v>196201</v>
      </c>
      <c r="H2604" s="116"/>
      <c r="I2604" s="116"/>
      <c r="L2604" s="170">
        <v>45839</v>
      </c>
      <c r="M2604" s="116">
        <v>66.09</v>
      </c>
      <c r="N2604" s="116">
        <v>66.98</v>
      </c>
      <c r="O2604" s="116">
        <v>65.55</v>
      </c>
      <c r="P2604" s="116">
        <v>66.5</v>
      </c>
      <c r="Q2604" s="116">
        <v>66.09</v>
      </c>
      <c r="R2604">
        <v>790841</v>
      </c>
    </row>
    <row r="2605" spans="1:18" x14ac:dyDescent="0.25">
      <c r="A2605" s="170">
        <v>45840</v>
      </c>
      <c r="B2605" s="116">
        <v>66.69</v>
      </c>
      <c r="C2605" s="116">
        <v>65.849999999999994</v>
      </c>
      <c r="D2605" s="116">
        <v>64.3</v>
      </c>
      <c r="E2605" s="116">
        <v>65.849999999999994</v>
      </c>
      <c r="F2605" s="116">
        <v>65.849999999999994</v>
      </c>
      <c r="G2605">
        <v>200337</v>
      </c>
      <c r="H2605" s="116"/>
      <c r="I2605" s="116"/>
      <c r="L2605" s="170">
        <v>45840</v>
      </c>
      <c r="M2605" s="116">
        <v>65.900000000000006</v>
      </c>
      <c r="N2605" s="116">
        <v>66.69</v>
      </c>
      <c r="O2605" s="116">
        <v>65.42</v>
      </c>
      <c r="P2605" s="116">
        <v>66.599999999999994</v>
      </c>
      <c r="Q2605" s="116">
        <v>65.900000000000006</v>
      </c>
      <c r="R2605">
        <v>898303</v>
      </c>
    </row>
    <row r="2606" spans="1:18" x14ac:dyDescent="0.25">
      <c r="A2606" s="170">
        <v>45841</v>
      </c>
      <c r="B2606" s="116">
        <v>66.599999999999994</v>
      </c>
      <c r="C2606" s="116">
        <v>66.010000000000005</v>
      </c>
      <c r="D2606" s="116">
        <v>65.400000000000006</v>
      </c>
      <c r="E2606" s="116">
        <v>65.72</v>
      </c>
      <c r="F2606" s="116">
        <v>66.010000000000005</v>
      </c>
      <c r="G2606">
        <v>107302</v>
      </c>
      <c r="H2606" s="116"/>
      <c r="I2606" s="116"/>
      <c r="L2606" s="170">
        <v>45841</v>
      </c>
      <c r="M2606" s="116">
        <v>66.09</v>
      </c>
      <c r="N2606" s="116">
        <v>66.459999999999994</v>
      </c>
      <c r="O2606" s="116">
        <v>65.5</v>
      </c>
      <c r="P2606" s="116">
        <v>65.650000000000006</v>
      </c>
      <c r="Q2606" s="116">
        <v>66.09</v>
      </c>
      <c r="R2606">
        <v>852219</v>
      </c>
    </row>
    <row r="2607" spans="1:18" x14ac:dyDescent="0.25">
      <c r="A2607" s="170">
        <v>45842</v>
      </c>
      <c r="B2607" s="116">
        <v>66.8</v>
      </c>
      <c r="C2607" s="116">
        <v>65.709999999999994</v>
      </c>
      <c r="D2607" s="116">
        <v>65.25</v>
      </c>
      <c r="E2607" s="116">
        <v>66.599999999999994</v>
      </c>
      <c r="F2607" s="116">
        <v>65.709999999999994</v>
      </c>
      <c r="G2607">
        <v>52363</v>
      </c>
      <c r="H2607" s="116"/>
      <c r="I2607" s="116"/>
      <c r="L2607" s="170">
        <v>45842</v>
      </c>
      <c r="M2607" s="116">
        <v>65.790000000000006</v>
      </c>
      <c r="N2607" s="116">
        <v>66.5</v>
      </c>
      <c r="O2607" s="116">
        <v>65.56</v>
      </c>
      <c r="P2607" s="116">
        <v>66.150000000000006</v>
      </c>
      <c r="Q2607" s="116">
        <v>65.790000000000006</v>
      </c>
      <c r="R2607">
        <v>829878</v>
      </c>
    </row>
    <row r="2608" spans="1:18" x14ac:dyDescent="0.25">
      <c r="A2608" s="170">
        <v>45845</v>
      </c>
      <c r="B2608" s="116">
        <v>66</v>
      </c>
      <c r="C2608" s="116">
        <v>65.11</v>
      </c>
      <c r="D2608" s="116">
        <v>64.7</v>
      </c>
      <c r="E2608" s="116">
        <v>64.7</v>
      </c>
      <c r="F2608" s="116">
        <v>65.11</v>
      </c>
      <c r="G2608">
        <v>77732</v>
      </c>
      <c r="H2608" s="116"/>
      <c r="I2608" s="116"/>
      <c r="L2608" s="170">
        <v>45845</v>
      </c>
      <c r="M2608" s="116">
        <v>65.12</v>
      </c>
      <c r="N2608" s="116">
        <v>66</v>
      </c>
      <c r="O2608" s="116">
        <v>65.02</v>
      </c>
      <c r="P2608" s="116">
        <v>65.2</v>
      </c>
      <c r="Q2608" s="116">
        <v>65.12</v>
      </c>
      <c r="R2608">
        <v>647766</v>
      </c>
    </row>
    <row r="2609" spans="1:18" x14ac:dyDescent="0.25">
      <c r="A2609" s="170">
        <v>45846</v>
      </c>
      <c r="B2609" s="116">
        <v>65.900000000000006</v>
      </c>
      <c r="C2609" s="116">
        <v>65.33</v>
      </c>
      <c r="D2609" s="116">
        <v>64.209999999999994</v>
      </c>
      <c r="E2609" s="116">
        <v>64.209999999999994</v>
      </c>
      <c r="F2609" s="116">
        <v>65.33</v>
      </c>
      <c r="G2609">
        <v>118767</v>
      </c>
      <c r="H2609" s="116"/>
      <c r="I2609" s="116"/>
      <c r="L2609" s="170">
        <v>45846</v>
      </c>
      <c r="M2609" s="116">
        <v>65.33</v>
      </c>
      <c r="N2609" s="116">
        <v>65.5</v>
      </c>
      <c r="O2609" s="116">
        <v>64.510000000000005</v>
      </c>
      <c r="P2609" s="116">
        <v>65.25</v>
      </c>
      <c r="Q2609" s="116">
        <v>65.33</v>
      </c>
      <c r="R2609">
        <v>635517</v>
      </c>
    </row>
    <row r="2610" spans="1:18" x14ac:dyDescent="0.25">
      <c r="A2610" s="170">
        <v>45847</v>
      </c>
      <c r="B2610" s="116">
        <v>65.569999999999993</v>
      </c>
      <c r="C2610" s="116">
        <v>64.760000000000005</v>
      </c>
      <c r="D2610" s="116">
        <v>64.599999999999994</v>
      </c>
      <c r="E2610" s="116">
        <v>64.7</v>
      </c>
      <c r="F2610" s="116">
        <v>64.760000000000005</v>
      </c>
      <c r="G2610">
        <v>136160</v>
      </c>
      <c r="H2610" s="116"/>
      <c r="I2610" s="116"/>
      <c r="L2610" s="170">
        <v>45847</v>
      </c>
      <c r="M2610" s="116">
        <v>64.72</v>
      </c>
      <c r="N2610" s="116">
        <v>65.5</v>
      </c>
      <c r="O2610" s="116">
        <v>64.599999999999994</v>
      </c>
      <c r="P2610" s="116">
        <v>65.33</v>
      </c>
      <c r="Q2610" s="116">
        <v>64.72</v>
      </c>
      <c r="R2610">
        <v>657110</v>
      </c>
    </row>
    <row r="2611" spans="1:18" x14ac:dyDescent="0.25">
      <c r="A2611" s="170">
        <v>45848</v>
      </c>
      <c r="B2611" s="116">
        <v>65.7</v>
      </c>
      <c r="C2611" s="116">
        <v>65.099999999999994</v>
      </c>
      <c r="D2611" s="116">
        <v>64</v>
      </c>
      <c r="E2611" s="116">
        <v>64.3</v>
      </c>
      <c r="F2611" s="116">
        <v>65.099999999999994</v>
      </c>
      <c r="G2611">
        <v>132667</v>
      </c>
      <c r="H2611" s="116"/>
      <c r="I2611" s="116"/>
      <c r="L2611" s="170">
        <v>45848</v>
      </c>
      <c r="M2611" s="116">
        <v>65.14</v>
      </c>
      <c r="N2611" s="116">
        <v>65.45</v>
      </c>
      <c r="O2611" s="116">
        <v>64.5</v>
      </c>
      <c r="P2611" s="116">
        <v>64.900000000000006</v>
      </c>
      <c r="Q2611" s="116">
        <v>65.14</v>
      </c>
      <c r="R2611">
        <v>533690</v>
      </c>
    </row>
    <row r="2612" spans="1:18" x14ac:dyDescent="0.25">
      <c r="A2612" s="170">
        <v>45849</v>
      </c>
      <c r="B2612" s="116">
        <v>65.14</v>
      </c>
      <c r="C2612" s="116">
        <v>64.290000000000006</v>
      </c>
      <c r="D2612" s="116">
        <v>64</v>
      </c>
      <c r="E2612" s="116">
        <v>64.55</v>
      </c>
      <c r="F2612" s="116">
        <v>64.290000000000006</v>
      </c>
      <c r="G2612">
        <v>47532</v>
      </c>
      <c r="H2612" s="116"/>
      <c r="I2612" s="116"/>
      <c r="L2612" s="170">
        <v>45849</v>
      </c>
      <c r="M2612" s="116">
        <v>64.22</v>
      </c>
      <c r="N2612" s="116">
        <v>65</v>
      </c>
      <c r="O2612" s="116">
        <v>64</v>
      </c>
      <c r="P2612" s="116">
        <v>64.900000000000006</v>
      </c>
      <c r="Q2612" s="116">
        <v>64.22</v>
      </c>
      <c r="R2612">
        <v>569559</v>
      </c>
    </row>
    <row r="2613" spans="1:18" x14ac:dyDescent="0.25">
      <c r="A2613" s="170">
        <v>45852</v>
      </c>
      <c r="B2613" s="116">
        <v>64.989999999999995</v>
      </c>
      <c r="C2613" s="116">
        <v>64.53</v>
      </c>
      <c r="D2613" s="116">
        <v>63.36</v>
      </c>
      <c r="E2613" s="116">
        <v>64.290000000000006</v>
      </c>
      <c r="F2613" s="116">
        <v>64.53</v>
      </c>
      <c r="G2613">
        <v>172803</v>
      </c>
      <c r="H2613" s="116"/>
      <c r="I2613" s="116"/>
      <c r="L2613" s="170">
        <v>45852</v>
      </c>
      <c r="M2613" s="116">
        <v>64.510000000000005</v>
      </c>
      <c r="N2613" s="116">
        <v>64.84</v>
      </c>
      <c r="O2613" s="116">
        <v>63.58</v>
      </c>
      <c r="P2613" s="116">
        <v>64.400000000000006</v>
      </c>
      <c r="Q2613" s="116">
        <v>64.510000000000005</v>
      </c>
      <c r="R2613">
        <v>551719</v>
      </c>
    </row>
    <row r="2614" spans="1:18" x14ac:dyDescent="0.25">
      <c r="A2614" s="170">
        <v>45853</v>
      </c>
      <c r="B2614" s="116">
        <v>65.400000000000006</v>
      </c>
      <c r="C2614" s="116">
        <v>64.47</v>
      </c>
      <c r="D2614" s="116">
        <v>63.85</v>
      </c>
      <c r="E2614" s="116">
        <v>63.85</v>
      </c>
      <c r="F2614" s="116">
        <v>64.47</v>
      </c>
      <c r="G2614">
        <v>129936</v>
      </c>
      <c r="H2614" s="116"/>
      <c r="I2614" s="116"/>
      <c r="L2614" s="170">
        <v>45853</v>
      </c>
      <c r="M2614" s="116">
        <v>64.459999999999994</v>
      </c>
      <c r="N2614" s="116">
        <v>65.48</v>
      </c>
      <c r="O2614" s="116">
        <v>64.02</v>
      </c>
      <c r="P2614" s="116">
        <v>64.900000000000006</v>
      </c>
      <c r="Q2614" s="116">
        <v>64.459999999999994</v>
      </c>
      <c r="R2614">
        <v>573904</v>
      </c>
    </row>
    <row r="2615" spans="1:18" x14ac:dyDescent="0.25">
      <c r="A2615" s="170">
        <v>45854</v>
      </c>
      <c r="B2615" s="116">
        <v>65.39</v>
      </c>
      <c r="C2615" s="116">
        <v>64.28</v>
      </c>
      <c r="D2615" s="116">
        <v>63.81</v>
      </c>
      <c r="E2615" s="116">
        <v>64.2</v>
      </c>
      <c r="F2615" s="116">
        <v>64.28</v>
      </c>
      <c r="G2615">
        <v>152770</v>
      </c>
      <c r="H2615" s="116"/>
      <c r="I2615" s="116"/>
      <c r="L2615" s="170">
        <v>45854</v>
      </c>
      <c r="M2615" s="116">
        <v>64.239999999999995</v>
      </c>
      <c r="N2615" s="116">
        <v>64.88</v>
      </c>
      <c r="O2615" s="116">
        <v>64</v>
      </c>
      <c r="P2615" s="116">
        <v>64.78</v>
      </c>
      <c r="Q2615" s="116">
        <v>64.239999999999995</v>
      </c>
      <c r="R2615">
        <v>435839</v>
      </c>
    </row>
    <row r="2616" spans="1:18" x14ac:dyDescent="0.25">
      <c r="A2616" s="170">
        <v>45855</v>
      </c>
      <c r="B2616" s="116">
        <v>64.98</v>
      </c>
      <c r="C2616" s="116">
        <v>64.040000000000006</v>
      </c>
      <c r="D2616" s="116">
        <v>64</v>
      </c>
      <c r="E2616" s="116">
        <v>64.7</v>
      </c>
      <c r="F2616" s="116">
        <v>64.040000000000006</v>
      </c>
      <c r="G2616">
        <v>133675</v>
      </c>
      <c r="H2616" s="116"/>
      <c r="I2616" s="116"/>
      <c r="L2616" s="170">
        <v>45855</v>
      </c>
      <c r="M2616" s="116">
        <v>64.05</v>
      </c>
      <c r="N2616" s="116">
        <v>64.900000000000006</v>
      </c>
      <c r="O2616" s="116">
        <v>64</v>
      </c>
      <c r="P2616" s="116">
        <v>64.3</v>
      </c>
      <c r="Q2616" s="116">
        <v>64.05</v>
      </c>
      <c r="R2616">
        <v>459134</v>
      </c>
    </row>
    <row r="2617" spans="1:18" x14ac:dyDescent="0.25">
      <c r="A2617" s="170">
        <v>45856</v>
      </c>
      <c r="B2617" s="116">
        <v>64.489999999999995</v>
      </c>
      <c r="C2617" s="116">
        <v>62.83</v>
      </c>
      <c r="D2617" s="116">
        <v>62.01</v>
      </c>
      <c r="E2617" s="116">
        <v>63.35</v>
      </c>
      <c r="F2617" s="116">
        <v>62.83</v>
      </c>
      <c r="G2617">
        <v>101155</v>
      </c>
      <c r="H2617" s="116"/>
      <c r="I2617" s="116"/>
      <c r="L2617" s="170">
        <v>45856</v>
      </c>
      <c r="M2617" s="116">
        <v>62.57</v>
      </c>
      <c r="N2617" s="116">
        <v>64.400000000000006</v>
      </c>
      <c r="O2617" s="116">
        <v>62.4</v>
      </c>
      <c r="P2617" s="116">
        <v>64.05</v>
      </c>
      <c r="Q2617" s="116">
        <v>62.57</v>
      </c>
      <c r="R2617">
        <v>1064471</v>
      </c>
    </row>
    <row r="2618" spans="1:18" x14ac:dyDescent="0.25">
      <c r="A2618" s="170">
        <v>45859</v>
      </c>
      <c r="B2618" s="116">
        <v>63.51</v>
      </c>
      <c r="C2618" s="116">
        <v>62.9</v>
      </c>
      <c r="D2618" s="116">
        <v>62.5</v>
      </c>
      <c r="E2618" s="116">
        <v>63</v>
      </c>
      <c r="F2618" s="116">
        <v>62.9</v>
      </c>
      <c r="G2618">
        <v>131151</v>
      </c>
      <c r="H2618" s="116"/>
      <c r="I2618" s="116"/>
      <c r="L2618" s="170">
        <v>45859</v>
      </c>
      <c r="M2618" s="116">
        <v>62.78</v>
      </c>
      <c r="N2618" s="116">
        <v>63.49</v>
      </c>
      <c r="O2618" s="116">
        <v>62.61</v>
      </c>
      <c r="P2618" s="116">
        <v>63.35</v>
      </c>
      <c r="Q2618" s="116">
        <v>62.78</v>
      </c>
      <c r="R2618">
        <v>495161</v>
      </c>
    </row>
    <row r="2619" spans="1:18" x14ac:dyDescent="0.25">
      <c r="A2619" s="170">
        <v>45860</v>
      </c>
      <c r="B2619" s="116">
        <v>63.5</v>
      </c>
      <c r="C2619" s="116">
        <v>62.64</v>
      </c>
      <c r="D2619" s="116">
        <v>62.55</v>
      </c>
      <c r="E2619" s="116">
        <v>62.6</v>
      </c>
      <c r="F2619" s="116">
        <v>62.64</v>
      </c>
      <c r="G2619">
        <v>137431</v>
      </c>
      <c r="H2619" s="116"/>
      <c r="I2619" s="116"/>
      <c r="L2619" s="170">
        <v>45860</v>
      </c>
      <c r="M2619" s="116">
        <v>62.64</v>
      </c>
      <c r="N2619" s="116">
        <v>63.38</v>
      </c>
      <c r="O2619" s="116">
        <v>62.55</v>
      </c>
      <c r="P2619" s="116">
        <v>63.38</v>
      </c>
      <c r="Q2619" s="116">
        <v>62.64</v>
      </c>
      <c r="R2619">
        <v>419171</v>
      </c>
    </row>
    <row r="2620" spans="1:18" x14ac:dyDescent="0.25">
      <c r="A2620" s="170">
        <v>45861</v>
      </c>
      <c r="B2620" s="116">
        <v>65.5</v>
      </c>
      <c r="C2620" s="116">
        <v>63.72</v>
      </c>
      <c r="D2620" s="116">
        <v>62.65</v>
      </c>
      <c r="E2620" s="116">
        <v>62.65</v>
      </c>
      <c r="F2620" s="116">
        <v>63.72</v>
      </c>
      <c r="G2620">
        <v>452603</v>
      </c>
      <c r="H2620" s="116"/>
      <c r="I2620" s="116"/>
      <c r="L2620" s="170">
        <v>45861</v>
      </c>
      <c r="M2620" s="116">
        <v>63.59</v>
      </c>
      <c r="N2620" s="116">
        <v>65.55</v>
      </c>
      <c r="O2620" s="116">
        <v>62.9</v>
      </c>
      <c r="P2620" s="116">
        <v>63</v>
      </c>
      <c r="Q2620" s="116">
        <v>63.59</v>
      </c>
      <c r="R2620">
        <v>1855121</v>
      </c>
    </row>
    <row r="2621" spans="1:18" x14ac:dyDescent="0.25">
      <c r="A2621" s="170">
        <v>45862</v>
      </c>
      <c r="B2621" s="116">
        <v>64.400000000000006</v>
      </c>
      <c r="C2621" s="116">
        <v>63.04</v>
      </c>
      <c r="D2621" s="116">
        <v>62.8</v>
      </c>
      <c r="E2621" s="116">
        <v>63.72</v>
      </c>
      <c r="F2621" s="116">
        <v>63.04</v>
      </c>
      <c r="G2621">
        <v>188734</v>
      </c>
      <c r="H2621" s="116"/>
      <c r="I2621" s="116"/>
      <c r="L2621" s="170">
        <v>45862</v>
      </c>
      <c r="M2621" s="116">
        <v>62.96</v>
      </c>
      <c r="N2621" s="116">
        <v>64.599999999999994</v>
      </c>
      <c r="O2621" s="116">
        <v>62.9</v>
      </c>
      <c r="P2621" s="116">
        <v>64.39</v>
      </c>
      <c r="Q2621" s="116">
        <v>62.96</v>
      </c>
      <c r="R2621">
        <v>610403</v>
      </c>
    </row>
    <row r="2622" spans="1:18" x14ac:dyDescent="0.25">
      <c r="A2622" s="170">
        <v>45863</v>
      </c>
      <c r="B2622" s="116">
        <v>63.7</v>
      </c>
      <c r="C2622" s="116">
        <v>61.59</v>
      </c>
      <c r="D2622" s="116">
        <v>61.11</v>
      </c>
      <c r="E2622" s="116">
        <v>62.65</v>
      </c>
      <c r="F2622" s="116">
        <v>61.59</v>
      </c>
      <c r="G2622">
        <v>265232</v>
      </c>
      <c r="H2622" s="116"/>
      <c r="I2622" s="116"/>
      <c r="L2622" s="170">
        <v>45863</v>
      </c>
      <c r="M2622" s="116">
        <v>61.55</v>
      </c>
      <c r="N2622" s="116">
        <v>62.96</v>
      </c>
      <c r="O2622" s="116">
        <v>61.1</v>
      </c>
      <c r="P2622" s="116">
        <v>62.9</v>
      </c>
      <c r="Q2622" s="116">
        <v>61.55</v>
      </c>
      <c r="R2622">
        <v>904643</v>
      </c>
    </row>
    <row r="2623" spans="1:18" x14ac:dyDescent="0.25">
      <c r="A2623" s="170">
        <v>45866</v>
      </c>
      <c r="B2623" s="116">
        <v>62</v>
      </c>
      <c r="C2623" s="116">
        <v>60.43</v>
      </c>
      <c r="D2623" s="116">
        <v>60.1</v>
      </c>
      <c r="E2623" s="116">
        <v>61</v>
      </c>
      <c r="F2623" s="116">
        <v>60.43</v>
      </c>
      <c r="G2623">
        <v>198185</v>
      </c>
      <c r="H2623" s="116"/>
      <c r="I2623" s="116"/>
      <c r="L2623" s="170">
        <v>45866</v>
      </c>
      <c r="M2623" s="116">
        <v>60.42</v>
      </c>
      <c r="N2623" s="116">
        <v>61.98</v>
      </c>
      <c r="O2623" s="116">
        <v>60.1</v>
      </c>
      <c r="P2623" s="116">
        <v>61.98</v>
      </c>
      <c r="Q2623" s="116">
        <v>60.42</v>
      </c>
      <c r="R2623">
        <v>496560</v>
      </c>
    </row>
    <row r="2624" spans="1:18" x14ac:dyDescent="0.25">
      <c r="A2624" s="170">
        <v>45867</v>
      </c>
      <c r="B2624" s="116">
        <v>61.5</v>
      </c>
      <c r="C2624" s="116">
        <v>60.44</v>
      </c>
      <c r="D2624" s="116">
        <v>59.8</v>
      </c>
      <c r="E2624" s="116">
        <v>60</v>
      </c>
      <c r="F2624" s="116">
        <v>60.44</v>
      </c>
      <c r="G2624">
        <v>212850</v>
      </c>
      <c r="H2624" s="116"/>
      <c r="I2624" s="116"/>
      <c r="L2624" s="170">
        <v>45867</v>
      </c>
      <c r="M2624" s="116">
        <v>60.53</v>
      </c>
      <c r="N2624" s="116">
        <v>61</v>
      </c>
      <c r="O2624" s="116">
        <v>59.6</v>
      </c>
      <c r="P2624" s="116">
        <v>60.42</v>
      </c>
      <c r="Q2624" s="116">
        <v>60.53</v>
      </c>
      <c r="R2624">
        <v>513917</v>
      </c>
    </row>
    <row r="2625" spans="1:18" x14ac:dyDescent="0.25">
      <c r="A2625" s="170">
        <v>45868</v>
      </c>
      <c r="B2625" s="116">
        <v>60.94</v>
      </c>
      <c r="C2625" s="116">
        <v>59.78</v>
      </c>
      <c r="D2625" s="116">
        <v>59.5</v>
      </c>
      <c r="E2625" s="116">
        <v>60.94</v>
      </c>
      <c r="F2625" s="116">
        <v>59.78</v>
      </c>
      <c r="G2625">
        <v>64604</v>
      </c>
      <c r="H2625" s="116"/>
      <c r="I2625" s="116"/>
      <c r="L2625" s="170">
        <v>45868</v>
      </c>
      <c r="M2625" s="116">
        <v>59.64</v>
      </c>
      <c r="N2625" s="116">
        <v>60.98</v>
      </c>
      <c r="O2625" s="116">
        <v>59.5</v>
      </c>
      <c r="P2625" s="116">
        <v>60.3</v>
      </c>
      <c r="Q2625" s="116">
        <v>59.64</v>
      </c>
      <c r="R2625">
        <v>517341</v>
      </c>
    </row>
    <row r="2626" spans="1:18" x14ac:dyDescent="0.25">
      <c r="A2626" s="170">
        <v>45869</v>
      </c>
      <c r="B2626" s="116">
        <v>60.99</v>
      </c>
      <c r="C2626" s="116">
        <v>59.2</v>
      </c>
      <c r="D2626" s="116">
        <v>58.15</v>
      </c>
      <c r="E2626" s="116">
        <v>59</v>
      </c>
      <c r="F2626" s="116">
        <v>59.2</v>
      </c>
      <c r="G2626">
        <v>189558</v>
      </c>
      <c r="H2626" s="116"/>
      <c r="I2626" s="116"/>
      <c r="L2626" s="170">
        <v>45869</v>
      </c>
      <c r="M2626" s="116">
        <v>59.15</v>
      </c>
      <c r="N2626" s="116">
        <v>60.91</v>
      </c>
      <c r="O2626" s="116">
        <v>57.65</v>
      </c>
      <c r="P2626" s="116">
        <v>59.35</v>
      </c>
      <c r="Q2626" s="116">
        <v>59.15</v>
      </c>
      <c r="R2626">
        <v>491862</v>
      </c>
    </row>
    <row r="2627" spans="1:18" x14ac:dyDescent="0.25">
      <c r="A2627" s="170">
        <v>45870</v>
      </c>
      <c r="B2627" s="116">
        <v>60.39</v>
      </c>
      <c r="C2627" s="116">
        <v>58.88</v>
      </c>
      <c r="D2627" s="116">
        <v>58.3</v>
      </c>
      <c r="E2627" s="116">
        <v>58.3</v>
      </c>
      <c r="F2627" s="116">
        <v>58.88</v>
      </c>
      <c r="G2627">
        <v>146561</v>
      </c>
      <c r="H2627" s="116"/>
      <c r="I2627" s="116"/>
      <c r="L2627" s="170">
        <v>45870</v>
      </c>
      <c r="M2627" s="116">
        <v>58.76</v>
      </c>
      <c r="N2627" s="116">
        <v>60</v>
      </c>
      <c r="O2627" s="116">
        <v>58.3</v>
      </c>
      <c r="P2627" s="116">
        <v>58.86</v>
      </c>
      <c r="Q2627" s="116">
        <v>58.76</v>
      </c>
      <c r="R2627">
        <v>509161</v>
      </c>
    </row>
    <row r="2628" spans="1:18" x14ac:dyDescent="0.25">
      <c r="A2628" s="170">
        <v>45873</v>
      </c>
      <c r="B2628" s="116">
        <v>60.23</v>
      </c>
      <c r="C2628" s="116">
        <v>59.07</v>
      </c>
      <c r="D2628" s="116">
        <v>57</v>
      </c>
      <c r="E2628" s="116">
        <v>58.31</v>
      </c>
      <c r="F2628" s="116">
        <v>59.07</v>
      </c>
      <c r="G2628">
        <v>265865</v>
      </c>
      <c r="H2628" s="116"/>
      <c r="I2628" s="116"/>
      <c r="L2628" s="170">
        <v>45873</v>
      </c>
      <c r="M2628" s="116">
        <v>58.47</v>
      </c>
      <c r="N2628" s="116">
        <v>59.4</v>
      </c>
      <c r="O2628" s="116">
        <v>57.31</v>
      </c>
      <c r="P2628" s="116">
        <v>58.75</v>
      </c>
      <c r="Q2628" s="116">
        <v>58.47</v>
      </c>
      <c r="R2628">
        <v>640085</v>
      </c>
    </row>
    <row r="2629" spans="1:18" x14ac:dyDescent="0.25">
      <c r="A2629" s="170">
        <v>45874</v>
      </c>
      <c r="B2629" s="116">
        <v>58.99</v>
      </c>
      <c r="C2629" s="116">
        <v>57.85</v>
      </c>
      <c r="D2629" s="116">
        <v>57.68</v>
      </c>
      <c r="E2629" s="116">
        <v>58.47</v>
      </c>
      <c r="F2629" s="116">
        <v>57.85</v>
      </c>
      <c r="G2629">
        <v>143903</v>
      </c>
      <c r="H2629" s="116"/>
      <c r="I2629" s="116"/>
      <c r="L2629" s="170">
        <v>45874</v>
      </c>
      <c r="M2629" s="116">
        <v>57.81</v>
      </c>
      <c r="N2629" s="116">
        <v>59.5</v>
      </c>
      <c r="O2629" s="116">
        <v>57.62</v>
      </c>
      <c r="P2629" s="116">
        <v>58.46</v>
      </c>
      <c r="Q2629" s="116">
        <v>57.81</v>
      </c>
      <c r="R2629">
        <v>426418</v>
      </c>
    </row>
    <row r="2630" spans="1:18" x14ac:dyDescent="0.25">
      <c r="A2630" s="170">
        <v>45875</v>
      </c>
      <c r="B2630" s="116">
        <v>58.45</v>
      </c>
      <c r="C2630" s="116">
        <v>57.14</v>
      </c>
      <c r="D2630" s="116">
        <v>56.75</v>
      </c>
      <c r="E2630" s="116">
        <v>57.5</v>
      </c>
      <c r="F2630" s="116">
        <v>57.14</v>
      </c>
      <c r="G2630">
        <v>146227</v>
      </c>
      <c r="H2630" s="116"/>
      <c r="I2630" s="116"/>
      <c r="L2630" s="170">
        <v>45875</v>
      </c>
      <c r="M2630" s="116">
        <v>57.1</v>
      </c>
      <c r="N2630" s="116">
        <v>58.4</v>
      </c>
      <c r="O2630" s="116">
        <v>56.25</v>
      </c>
      <c r="P2630" s="116">
        <v>57.85</v>
      </c>
      <c r="Q2630" s="116">
        <v>57.1</v>
      </c>
      <c r="R2630">
        <v>396068</v>
      </c>
    </row>
    <row r="2631" spans="1:18" x14ac:dyDescent="0.25">
      <c r="A2631" s="170">
        <v>45876</v>
      </c>
      <c r="B2631" s="116">
        <v>58</v>
      </c>
      <c r="C2631" s="116">
        <v>57.02</v>
      </c>
      <c r="D2631" s="116">
        <v>55.11</v>
      </c>
      <c r="E2631" s="116">
        <v>56</v>
      </c>
      <c r="F2631" s="116">
        <v>57.02</v>
      </c>
      <c r="G2631">
        <v>206923</v>
      </c>
      <c r="H2631" s="116"/>
      <c r="I2631" s="116"/>
      <c r="L2631" s="170">
        <v>45876</v>
      </c>
      <c r="M2631" s="116">
        <v>57.13</v>
      </c>
      <c r="N2631" s="116">
        <v>58</v>
      </c>
      <c r="O2631" s="116">
        <v>55.9</v>
      </c>
      <c r="P2631" s="116">
        <v>57.2</v>
      </c>
      <c r="Q2631" s="116">
        <v>57.13</v>
      </c>
      <c r="R2631">
        <v>560486</v>
      </c>
    </row>
    <row r="2632" spans="1:18" x14ac:dyDescent="0.25">
      <c r="A2632" s="170">
        <v>45877</v>
      </c>
      <c r="B2632" s="116">
        <v>58.98</v>
      </c>
      <c r="C2632" s="116">
        <v>57.59</v>
      </c>
      <c r="D2632" s="116">
        <v>57.16</v>
      </c>
      <c r="E2632" s="116">
        <v>58.4</v>
      </c>
      <c r="F2632" s="116">
        <v>57.59</v>
      </c>
      <c r="G2632">
        <v>99605</v>
      </c>
      <c r="H2632" s="116"/>
      <c r="I2632" s="116"/>
      <c r="L2632" s="170">
        <v>45877</v>
      </c>
      <c r="M2632" s="116">
        <v>57.56</v>
      </c>
      <c r="N2632" s="116">
        <v>59</v>
      </c>
      <c r="O2632" s="116">
        <v>57.16</v>
      </c>
      <c r="P2632" s="116">
        <v>58.1</v>
      </c>
      <c r="Q2632" s="116">
        <v>57.56</v>
      </c>
      <c r="R2632">
        <v>538375</v>
      </c>
    </row>
    <row r="2633" spans="1:18" x14ac:dyDescent="0.25">
      <c r="A2633" s="170">
        <v>45880</v>
      </c>
      <c r="B2633" s="116">
        <v>58</v>
      </c>
      <c r="C2633" s="116">
        <v>57.72</v>
      </c>
      <c r="D2633" s="116">
        <v>56.67</v>
      </c>
      <c r="E2633" s="116">
        <v>57.59</v>
      </c>
      <c r="F2633" s="116">
        <v>57.72</v>
      </c>
      <c r="G2633">
        <v>106672</v>
      </c>
      <c r="H2633" s="116"/>
      <c r="I2633" s="116"/>
      <c r="L2633" s="170">
        <v>45880</v>
      </c>
      <c r="M2633" s="116">
        <v>57.7</v>
      </c>
      <c r="N2633" s="116">
        <v>58</v>
      </c>
      <c r="O2633" s="116">
        <v>57.3</v>
      </c>
      <c r="P2633" s="116">
        <v>57.5</v>
      </c>
      <c r="Q2633" s="116">
        <v>57.7</v>
      </c>
      <c r="R2633">
        <v>455226</v>
      </c>
    </row>
    <row r="2634" spans="1:18" x14ac:dyDescent="0.25">
      <c r="A2634" s="170">
        <v>45881</v>
      </c>
      <c r="B2634" s="116">
        <v>60.6</v>
      </c>
      <c r="C2634" s="116">
        <v>59.03</v>
      </c>
      <c r="D2634" s="116">
        <v>57.02</v>
      </c>
      <c r="E2634" s="116">
        <v>58</v>
      </c>
      <c r="F2634" s="116">
        <v>59.03</v>
      </c>
      <c r="G2634">
        <v>254104</v>
      </c>
      <c r="H2634" s="116"/>
      <c r="I2634" s="116"/>
      <c r="L2634" s="170">
        <v>45881</v>
      </c>
      <c r="M2634" s="116">
        <v>59.14</v>
      </c>
      <c r="N2634" s="116">
        <v>59.99</v>
      </c>
      <c r="O2634" s="116">
        <v>57.5</v>
      </c>
      <c r="P2634" s="116">
        <v>57.71</v>
      </c>
      <c r="Q2634" s="116">
        <v>59.14</v>
      </c>
      <c r="R2634">
        <v>603252</v>
      </c>
    </row>
    <row r="2635" spans="1:18" x14ac:dyDescent="0.25">
      <c r="A2635" s="170">
        <v>45882</v>
      </c>
      <c r="B2635" s="116">
        <v>59.87</v>
      </c>
      <c r="C2635" s="116">
        <v>58.74</v>
      </c>
      <c r="D2635" s="116">
        <v>58.15</v>
      </c>
      <c r="E2635" s="116">
        <v>59.05</v>
      </c>
      <c r="F2635" s="116">
        <v>58.74</v>
      </c>
      <c r="G2635">
        <v>53263</v>
      </c>
      <c r="H2635" s="116"/>
      <c r="I2635" s="116"/>
      <c r="L2635" s="170">
        <v>45882</v>
      </c>
      <c r="M2635" s="116">
        <v>58.82</v>
      </c>
      <c r="N2635" s="116">
        <v>59.5</v>
      </c>
      <c r="O2635" s="116">
        <v>58.26</v>
      </c>
      <c r="P2635" s="116">
        <v>59.14</v>
      </c>
      <c r="Q2635" s="116">
        <v>58.82</v>
      </c>
      <c r="R2635">
        <v>406747</v>
      </c>
    </row>
    <row r="2636" spans="1:18" x14ac:dyDescent="0.25">
      <c r="A2636" s="170">
        <v>45883</v>
      </c>
      <c r="B2636" s="116">
        <v>58.85</v>
      </c>
      <c r="C2636" s="116">
        <v>58.08</v>
      </c>
      <c r="D2636" s="116">
        <v>57.26</v>
      </c>
      <c r="E2636" s="116">
        <v>58.05</v>
      </c>
      <c r="F2636" s="116">
        <v>58.08</v>
      </c>
      <c r="G2636">
        <v>55492</v>
      </c>
      <c r="H2636" s="116"/>
      <c r="I2636" s="116"/>
      <c r="L2636" s="170">
        <v>45883</v>
      </c>
      <c r="M2636" s="116">
        <v>58.16</v>
      </c>
      <c r="N2636" s="116">
        <v>59</v>
      </c>
      <c r="O2636" s="116">
        <v>57.4</v>
      </c>
      <c r="P2636" s="116">
        <v>59</v>
      </c>
      <c r="Q2636" s="116">
        <v>58.16</v>
      </c>
      <c r="R2636">
        <v>398183</v>
      </c>
    </row>
    <row r="2637" spans="1:18" x14ac:dyDescent="0.25">
      <c r="A2637" s="170">
        <v>45887</v>
      </c>
      <c r="B2637" s="116">
        <v>60</v>
      </c>
      <c r="C2637" s="116">
        <v>58.65</v>
      </c>
      <c r="D2637" s="116">
        <v>57.26</v>
      </c>
      <c r="E2637" s="116">
        <v>58.5</v>
      </c>
      <c r="F2637" s="116">
        <v>58.65</v>
      </c>
      <c r="G2637">
        <v>53144</v>
      </c>
      <c r="H2637" s="116"/>
      <c r="I2637" s="116"/>
      <c r="L2637" s="170">
        <v>45887</v>
      </c>
      <c r="M2637" s="116">
        <v>58.7</v>
      </c>
      <c r="N2637" s="116">
        <v>59.2</v>
      </c>
      <c r="O2637" s="116">
        <v>58.16</v>
      </c>
      <c r="P2637" s="116">
        <v>58.16</v>
      </c>
      <c r="Q2637" s="116">
        <v>58.7</v>
      </c>
      <c r="R2637">
        <v>577336</v>
      </c>
    </row>
    <row r="2638" spans="1:18" x14ac:dyDescent="0.25">
      <c r="A2638" s="170">
        <v>45888</v>
      </c>
      <c r="B2638" s="116">
        <v>59.8</v>
      </c>
      <c r="C2638" s="116">
        <v>58.96</v>
      </c>
      <c r="D2638" s="116">
        <v>58.5</v>
      </c>
      <c r="E2638" s="116">
        <v>58.51</v>
      </c>
      <c r="F2638" s="116">
        <v>58.96</v>
      </c>
      <c r="G2638">
        <v>87258</v>
      </c>
      <c r="H2638" s="116"/>
      <c r="I2638" s="116"/>
      <c r="L2638" s="170">
        <v>45888</v>
      </c>
      <c r="M2638" s="116">
        <v>59.2</v>
      </c>
      <c r="N2638" s="116">
        <v>60</v>
      </c>
      <c r="O2638" s="116">
        <v>58.5</v>
      </c>
      <c r="P2638" s="116">
        <v>59</v>
      </c>
      <c r="Q2638" s="116">
        <v>59.2</v>
      </c>
      <c r="R2638">
        <v>540873</v>
      </c>
    </row>
    <row r="2639" spans="1:18" x14ac:dyDescent="0.25">
      <c r="A2639" s="170">
        <v>45889</v>
      </c>
      <c r="B2639" s="116">
        <v>60.68</v>
      </c>
      <c r="C2639" s="116">
        <v>59.19</v>
      </c>
      <c r="D2639" s="116">
        <v>58.53</v>
      </c>
      <c r="E2639" s="116">
        <v>58.53</v>
      </c>
      <c r="F2639" s="116">
        <v>59.19</v>
      </c>
      <c r="G2639">
        <v>78831</v>
      </c>
      <c r="H2639" s="116"/>
      <c r="I2639" s="116"/>
      <c r="L2639" s="170">
        <v>45889</v>
      </c>
      <c r="M2639" s="116">
        <v>58.89</v>
      </c>
      <c r="N2639" s="116">
        <v>60.89</v>
      </c>
      <c r="O2639" s="116">
        <v>58.5</v>
      </c>
      <c r="P2639" s="116">
        <v>59</v>
      </c>
      <c r="Q2639" s="116">
        <v>58.89</v>
      </c>
      <c r="R2639">
        <v>763513</v>
      </c>
    </row>
    <row r="2640" spans="1:18" x14ac:dyDescent="0.25">
      <c r="A2640" s="170">
        <v>45890</v>
      </c>
      <c r="B2640" s="116">
        <v>60.1</v>
      </c>
      <c r="C2640" s="116">
        <v>58.64</v>
      </c>
      <c r="D2640" s="116">
        <v>58.16</v>
      </c>
      <c r="E2640" s="116">
        <v>59.55</v>
      </c>
      <c r="F2640" s="116">
        <v>58.64</v>
      </c>
      <c r="G2640">
        <v>145400</v>
      </c>
      <c r="H2640" s="116"/>
      <c r="I2640" s="116"/>
      <c r="L2640" s="170">
        <v>45890</v>
      </c>
      <c r="M2640" s="116">
        <v>58.54</v>
      </c>
      <c r="N2640" s="116">
        <v>59.95</v>
      </c>
      <c r="O2640" s="116">
        <v>58.5</v>
      </c>
      <c r="P2640" s="116">
        <v>59.8</v>
      </c>
      <c r="Q2640" s="116">
        <v>58.54</v>
      </c>
      <c r="R2640">
        <v>511017</v>
      </c>
    </row>
    <row r="2641" spans="1:18" x14ac:dyDescent="0.25">
      <c r="A2641" s="170">
        <v>45891</v>
      </c>
      <c r="B2641" s="116">
        <v>59.5</v>
      </c>
      <c r="C2641" s="116">
        <v>58.89</v>
      </c>
      <c r="D2641" s="116">
        <v>57.55</v>
      </c>
      <c r="E2641" s="116">
        <v>58.85</v>
      </c>
      <c r="F2641" s="116">
        <v>58.89</v>
      </c>
      <c r="G2641">
        <v>171416</v>
      </c>
      <c r="H2641" s="116"/>
      <c r="I2641" s="116"/>
      <c r="L2641" s="170">
        <v>45891</v>
      </c>
      <c r="M2641" s="116">
        <v>59.04</v>
      </c>
      <c r="N2641" s="116">
        <v>59.74</v>
      </c>
      <c r="O2641" s="116">
        <v>57.81</v>
      </c>
      <c r="P2641" s="116">
        <v>58.45</v>
      </c>
      <c r="Q2641" s="116">
        <v>59.04</v>
      </c>
      <c r="R2641">
        <v>486478</v>
      </c>
    </row>
    <row r="2642" spans="1:18" x14ac:dyDescent="0.25">
      <c r="A2642" s="170">
        <v>45894</v>
      </c>
      <c r="B2642" s="116">
        <v>59.74</v>
      </c>
      <c r="C2642" s="116">
        <v>58.21</v>
      </c>
      <c r="D2642" s="116">
        <v>58</v>
      </c>
      <c r="E2642" s="116">
        <v>58.5</v>
      </c>
      <c r="F2642" s="116">
        <v>58.21</v>
      </c>
      <c r="G2642">
        <v>63177</v>
      </c>
      <c r="H2642" s="116"/>
      <c r="I2642" s="116"/>
      <c r="L2642" s="170">
        <v>45894</v>
      </c>
      <c r="M2642" s="116">
        <v>58.14</v>
      </c>
      <c r="N2642" s="116">
        <v>59.04</v>
      </c>
      <c r="O2642" s="116">
        <v>58</v>
      </c>
      <c r="P2642" s="116">
        <v>59.04</v>
      </c>
      <c r="Q2642" s="116">
        <v>58.14</v>
      </c>
      <c r="R2642">
        <v>401915</v>
      </c>
    </row>
    <row r="2643" spans="1:18" x14ac:dyDescent="0.25">
      <c r="A2643" s="170">
        <v>45895</v>
      </c>
      <c r="B2643" s="116">
        <v>58.87</v>
      </c>
      <c r="C2643" s="116">
        <v>57.35</v>
      </c>
      <c r="D2643" s="116">
        <v>57</v>
      </c>
      <c r="E2643" s="116">
        <v>57.5</v>
      </c>
      <c r="F2643" s="116">
        <v>57.35</v>
      </c>
      <c r="G2643">
        <v>148801</v>
      </c>
      <c r="H2643" s="116"/>
      <c r="I2643" s="116"/>
      <c r="L2643" s="170">
        <v>45895</v>
      </c>
      <c r="M2643" s="116">
        <v>57.14</v>
      </c>
      <c r="N2643" s="116">
        <v>58.59</v>
      </c>
      <c r="O2643" s="116">
        <v>57</v>
      </c>
      <c r="P2643" s="116">
        <v>58.14</v>
      </c>
      <c r="Q2643" s="116">
        <v>57.14</v>
      </c>
      <c r="R2643">
        <v>642492</v>
      </c>
    </row>
    <row r="2644" spans="1:18" x14ac:dyDescent="0.25">
      <c r="A2644" s="170">
        <v>45897</v>
      </c>
      <c r="B2644" s="116">
        <v>57.87</v>
      </c>
      <c r="C2644" s="116">
        <v>56.17</v>
      </c>
      <c r="D2644" s="116">
        <v>56</v>
      </c>
      <c r="E2644" s="116">
        <v>56.1</v>
      </c>
      <c r="F2644" s="116">
        <v>56.17</v>
      </c>
      <c r="G2644">
        <v>161103</v>
      </c>
      <c r="H2644" s="116"/>
      <c r="I2644" s="116"/>
      <c r="L2644" s="170">
        <v>45897</v>
      </c>
      <c r="M2644" s="116">
        <v>56.22</v>
      </c>
      <c r="N2644" s="116">
        <v>57.8</v>
      </c>
      <c r="O2644" s="116">
        <v>56</v>
      </c>
      <c r="P2644" s="116">
        <v>56.15</v>
      </c>
      <c r="Q2644" s="116">
        <v>56.22</v>
      </c>
      <c r="R2644">
        <v>503472</v>
      </c>
    </row>
    <row r="2645" spans="1:18" x14ac:dyDescent="0.25">
      <c r="A2645" s="170">
        <v>45898</v>
      </c>
      <c r="B2645" s="116">
        <v>56.94</v>
      </c>
      <c r="C2645" s="116">
        <v>56.12</v>
      </c>
      <c r="D2645" s="116">
        <v>55.99</v>
      </c>
      <c r="E2645" s="116">
        <v>56.7</v>
      </c>
      <c r="F2645" s="116">
        <v>56.12</v>
      </c>
      <c r="G2645">
        <v>47943</v>
      </c>
      <c r="H2645" s="116"/>
      <c r="I2645" s="116"/>
      <c r="L2645" s="170">
        <v>45898</v>
      </c>
      <c r="M2645" s="116">
        <v>56.1</v>
      </c>
      <c r="N2645" s="116">
        <v>57</v>
      </c>
      <c r="O2645" s="116">
        <v>55.94</v>
      </c>
      <c r="P2645" s="116">
        <v>56.25</v>
      </c>
      <c r="Q2645" s="116">
        <v>56.1</v>
      </c>
      <c r="R2645">
        <v>437094</v>
      </c>
    </row>
    <row r="2646" spans="1:18" x14ac:dyDescent="0.25">
      <c r="A2646" s="170">
        <v>45901</v>
      </c>
      <c r="B2646" s="116">
        <v>56.98</v>
      </c>
      <c r="C2646" s="116">
        <v>55.97</v>
      </c>
      <c r="D2646" s="116">
        <v>55.26</v>
      </c>
      <c r="E2646" s="116">
        <v>56.01</v>
      </c>
      <c r="F2646" s="116">
        <v>55.97</v>
      </c>
      <c r="G2646">
        <v>144234</v>
      </c>
      <c r="H2646" s="116"/>
      <c r="I2646" s="116"/>
      <c r="L2646" s="170">
        <v>45901</v>
      </c>
      <c r="M2646" s="116">
        <v>55.96</v>
      </c>
      <c r="N2646" s="116">
        <v>56.64</v>
      </c>
      <c r="O2646" s="116">
        <v>55.75</v>
      </c>
      <c r="P2646" s="116">
        <v>56.1</v>
      </c>
      <c r="Q2646" s="116">
        <v>55.96</v>
      </c>
      <c r="R2646">
        <v>500300</v>
      </c>
    </row>
    <row r="2647" spans="1:18" x14ac:dyDescent="0.25">
      <c r="A2647" s="170">
        <v>45902</v>
      </c>
      <c r="B2647" s="116">
        <v>58.76</v>
      </c>
      <c r="C2647" s="116">
        <v>58.76</v>
      </c>
      <c r="D2647" s="116">
        <v>55.5</v>
      </c>
      <c r="E2647" s="116">
        <v>55.5</v>
      </c>
      <c r="F2647" s="116">
        <v>58.76</v>
      </c>
      <c r="G2647">
        <v>298570</v>
      </c>
      <c r="H2647" s="116"/>
      <c r="I2647" s="116"/>
      <c r="L2647" s="170">
        <v>45902</v>
      </c>
      <c r="M2647" s="116">
        <v>58.75</v>
      </c>
      <c r="N2647" s="116">
        <v>58.75</v>
      </c>
      <c r="O2647" s="116">
        <v>56</v>
      </c>
      <c r="P2647" s="116">
        <v>56.4</v>
      </c>
      <c r="Q2647" s="116">
        <v>58.75</v>
      </c>
      <c r="R2647">
        <v>739861</v>
      </c>
    </row>
    <row r="2648" spans="1:18" x14ac:dyDescent="0.25">
      <c r="A2648" s="170">
        <v>45903</v>
      </c>
      <c r="B2648" s="116">
        <v>58.76</v>
      </c>
      <c r="C2648" s="116">
        <v>57.94</v>
      </c>
      <c r="D2648" s="116">
        <v>57</v>
      </c>
      <c r="E2648" s="116">
        <v>58</v>
      </c>
      <c r="F2648" s="116">
        <v>57.94</v>
      </c>
      <c r="G2648">
        <v>190147</v>
      </c>
      <c r="H2648" s="116"/>
      <c r="I2648" s="116"/>
      <c r="L2648" s="170">
        <v>45903</v>
      </c>
      <c r="M2648" s="116">
        <v>57.95</v>
      </c>
      <c r="N2648" s="116">
        <v>58.75</v>
      </c>
      <c r="O2648" s="116">
        <v>57.65</v>
      </c>
      <c r="P2648" s="116">
        <v>58.05</v>
      </c>
      <c r="Q2648" s="116">
        <v>57.95</v>
      </c>
      <c r="R2648">
        <v>717681</v>
      </c>
    </row>
    <row r="2649" spans="1:18" x14ac:dyDescent="0.25">
      <c r="A2649" s="170">
        <v>45904</v>
      </c>
      <c r="B2649" s="116">
        <v>58.72</v>
      </c>
      <c r="C2649" s="116">
        <v>57.06</v>
      </c>
      <c r="D2649" s="116">
        <v>57</v>
      </c>
      <c r="E2649" s="116">
        <v>57.51</v>
      </c>
      <c r="F2649" s="116">
        <v>57.06</v>
      </c>
      <c r="G2649">
        <v>48474</v>
      </c>
      <c r="H2649" s="116"/>
      <c r="I2649" s="116"/>
      <c r="L2649" s="170">
        <v>45904</v>
      </c>
      <c r="M2649" s="116">
        <v>57.06</v>
      </c>
      <c r="N2649" s="116">
        <v>58.3</v>
      </c>
      <c r="O2649" s="116">
        <v>57</v>
      </c>
      <c r="P2649" s="116">
        <v>58.05</v>
      </c>
      <c r="Q2649" s="116">
        <v>57.06</v>
      </c>
      <c r="R2649">
        <v>445544</v>
      </c>
    </row>
    <row r="2650" spans="1:18" x14ac:dyDescent="0.25">
      <c r="A2650" s="170">
        <v>45905</v>
      </c>
      <c r="B2650" s="116">
        <v>58.16</v>
      </c>
      <c r="C2650" s="116">
        <v>57.37</v>
      </c>
      <c r="D2650" s="116">
        <v>55.7</v>
      </c>
      <c r="E2650" s="116">
        <v>56.06</v>
      </c>
      <c r="F2650" s="116">
        <v>57.37</v>
      </c>
      <c r="G2650">
        <v>107757</v>
      </c>
      <c r="H2650" s="116"/>
      <c r="I2650" s="116"/>
      <c r="L2650" s="170">
        <v>45905</v>
      </c>
      <c r="M2650" s="116">
        <v>57.49</v>
      </c>
      <c r="N2650" s="116">
        <v>57.86</v>
      </c>
      <c r="O2650" s="116">
        <v>56</v>
      </c>
      <c r="P2650" s="116">
        <v>57.35</v>
      </c>
      <c r="Q2650" s="116">
        <v>57.49</v>
      </c>
      <c r="R2650">
        <v>652339</v>
      </c>
    </row>
    <row r="2651" spans="1:18" x14ac:dyDescent="0.25">
      <c r="A2651" s="170">
        <v>45908</v>
      </c>
      <c r="B2651" s="116">
        <v>59.1</v>
      </c>
      <c r="C2651" s="116">
        <v>57.46</v>
      </c>
      <c r="D2651" s="116">
        <v>56.51</v>
      </c>
      <c r="E2651" s="116">
        <v>56.51</v>
      </c>
      <c r="F2651" s="116">
        <v>57.46</v>
      </c>
      <c r="G2651">
        <v>69079</v>
      </c>
      <c r="H2651" s="116"/>
      <c r="I2651" s="116"/>
      <c r="L2651" s="170">
        <v>45908</v>
      </c>
      <c r="M2651" s="116">
        <v>57.12</v>
      </c>
      <c r="N2651" s="116">
        <v>58.05</v>
      </c>
      <c r="O2651" s="116">
        <v>56.6</v>
      </c>
      <c r="P2651" s="116">
        <v>57</v>
      </c>
      <c r="Q2651" s="116">
        <v>57.12</v>
      </c>
      <c r="R2651">
        <v>415786</v>
      </c>
    </row>
    <row r="2652" spans="1:18" x14ac:dyDescent="0.25">
      <c r="A2652" s="170">
        <v>45909</v>
      </c>
      <c r="B2652" s="116">
        <v>57.97</v>
      </c>
      <c r="C2652" s="116">
        <v>56.97</v>
      </c>
      <c r="D2652" s="116">
        <v>56.51</v>
      </c>
      <c r="E2652" s="116">
        <v>57.6</v>
      </c>
      <c r="F2652" s="116">
        <v>56.97</v>
      </c>
      <c r="G2652">
        <v>145959</v>
      </c>
      <c r="H2652" s="116"/>
      <c r="I2652" s="116"/>
      <c r="L2652" s="170">
        <v>45909</v>
      </c>
      <c r="M2652" s="116">
        <v>56.99</v>
      </c>
      <c r="N2652" s="116">
        <v>57.95</v>
      </c>
      <c r="O2652" s="116">
        <v>56.6</v>
      </c>
      <c r="P2652" s="116">
        <v>57.7</v>
      </c>
      <c r="Q2652" s="116">
        <v>56.99</v>
      </c>
      <c r="R2652">
        <v>857317</v>
      </c>
    </row>
    <row r="2653" spans="1:18" x14ac:dyDescent="0.25">
      <c r="A2653" s="170">
        <v>45910</v>
      </c>
      <c r="B2653" s="116">
        <v>57.6</v>
      </c>
      <c r="C2653" s="116">
        <v>57.06</v>
      </c>
      <c r="D2653" s="116">
        <v>57.01</v>
      </c>
      <c r="E2653" s="116">
        <v>57.1</v>
      </c>
      <c r="F2653" s="116">
        <v>57.06</v>
      </c>
      <c r="G2653">
        <v>77904</v>
      </c>
      <c r="H2653" s="116"/>
      <c r="I2653" s="116"/>
      <c r="L2653" s="170">
        <v>45910</v>
      </c>
      <c r="M2653" s="116">
        <v>57.08</v>
      </c>
      <c r="N2653" s="116">
        <v>57.55</v>
      </c>
      <c r="O2653" s="116">
        <v>57</v>
      </c>
      <c r="P2653" s="116">
        <v>57.06</v>
      </c>
      <c r="Q2653" s="116">
        <v>57.08</v>
      </c>
      <c r="R2653">
        <v>704953</v>
      </c>
    </row>
    <row r="2654" spans="1:18" x14ac:dyDescent="0.25">
      <c r="A2654" s="170">
        <v>45911</v>
      </c>
      <c r="B2654" s="116">
        <v>58.06</v>
      </c>
      <c r="C2654" s="116">
        <v>57.13</v>
      </c>
      <c r="D2654" s="116">
        <v>57.01</v>
      </c>
      <c r="E2654" s="116">
        <v>57.01</v>
      </c>
      <c r="F2654" s="116">
        <v>57.13</v>
      </c>
      <c r="G2654">
        <v>116914</v>
      </c>
      <c r="H2654" s="116"/>
      <c r="I2654" s="116"/>
      <c r="L2654" s="170">
        <v>45911</v>
      </c>
      <c r="M2654" s="116">
        <v>57.18</v>
      </c>
      <c r="N2654" s="116">
        <v>58.18</v>
      </c>
      <c r="O2654" s="116">
        <v>57</v>
      </c>
      <c r="P2654" s="116">
        <v>57.09</v>
      </c>
      <c r="Q2654" s="116">
        <v>57.18</v>
      </c>
      <c r="R2654">
        <v>887290</v>
      </c>
    </row>
    <row r="2655" spans="1:18" x14ac:dyDescent="0.25">
      <c r="A2655" s="170">
        <v>45912</v>
      </c>
      <c r="B2655" s="116">
        <v>57.87</v>
      </c>
      <c r="C2655" s="116">
        <v>57.09</v>
      </c>
      <c r="D2655" s="116">
        <v>56.94</v>
      </c>
      <c r="E2655" s="116">
        <v>57.18</v>
      </c>
      <c r="F2655" s="116">
        <v>57.09</v>
      </c>
      <c r="G2655">
        <v>113817</v>
      </c>
      <c r="H2655" s="116"/>
      <c r="I2655" s="116"/>
      <c r="L2655" s="170">
        <v>45912</v>
      </c>
      <c r="M2655" s="116">
        <v>57.08</v>
      </c>
      <c r="N2655" s="116">
        <v>57.8</v>
      </c>
      <c r="O2655" s="116">
        <v>56.9</v>
      </c>
      <c r="P2655" s="116">
        <v>57.5</v>
      </c>
      <c r="Q2655" s="116">
        <v>57.08</v>
      </c>
      <c r="R2655">
        <v>779981</v>
      </c>
    </row>
    <row r="2656" spans="1:18" x14ac:dyDescent="0.25">
      <c r="A2656" s="170">
        <v>45915</v>
      </c>
      <c r="B2656" s="116">
        <v>58.89</v>
      </c>
      <c r="C2656" s="116">
        <v>57.75</v>
      </c>
      <c r="D2656" s="116">
        <v>57.2</v>
      </c>
      <c r="E2656" s="116">
        <v>57.48</v>
      </c>
      <c r="F2656" s="116">
        <v>57.75</v>
      </c>
      <c r="G2656">
        <v>250137</v>
      </c>
      <c r="H2656" s="116"/>
      <c r="I2656" s="116"/>
      <c r="L2656" s="170">
        <v>45915</v>
      </c>
      <c r="M2656" s="116">
        <v>57.74</v>
      </c>
      <c r="N2656" s="116">
        <v>58.95</v>
      </c>
      <c r="O2656" s="116">
        <v>57.17</v>
      </c>
      <c r="P2656" s="116">
        <v>57.25</v>
      </c>
      <c r="Q2656" s="116">
        <v>57.74</v>
      </c>
      <c r="R2656">
        <v>1126884</v>
      </c>
    </row>
    <row r="2657" spans="1:18" x14ac:dyDescent="0.25">
      <c r="A2657" s="170">
        <v>45916</v>
      </c>
      <c r="B2657" s="116">
        <v>60.63</v>
      </c>
      <c r="C2657" s="116">
        <v>58.74</v>
      </c>
      <c r="D2657" s="116">
        <v>57.51</v>
      </c>
      <c r="E2657" s="116">
        <v>57.75</v>
      </c>
      <c r="F2657" s="116">
        <v>58.74</v>
      </c>
      <c r="G2657">
        <v>907533</v>
      </c>
      <c r="H2657" s="116"/>
      <c r="I2657" s="116"/>
      <c r="L2657" s="170">
        <v>45916</v>
      </c>
      <c r="M2657" s="116">
        <v>58.79</v>
      </c>
      <c r="N2657" s="116">
        <v>60.62</v>
      </c>
      <c r="O2657" s="116">
        <v>57.59</v>
      </c>
      <c r="P2657" s="116">
        <v>57.8</v>
      </c>
      <c r="Q2657" s="116">
        <v>58.79</v>
      </c>
      <c r="R2657">
        <v>5915412</v>
      </c>
    </row>
    <row r="2658" spans="1:18" x14ac:dyDescent="0.25">
      <c r="A2658" s="170">
        <v>45917</v>
      </c>
      <c r="B2658" s="116">
        <v>59.32</v>
      </c>
      <c r="C2658" s="116">
        <v>58.33</v>
      </c>
      <c r="D2658" s="116">
        <v>58.16</v>
      </c>
      <c r="E2658" s="116">
        <v>59.32</v>
      </c>
      <c r="F2658" s="116">
        <v>58.33</v>
      </c>
      <c r="G2658">
        <v>168969</v>
      </c>
      <c r="H2658" s="116"/>
      <c r="I2658" s="116"/>
      <c r="L2658" s="170">
        <v>45917</v>
      </c>
      <c r="M2658" s="116">
        <v>58.33</v>
      </c>
      <c r="N2658" s="116">
        <v>59.39</v>
      </c>
      <c r="O2658" s="116">
        <v>58.16</v>
      </c>
      <c r="P2658" s="116">
        <v>59</v>
      </c>
      <c r="Q2658" s="116">
        <v>58.33</v>
      </c>
      <c r="R2658">
        <v>1277859</v>
      </c>
    </row>
    <row r="2659" spans="1:18" x14ac:dyDescent="0.25">
      <c r="A2659" s="170">
        <v>45918</v>
      </c>
      <c r="B2659" s="116">
        <v>59.01</v>
      </c>
      <c r="C2659" s="116">
        <v>57.8</v>
      </c>
      <c r="D2659" s="116">
        <v>57.67</v>
      </c>
      <c r="E2659" s="116">
        <v>58.3</v>
      </c>
      <c r="F2659" s="116">
        <v>57.8</v>
      </c>
      <c r="G2659">
        <v>235112</v>
      </c>
      <c r="H2659" s="116"/>
      <c r="I2659" s="116"/>
      <c r="L2659" s="170">
        <v>45918</v>
      </c>
      <c r="M2659" s="116">
        <v>57.8</v>
      </c>
      <c r="N2659" s="116">
        <v>58.75</v>
      </c>
      <c r="O2659" s="116">
        <v>57.59</v>
      </c>
      <c r="P2659" s="116">
        <v>58.59</v>
      </c>
      <c r="Q2659" s="116">
        <v>57.8</v>
      </c>
      <c r="R2659">
        <v>1338806</v>
      </c>
    </row>
    <row r="2660" spans="1:18" x14ac:dyDescent="0.25">
      <c r="A2660" s="170">
        <v>45919</v>
      </c>
      <c r="B2660" s="116">
        <v>58.68</v>
      </c>
      <c r="C2660" s="116">
        <v>57.7</v>
      </c>
      <c r="D2660" s="116">
        <v>57.5</v>
      </c>
      <c r="E2660" s="116">
        <v>57.6</v>
      </c>
      <c r="F2660" s="116">
        <v>57.7</v>
      </c>
      <c r="G2660">
        <v>179633</v>
      </c>
      <c r="H2660" s="116"/>
      <c r="I2660" s="116"/>
      <c r="L2660" s="170">
        <v>45919</v>
      </c>
      <c r="M2660" s="116">
        <v>57.7</v>
      </c>
      <c r="N2660" s="116">
        <v>58.82</v>
      </c>
      <c r="O2660" s="116">
        <v>57.5</v>
      </c>
      <c r="P2660" s="116">
        <v>57.69</v>
      </c>
      <c r="Q2660" s="116">
        <v>57.7</v>
      </c>
      <c r="R2660">
        <v>1616635</v>
      </c>
    </row>
    <row r="2661" spans="1:18" x14ac:dyDescent="0.25">
      <c r="A2661" s="170">
        <v>45922</v>
      </c>
      <c r="B2661" s="116">
        <v>58.32</v>
      </c>
      <c r="C2661" s="116">
        <v>57.25</v>
      </c>
      <c r="D2661" s="116">
        <v>57.14</v>
      </c>
      <c r="E2661" s="116">
        <v>57.52</v>
      </c>
      <c r="F2661" s="116">
        <v>57.25</v>
      </c>
      <c r="G2661">
        <v>213847</v>
      </c>
      <c r="H2661" s="116"/>
      <c r="I2661" s="116"/>
      <c r="L2661" s="170">
        <v>45922</v>
      </c>
      <c r="M2661" s="116">
        <v>57.24</v>
      </c>
      <c r="N2661" s="116">
        <v>58.3</v>
      </c>
      <c r="O2661" s="116">
        <v>57.1</v>
      </c>
      <c r="P2661" s="116">
        <v>57.7</v>
      </c>
      <c r="Q2661" s="116">
        <v>57.24</v>
      </c>
      <c r="R2661">
        <v>924390</v>
      </c>
    </row>
    <row r="2662" spans="1:18" x14ac:dyDescent="0.25">
      <c r="A2662" s="170">
        <v>45923</v>
      </c>
      <c r="B2662" s="116">
        <v>57.28</v>
      </c>
      <c r="C2662" s="116">
        <v>56.89</v>
      </c>
      <c r="D2662" s="116">
        <v>56.75</v>
      </c>
      <c r="E2662" s="116">
        <v>57.01</v>
      </c>
      <c r="F2662" s="116">
        <v>56.89</v>
      </c>
      <c r="G2662">
        <v>199251</v>
      </c>
      <c r="H2662" s="116"/>
      <c r="I2662" s="116"/>
      <c r="L2662" s="170">
        <v>45923</v>
      </c>
      <c r="M2662" s="116">
        <v>56.89</v>
      </c>
      <c r="N2662" s="116">
        <v>57.19</v>
      </c>
      <c r="O2662" s="116">
        <v>56.8</v>
      </c>
      <c r="P2662" s="116">
        <v>57.18</v>
      </c>
      <c r="Q2662" s="116">
        <v>56.89</v>
      </c>
      <c r="R2662">
        <v>794054</v>
      </c>
    </row>
    <row r="2663" spans="1:18" x14ac:dyDescent="0.25">
      <c r="A2663" s="170">
        <v>45924</v>
      </c>
      <c r="B2663" s="116">
        <v>57.9</v>
      </c>
      <c r="C2663" s="116">
        <v>56.52</v>
      </c>
      <c r="D2663" s="116">
        <v>56.3</v>
      </c>
      <c r="E2663" s="116">
        <v>56.89</v>
      </c>
      <c r="F2663" s="116">
        <v>56.52</v>
      </c>
      <c r="G2663">
        <v>274537</v>
      </c>
      <c r="H2663" s="116"/>
      <c r="I2663" s="116"/>
      <c r="L2663" s="170">
        <v>45924</v>
      </c>
      <c r="M2663" s="116">
        <v>56.52</v>
      </c>
      <c r="N2663" s="116">
        <v>57.99</v>
      </c>
      <c r="O2663" s="116">
        <v>56.21</v>
      </c>
      <c r="P2663" s="116">
        <v>56.95</v>
      </c>
      <c r="Q2663" s="116">
        <v>56.52</v>
      </c>
      <c r="R2663">
        <v>912646</v>
      </c>
    </row>
    <row r="2664" spans="1:18" x14ac:dyDescent="0.25">
      <c r="A2664" s="170">
        <v>45925</v>
      </c>
      <c r="B2664" s="116">
        <v>56.86</v>
      </c>
      <c r="C2664" s="116">
        <v>55.82</v>
      </c>
      <c r="D2664" s="116">
        <v>55.69</v>
      </c>
      <c r="E2664" s="116">
        <v>56.53</v>
      </c>
      <c r="F2664" s="116">
        <v>55.82</v>
      </c>
      <c r="G2664">
        <v>188781</v>
      </c>
      <c r="H2664" s="116"/>
      <c r="I2664" s="116"/>
      <c r="L2664" s="170">
        <v>45925</v>
      </c>
      <c r="M2664" s="116">
        <v>55.82</v>
      </c>
      <c r="N2664" s="116">
        <v>56.86</v>
      </c>
      <c r="O2664" s="116">
        <v>55.75</v>
      </c>
      <c r="P2664" s="116">
        <v>56.75</v>
      </c>
      <c r="Q2664" s="116">
        <v>55.82</v>
      </c>
      <c r="R2664">
        <v>695656</v>
      </c>
    </row>
    <row r="2665" spans="1:18" x14ac:dyDescent="0.25">
      <c r="A2665" s="170">
        <v>45926</v>
      </c>
      <c r="B2665" s="116">
        <v>57.45</v>
      </c>
      <c r="C2665" s="116">
        <v>55.58</v>
      </c>
      <c r="D2665" s="116">
        <v>55.4</v>
      </c>
      <c r="E2665" s="116">
        <v>55.53</v>
      </c>
      <c r="F2665" s="116">
        <v>55.58</v>
      </c>
      <c r="G2665">
        <v>324215</v>
      </c>
      <c r="H2665" s="116"/>
      <c r="I2665" s="116"/>
      <c r="L2665" s="170">
        <v>45926</v>
      </c>
      <c r="M2665" s="116">
        <v>55.57</v>
      </c>
      <c r="N2665" s="116">
        <v>57.5</v>
      </c>
      <c r="O2665" s="116">
        <v>55.3</v>
      </c>
      <c r="P2665" s="116">
        <v>55.81</v>
      </c>
      <c r="Q2665" s="116">
        <v>55.57</v>
      </c>
      <c r="R2665">
        <v>2120915</v>
      </c>
    </row>
    <row r="2666" spans="1:18" x14ac:dyDescent="0.25">
      <c r="A2666" s="170">
        <v>45929</v>
      </c>
      <c r="B2666" s="116">
        <v>56.27</v>
      </c>
      <c r="C2666" s="116">
        <v>54.99</v>
      </c>
      <c r="D2666" s="116">
        <v>54.85</v>
      </c>
      <c r="E2666" s="116">
        <v>55.15</v>
      </c>
      <c r="F2666" s="116">
        <v>54.99</v>
      </c>
      <c r="G2666">
        <v>182162</v>
      </c>
      <c r="H2666" s="116"/>
      <c r="I2666" s="116"/>
      <c r="L2666" s="170">
        <v>45929</v>
      </c>
      <c r="M2666" s="116">
        <v>54.95</v>
      </c>
      <c r="N2666" s="116">
        <v>56.29</v>
      </c>
      <c r="O2666" s="116">
        <v>54.8</v>
      </c>
      <c r="P2666" s="116">
        <v>55.7</v>
      </c>
      <c r="Q2666" s="116">
        <v>54.95</v>
      </c>
      <c r="R2666">
        <v>782203</v>
      </c>
    </row>
    <row r="2667" spans="1:18" x14ac:dyDescent="0.25">
      <c r="A2667" s="170">
        <v>45930</v>
      </c>
      <c r="B2667" s="116">
        <v>55.5</v>
      </c>
      <c r="C2667" s="116">
        <v>54.99</v>
      </c>
      <c r="D2667" s="116">
        <v>54.81</v>
      </c>
      <c r="E2667" s="116">
        <v>55.03</v>
      </c>
      <c r="F2667" s="116">
        <v>54.99</v>
      </c>
      <c r="G2667">
        <v>162378</v>
      </c>
      <c r="H2667" s="116"/>
      <c r="I2667" s="116"/>
      <c r="L2667" s="170">
        <v>45930</v>
      </c>
      <c r="M2667" s="116">
        <v>55.02</v>
      </c>
      <c r="N2667" s="116">
        <v>55.51</v>
      </c>
      <c r="O2667" s="116">
        <v>54.85</v>
      </c>
      <c r="P2667" s="116">
        <v>55.14</v>
      </c>
      <c r="Q2667" s="116">
        <v>55.02</v>
      </c>
      <c r="R2667">
        <v>433964</v>
      </c>
    </row>
    <row r="2668" spans="1:18" x14ac:dyDescent="0.25">
      <c r="A2668" s="170">
        <v>45931</v>
      </c>
      <c r="B2668" s="116">
        <v>55.66</v>
      </c>
      <c r="C2668" s="116">
        <v>55.19</v>
      </c>
      <c r="D2668" s="116">
        <v>54.6</v>
      </c>
      <c r="E2668" s="116">
        <v>55.66</v>
      </c>
      <c r="F2668" s="116">
        <v>55.19</v>
      </c>
      <c r="G2668">
        <v>83086</v>
      </c>
      <c r="H2668" s="116"/>
      <c r="I2668" s="116"/>
      <c r="L2668" s="170">
        <v>45931</v>
      </c>
      <c r="M2668" s="116">
        <v>55.14</v>
      </c>
      <c r="N2668" s="116">
        <v>55.5</v>
      </c>
      <c r="O2668" s="116">
        <v>54.61</v>
      </c>
      <c r="P2668" s="116">
        <v>55.04</v>
      </c>
      <c r="Q2668" s="116">
        <v>55.14</v>
      </c>
      <c r="R2668">
        <v>831656</v>
      </c>
    </row>
    <row r="2669" spans="1:18" x14ac:dyDescent="0.25">
      <c r="A2669" s="170">
        <v>45933</v>
      </c>
      <c r="B2669" s="116">
        <v>57.07</v>
      </c>
      <c r="C2669" s="116">
        <v>56.63</v>
      </c>
      <c r="D2669" s="116">
        <v>55.13</v>
      </c>
      <c r="E2669" s="116">
        <v>55.13</v>
      </c>
      <c r="F2669" s="116">
        <v>56.63</v>
      </c>
      <c r="G2669">
        <v>231471</v>
      </c>
      <c r="H2669" s="116"/>
      <c r="I2669" s="116"/>
      <c r="L2669" s="170">
        <v>45933</v>
      </c>
      <c r="M2669" s="116">
        <v>56.53</v>
      </c>
      <c r="N2669" s="116">
        <v>57</v>
      </c>
      <c r="O2669" s="116">
        <v>55.12</v>
      </c>
      <c r="P2669" s="116">
        <v>55.18</v>
      </c>
      <c r="Q2669" s="116">
        <v>56.53</v>
      </c>
      <c r="R2669">
        <v>858543</v>
      </c>
    </row>
    <row r="2670" spans="1:18" x14ac:dyDescent="0.25">
      <c r="A2670" s="170">
        <v>45936</v>
      </c>
      <c r="B2670" s="116">
        <v>57.9</v>
      </c>
      <c r="C2670" s="116">
        <v>57.22</v>
      </c>
      <c r="D2670" s="116">
        <v>56.67</v>
      </c>
      <c r="E2670" s="116">
        <v>56.67</v>
      </c>
      <c r="F2670" s="116">
        <v>57.22</v>
      </c>
      <c r="G2670">
        <v>320620</v>
      </c>
      <c r="H2670" s="116"/>
      <c r="I2670" s="116"/>
      <c r="L2670" s="170">
        <v>45936</v>
      </c>
      <c r="M2670" s="116">
        <v>57.22</v>
      </c>
      <c r="N2670" s="116">
        <v>57.98</v>
      </c>
      <c r="O2670" s="116">
        <v>56.61</v>
      </c>
      <c r="P2670" s="116">
        <v>57</v>
      </c>
      <c r="Q2670" s="116">
        <v>57.22</v>
      </c>
      <c r="R2670">
        <v>1436314</v>
      </c>
    </row>
    <row r="2671" spans="1:18" x14ac:dyDescent="0.25">
      <c r="A2671" s="170">
        <v>45937</v>
      </c>
      <c r="B2671" s="116">
        <v>60.08</v>
      </c>
      <c r="C2671" s="116">
        <v>58.63</v>
      </c>
      <c r="D2671" s="116">
        <v>56.29</v>
      </c>
      <c r="E2671" s="116">
        <v>57.11</v>
      </c>
      <c r="F2671" s="116">
        <v>58.63</v>
      </c>
      <c r="G2671">
        <v>1182298</v>
      </c>
      <c r="H2671" s="116"/>
      <c r="I2671" s="116"/>
      <c r="L2671" s="170">
        <v>45937</v>
      </c>
      <c r="M2671" s="116">
        <v>58.68</v>
      </c>
      <c r="N2671" s="116">
        <v>60.08</v>
      </c>
      <c r="O2671" s="116">
        <v>56.3</v>
      </c>
      <c r="P2671" s="116">
        <v>57.22</v>
      </c>
      <c r="Q2671" s="116">
        <v>58.68</v>
      </c>
      <c r="R2671">
        <v>5961046</v>
      </c>
    </row>
    <row r="2672" spans="1:18" x14ac:dyDescent="0.25">
      <c r="A2672" s="170">
        <v>45938</v>
      </c>
      <c r="B2672" s="116">
        <v>59.76</v>
      </c>
      <c r="C2672" s="116">
        <v>57.47</v>
      </c>
      <c r="D2672" s="116">
        <v>57.24</v>
      </c>
      <c r="E2672" s="116">
        <v>58.73</v>
      </c>
      <c r="F2672" s="116">
        <v>57.47</v>
      </c>
      <c r="G2672">
        <v>158689</v>
      </c>
      <c r="H2672" s="116"/>
      <c r="I2672" s="116"/>
      <c r="L2672" s="170">
        <v>45938</v>
      </c>
      <c r="M2672" s="116">
        <v>57.48</v>
      </c>
      <c r="N2672" s="116">
        <v>59.64</v>
      </c>
      <c r="O2672" s="116">
        <v>57.1</v>
      </c>
      <c r="P2672" s="116">
        <v>58.8</v>
      </c>
      <c r="Q2672" s="116">
        <v>57.48</v>
      </c>
      <c r="R2672">
        <v>1916051</v>
      </c>
    </row>
    <row r="2673" spans="1:18" x14ac:dyDescent="0.25">
      <c r="A2673" s="170">
        <v>45939</v>
      </c>
      <c r="B2673" s="116">
        <v>57.42</v>
      </c>
      <c r="C2673" s="116">
        <v>56.47</v>
      </c>
      <c r="D2673" s="116">
        <v>56.08</v>
      </c>
      <c r="E2673" s="116">
        <v>57.15</v>
      </c>
      <c r="F2673" s="116">
        <v>56.47</v>
      </c>
      <c r="G2673">
        <v>148200</v>
      </c>
      <c r="H2673" s="116"/>
      <c r="I2673" s="116"/>
      <c r="L2673" s="170">
        <v>45939</v>
      </c>
      <c r="M2673" s="116">
        <v>56.47</v>
      </c>
      <c r="N2673" s="116">
        <v>57.47</v>
      </c>
      <c r="O2673" s="116">
        <v>56.12</v>
      </c>
      <c r="P2673" s="116">
        <v>57.4</v>
      </c>
      <c r="Q2673" s="116">
        <v>56.47</v>
      </c>
      <c r="R2673">
        <v>1047523</v>
      </c>
    </row>
    <row r="2674" spans="1:18" x14ac:dyDescent="0.25">
      <c r="A2674" s="170">
        <v>45940</v>
      </c>
      <c r="B2674" s="116">
        <v>59.59</v>
      </c>
      <c r="C2674" s="116">
        <v>57.69</v>
      </c>
      <c r="D2674" s="116">
        <v>56.45</v>
      </c>
      <c r="E2674" s="116">
        <v>57.49</v>
      </c>
      <c r="F2674" s="116">
        <v>57.69</v>
      </c>
      <c r="G2674">
        <v>461716</v>
      </c>
      <c r="H2674" s="116"/>
      <c r="I2674" s="116"/>
      <c r="L2674" s="170">
        <v>45940</v>
      </c>
      <c r="M2674" s="116">
        <v>57.7</v>
      </c>
      <c r="N2674" s="116">
        <v>59.59</v>
      </c>
      <c r="O2674" s="116">
        <v>56.41</v>
      </c>
      <c r="P2674" s="116">
        <v>56.69</v>
      </c>
      <c r="Q2674" s="116">
        <v>57.7</v>
      </c>
      <c r="R2674">
        <v>3499421</v>
      </c>
    </row>
    <row r="2675" spans="1:18" x14ac:dyDescent="0.25">
      <c r="A2675" s="170">
        <v>45943</v>
      </c>
      <c r="B2675" s="116">
        <v>58.22</v>
      </c>
      <c r="C2675" s="116">
        <v>56.98</v>
      </c>
      <c r="D2675" s="116">
        <v>56.5</v>
      </c>
      <c r="E2675" s="116">
        <v>58.22</v>
      </c>
      <c r="F2675" s="116">
        <v>56.98</v>
      </c>
      <c r="G2675">
        <v>133565</v>
      </c>
      <c r="H2675" s="116"/>
      <c r="I2675" s="116"/>
      <c r="L2675" s="170">
        <v>45943</v>
      </c>
      <c r="M2675" s="116">
        <v>57.12</v>
      </c>
      <c r="N2675" s="116">
        <v>57.41</v>
      </c>
      <c r="O2675" s="116">
        <v>56.5</v>
      </c>
      <c r="P2675" s="116">
        <v>57.2</v>
      </c>
      <c r="Q2675" s="116">
        <v>57.12</v>
      </c>
      <c r="R2675">
        <v>1030144</v>
      </c>
    </row>
    <row r="2676" spans="1:18" x14ac:dyDescent="0.25">
      <c r="A2676" s="170">
        <v>45944</v>
      </c>
      <c r="B2676" s="116">
        <v>57.2</v>
      </c>
      <c r="C2676" s="116">
        <v>55.87</v>
      </c>
      <c r="D2676" s="116">
        <v>55.5</v>
      </c>
      <c r="E2676" s="116">
        <v>56.53</v>
      </c>
      <c r="F2676" s="116">
        <v>55.87</v>
      </c>
      <c r="G2676">
        <v>112165</v>
      </c>
      <c r="H2676" s="116"/>
      <c r="I2676" s="116"/>
      <c r="L2676" s="170">
        <v>45944</v>
      </c>
      <c r="M2676" s="116">
        <v>55.86</v>
      </c>
      <c r="N2676" s="116">
        <v>57.15</v>
      </c>
      <c r="O2676" s="116">
        <v>55.5</v>
      </c>
      <c r="P2676" s="116">
        <v>57.12</v>
      </c>
      <c r="Q2676" s="116">
        <v>55.86</v>
      </c>
      <c r="R2676">
        <v>1147103</v>
      </c>
    </row>
    <row r="2677" spans="1:18" x14ac:dyDescent="0.25">
      <c r="A2677" s="170">
        <v>45945</v>
      </c>
      <c r="B2677" s="116">
        <v>56.47</v>
      </c>
      <c r="C2677" s="116">
        <v>56.15</v>
      </c>
      <c r="D2677" s="116">
        <v>55.28</v>
      </c>
      <c r="E2677" s="116">
        <v>55.28</v>
      </c>
      <c r="F2677" s="116">
        <v>56.15</v>
      </c>
      <c r="G2677">
        <v>110592</v>
      </c>
      <c r="H2677" s="116"/>
      <c r="I2677" s="116"/>
      <c r="L2677" s="170">
        <v>45945</v>
      </c>
      <c r="M2677" s="116">
        <v>56.19</v>
      </c>
      <c r="N2677" s="116">
        <v>56.5</v>
      </c>
      <c r="O2677" s="116">
        <v>55.88</v>
      </c>
      <c r="P2677" s="116">
        <v>56.01</v>
      </c>
      <c r="Q2677" s="116">
        <v>56.19</v>
      </c>
      <c r="R2677">
        <v>543288</v>
      </c>
    </row>
    <row r="2678" spans="1:18" x14ac:dyDescent="0.25">
      <c r="A2678" s="170">
        <v>45946</v>
      </c>
      <c r="B2678" s="116">
        <v>56.84</v>
      </c>
      <c r="C2678" s="116">
        <v>56.11</v>
      </c>
      <c r="D2678" s="116">
        <v>55.78</v>
      </c>
      <c r="E2678" s="116">
        <v>55.78</v>
      </c>
      <c r="F2678" s="116">
        <v>56.11</v>
      </c>
      <c r="G2678">
        <v>58993</v>
      </c>
      <c r="H2678" s="116"/>
      <c r="I2678" s="116"/>
      <c r="L2678" s="170">
        <v>45946</v>
      </c>
      <c r="M2678" s="116">
        <v>56.1</v>
      </c>
      <c r="N2678" s="116">
        <v>56.85</v>
      </c>
      <c r="O2678" s="116">
        <v>55.71</v>
      </c>
      <c r="P2678" s="116">
        <v>56.05</v>
      </c>
      <c r="Q2678" s="116">
        <v>56.1</v>
      </c>
      <c r="R2678">
        <v>678344</v>
      </c>
    </row>
    <row r="2679" spans="1:18" x14ac:dyDescent="0.25">
      <c r="A2679" s="170">
        <v>45947</v>
      </c>
      <c r="B2679" s="116">
        <v>56.24</v>
      </c>
      <c r="C2679" s="116">
        <v>55.47</v>
      </c>
      <c r="D2679" s="116">
        <v>55.2</v>
      </c>
      <c r="E2679" s="116">
        <v>55.8</v>
      </c>
      <c r="F2679" s="116">
        <v>55.47</v>
      </c>
      <c r="G2679">
        <v>168031</v>
      </c>
      <c r="H2679" s="116"/>
      <c r="I2679" s="116"/>
      <c r="L2679" s="170">
        <v>45947</v>
      </c>
      <c r="M2679" s="116">
        <v>55.47</v>
      </c>
      <c r="N2679" s="116">
        <v>56.2</v>
      </c>
      <c r="O2679" s="116">
        <v>55.01</v>
      </c>
      <c r="P2679" s="116">
        <v>55.85</v>
      </c>
      <c r="Q2679" s="116">
        <v>55.47</v>
      </c>
      <c r="R2679">
        <v>787254</v>
      </c>
    </row>
    <row r="2680" spans="1:18" x14ac:dyDescent="0.25">
      <c r="A2680" s="170">
        <v>45950</v>
      </c>
      <c r="B2680" s="116">
        <v>56.34</v>
      </c>
      <c r="C2680" s="116">
        <v>55.01</v>
      </c>
      <c r="D2680" s="116">
        <v>54.95</v>
      </c>
      <c r="E2680" s="116">
        <v>55.28</v>
      </c>
      <c r="F2680" s="116">
        <v>55.01</v>
      </c>
      <c r="G2680">
        <v>595768</v>
      </c>
      <c r="H2680" s="116"/>
      <c r="I2680" s="116"/>
      <c r="L2680" s="170">
        <v>45950</v>
      </c>
      <c r="M2680" s="116">
        <v>55.08</v>
      </c>
      <c r="N2680" s="116">
        <v>55.88</v>
      </c>
      <c r="O2680" s="116">
        <v>55</v>
      </c>
      <c r="P2680" s="116">
        <v>55.54</v>
      </c>
      <c r="Q2680" s="116">
        <v>55.08</v>
      </c>
      <c r="R2680">
        <v>1046520</v>
      </c>
    </row>
    <row r="2681" spans="1:18" x14ac:dyDescent="0.25">
      <c r="A2681" s="170">
        <v>45951</v>
      </c>
      <c r="B2681" s="116">
        <v>56.56</v>
      </c>
      <c r="C2681" s="116">
        <v>56</v>
      </c>
      <c r="D2681" s="116">
        <v>55.1</v>
      </c>
      <c r="E2681" s="116">
        <v>55.1</v>
      </c>
      <c r="F2681" s="116">
        <v>56</v>
      </c>
      <c r="G2681">
        <v>47949</v>
      </c>
      <c r="H2681" s="116"/>
      <c r="I2681" s="116"/>
      <c r="L2681" s="170">
        <v>45951</v>
      </c>
      <c r="M2681" s="116">
        <v>56.01</v>
      </c>
      <c r="N2681" s="116">
        <v>56.25</v>
      </c>
      <c r="O2681" s="116">
        <v>55.08</v>
      </c>
      <c r="P2681" s="116">
        <v>55.08</v>
      </c>
      <c r="Q2681" s="116">
        <v>56.01</v>
      </c>
      <c r="R2681">
        <v>374464</v>
      </c>
    </row>
    <row r="2682" spans="1:18" x14ac:dyDescent="0.25">
      <c r="A2682" s="170">
        <v>45953</v>
      </c>
      <c r="B2682" s="116">
        <v>56.41</v>
      </c>
      <c r="C2682" s="116">
        <v>55.06</v>
      </c>
      <c r="D2682" s="116">
        <v>54.61</v>
      </c>
      <c r="E2682" s="116">
        <v>56.41</v>
      </c>
      <c r="F2682" s="116">
        <v>55.06</v>
      </c>
      <c r="G2682">
        <v>808583</v>
      </c>
      <c r="H2682" s="116"/>
      <c r="I2682" s="116"/>
      <c r="L2682" s="170">
        <v>45953</v>
      </c>
      <c r="M2682" s="116">
        <v>55.03</v>
      </c>
      <c r="N2682" s="116">
        <v>56.25</v>
      </c>
      <c r="O2682" s="116">
        <v>54.6</v>
      </c>
      <c r="P2682" s="116">
        <v>56.01</v>
      </c>
      <c r="Q2682" s="116">
        <v>55.03</v>
      </c>
      <c r="R2682">
        <v>1952406</v>
      </c>
    </row>
    <row r="2683" spans="1:18" x14ac:dyDescent="0.25">
      <c r="A2683" s="170">
        <v>45954</v>
      </c>
      <c r="B2683" s="116">
        <v>55.47</v>
      </c>
      <c r="C2683" s="116">
        <v>54.77</v>
      </c>
      <c r="D2683" s="116">
        <v>54.55</v>
      </c>
      <c r="E2683" s="116">
        <v>54.75</v>
      </c>
      <c r="F2683" s="116">
        <v>54.77</v>
      </c>
      <c r="G2683">
        <v>185804</v>
      </c>
      <c r="H2683" s="116"/>
      <c r="I2683" s="116"/>
      <c r="L2683" s="170">
        <v>45954</v>
      </c>
      <c r="M2683" s="116">
        <v>54.75</v>
      </c>
      <c r="N2683" s="116">
        <v>55.5</v>
      </c>
      <c r="O2683" s="116">
        <v>54.48</v>
      </c>
      <c r="P2683" s="116">
        <v>55.15</v>
      </c>
      <c r="Q2683" s="116">
        <v>54.75</v>
      </c>
      <c r="R2683">
        <v>987520</v>
      </c>
    </row>
    <row r="2684" spans="1:18" x14ac:dyDescent="0.25">
      <c r="A2684" s="170">
        <v>45957</v>
      </c>
      <c r="B2684" s="116">
        <v>56.9</v>
      </c>
      <c r="C2684" s="116">
        <v>55.37</v>
      </c>
      <c r="D2684" s="116">
        <v>54.25</v>
      </c>
      <c r="E2684" s="116">
        <v>54.74</v>
      </c>
      <c r="F2684" s="116">
        <v>55.37</v>
      </c>
      <c r="G2684">
        <v>536004</v>
      </c>
      <c r="H2684" s="116"/>
      <c r="I2684" s="116"/>
      <c r="L2684" s="170">
        <v>45957</v>
      </c>
      <c r="M2684" s="116">
        <v>55.36</v>
      </c>
      <c r="N2684" s="116">
        <v>56.94</v>
      </c>
      <c r="O2684" s="116">
        <v>54.5</v>
      </c>
      <c r="P2684" s="116">
        <v>54.83</v>
      </c>
      <c r="Q2684" s="116">
        <v>55.36</v>
      </c>
      <c r="R2684">
        <v>3069675</v>
      </c>
    </row>
    <row r="2685" spans="1:18" x14ac:dyDescent="0.25">
      <c r="A2685" s="170">
        <v>45958</v>
      </c>
      <c r="B2685" s="116">
        <v>55.8</v>
      </c>
      <c r="C2685" s="116">
        <v>55.17</v>
      </c>
      <c r="D2685" s="116">
        <v>55.01</v>
      </c>
      <c r="E2685" s="116">
        <v>55.55</v>
      </c>
      <c r="F2685" s="116">
        <v>55.17</v>
      </c>
      <c r="G2685">
        <v>145859</v>
      </c>
      <c r="H2685" s="116"/>
      <c r="I2685" s="116"/>
      <c r="L2685" s="170">
        <v>45958</v>
      </c>
      <c r="M2685" s="116">
        <v>55.22</v>
      </c>
      <c r="N2685" s="116">
        <v>55.95</v>
      </c>
      <c r="O2685" s="116">
        <v>55.11</v>
      </c>
      <c r="P2685" s="116">
        <v>55.79</v>
      </c>
      <c r="Q2685" s="116">
        <v>55.22</v>
      </c>
      <c r="R2685">
        <v>690189</v>
      </c>
    </row>
    <row r="2686" spans="1:18" x14ac:dyDescent="0.25">
      <c r="A2686" s="170">
        <v>45959</v>
      </c>
      <c r="B2686" s="116">
        <v>55.9</v>
      </c>
      <c r="C2686" s="116">
        <v>55.36</v>
      </c>
      <c r="D2686" s="116">
        <v>55.09</v>
      </c>
      <c r="E2686" s="116">
        <v>55.28</v>
      </c>
      <c r="F2686" s="116">
        <v>55.36</v>
      </c>
      <c r="G2686">
        <v>100135</v>
      </c>
      <c r="H2686" s="116"/>
      <c r="I2686" s="116"/>
      <c r="L2686" s="170">
        <v>45959</v>
      </c>
      <c r="M2686" s="116">
        <v>55.32</v>
      </c>
      <c r="N2686" s="116">
        <v>55.92</v>
      </c>
      <c r="O2686" s="116">
        <v>55.01</v>
      </c>
      <c r="P2686" s="116">
        <v>55.49</v>
      </c>
      <c r="Q2686" s="116">
        <v>55.32</v>
      </c>
      <c r="R2686">
        <v>892868</v>
      </c>
    </row>
    <row r="2687" spans="1:18" x14ac:dyDescent="0.25">
      <c r="A2687" s="170">
        <v>45960</v>
      </c>
      <c r="B2687" s="116">
        <v>55.28</v>
      </c>
      <c r="C2687" s="116">
        <v>54.86</v>
      </c>
      <c r="D2687" s="116">
        <v>54.51</v>
      </c>
      <c r="E2687" s="116">
        <v>55.21</v>
      </c>
      <c r="F2687" s="116">
        <v>54.86</v>
      </c>
      <c r="G2687">
        <v>198237</v>
      </c>
      <c r="H2687" s="116"/>
      <c r="I2687" s="116"/>
      <c r="L2687" s="170">
        <v>45960</v>
      </c>
      <c r="M2687" s="116">
        <v>54.84</v>
      </c>
      <c r="N2687" s="116">
        <v>55.32</v>
      </c>
      <c r="O2687" s="116">
        <v>54.61</v>
      </c>
      <c r="P2687" s="116">
        <v>55.15</v>
      </c>
      <c r="Q2687" s="116">
        <v>54.84</v>
      </c>
      <c r="R2687">
        <v>940623</v>
      </c>
    </row>
    <row r="2688" spans="1:18" x14ac:dyDescent="0.25">
      <c r="A2688" s="170">
        <v>45961</v>
      </c>
      <c r="B2688" s="116">
        <v>55.15</v>
      </c>
      <c r="C2688" s="116">
        <v>54.62</v>
      </c>
      <c r="D2688" s="116">
        <v>54.51</v>
      </c>
      <c r="E2688" s="116">
        <v>54.61</v>
      </c>
      <c r="F2688" s="116">
        <v>54.62</v>
      </c>
      <c r="G2688">
        <v>158964</v>
      </c>
      <c r="H2688" s="116"/>
      <c r="I2688" s="116"/>
      <c r="L2688" s="170">
        <v>45961</v>
      </c>
      <c r="M2688" s="116">
        <v>54.58</v>
      </c>
      <c r="N2688" s="116">
        <v>55.08</v>
      </c>
      <c r="O2688" s="116">
        <v>54.5</v>
      </c>
      <c r="P2688" s="116">
        <v>54.84</v>
      </c>
      <c r="Q2688" s="116">
        <v>54.58</v>
      </c>
      <c r="R2688">
        <v>778131</v>
      </c>
    </row>
    <row r="2689" spans="1:18" x14ac:dyDescent="0.25">
      <c r="A2689" s="170">
        <v>45964</v>
      </c>
      <c r="B2689" s="116">
        <v>58.15</v>
      </c>
      <c r="C2689" s="116">
        <v>55.98</v>
      </c>
      <c r="D2689" s="116">
        <v>54.51</v>
      </c>
      <c r="E2689" s="116">
        <v>54.51</v>
      </c>
      <c r="F2689" s="116">
        <v>55.98</v>
      </c>
      <c r="G2689">
        <v>421961</v>
      </c>
      <c r="H2689" s="116"/>
      <c r="I2689" s="116"/>
      <c r="L2689" s="170">
        <v>45964</v>
      </c>
      <c r="M2689" s="116">
        <v>56.01</v>
      </c>
      <c r="N2689" s="116">
        <v>58.25</v>
      </c>
      <c r="O2689" s="116">
        <v>54.53</v>
      </c>
      <c r="P2689" s="116">
        <v>54.59</v>
      </c>
      <c r="Q2689" s="116">
        <v>56.01</v>
      </c>
      <c r="R2689">
        <v>3595100</v>
      </c>
    </row>
    <row r="2690" spans="1:18" x14ac:dyDescent="0.25">
      <c r="A2690" s="170">
        <v>45965</v>
      </c>
      <c r="B2690" s="116">
        <v>56.99</v>
      </c>
      <c r="C2690" s="116">
        <v>55.51</v>
      </c>
      <c r="D2690" s="116">
        <v>55.13</v>
      </c>
      <c r="E2690" s="116">
        <v>56.76</v>
      </c>
      <c r="F2690" s="116">
        <v>55.51</v>
      </c>
      <c r="G2690">
        <v>180389</v>
      </c>
      <c r="H2690" s="116"/>
      <c r="I2690" s="116"/>
      <c r="L2690" s="170">
        <v>45965</v>
      </c>
      <c r="M2690" s="116">
        <v>55.5</v>
      </c>
      <c r="N2690" s="116">
        <v>56.8</v>
      </c>
      <c r="O2690" s="116">
        <v>55.15</v>
      </c>
      <c r="P2690" s="116">
        <v>56.58</v>
      </c>
      <c r="Q2690" s="116">
        <v>55.5</v>
      </c>
      <c r="R2690">
        <v>1237990</v>
      </c>
    </row>
    <row r="2691" spans="1:18" x14ac:dyDescent="0.25">
      <c r="A2691" s="170">
        <v>45967</v>
      </c>
      <c r="B2691" s="116">
        <v>55.28</v>
      </c>
      <c r="C2691" s="116">
        <v>54.57</v>
      </c>
      <c r="D2691" s="116">
        <v>54.33</v>
      </c>
      <c r="E2691" s="116">
        <v>55</v>
      </c>
      <c r="F2691" s="116">
        <v>54.57</v>
      </c>
      <c r="G2691">
        <v>189468</v>
      </c>
      <c r="H2691" s="116"/>
      <c r="I2691" s="116"/>
      <c r="L2691" s="170">
        <v>45967</v>
      </c>
      <c r="M2691" s="116">
        <v>54.55</v>
      </c>
      <c r="N2691" s="116">
        <v>55.38</v>
      </c>
      <c r="O2691" s="116">
        <v>54.3</v>
      </c>
      <c r="P2691" s="116">
        <v>55</v>
      </c>
      <c r="Q2691" s="116">
        <v>54.55</v>
      </c>
      <c r="R2691">
        <v>959722</v>
      </c>
    </row>
    <row r="2692" spans="1:18" x14ac:dyDescent="0.25">
      <c r="A2692" s="170">
        <v>45968</v>
      </c>
      <c r="B2692" s="116">
        <v>54.82</v>
      </c>
      <c r="C2692" s="116">
        <v>54.47</v>
      </c>
      <c r="D2692" s="116">
        <v>53.81</v>
      </c>
      <c r="E2692" s="116">
        <v>54.67</v>
      </c>
      <c r="F2692" s="116">
        <v>54.47</v>
      </c>
      <c r="G2692">
        <v>167144</v>
      </c>
      <c r="H2692" s="116"/>
      <c r="I2692" s="116"/>
      <c r="L2692" s="170">
        <v>45968</v>
      </c>
      <c r="M2692" s="116">
        <v>54.45</v>
      </c>
      <c r="N2692" s="116">
        <v>54.79</v>
      </c>
      <c r="O2692" s="116">
        <v>53.8</v>
      </c>
      <c r="P2692" s="116">
        <v>54.51</v>
      </c>
      <c r="Q2692" s="116">
        <v>54.45</v>
      </c>
      <c r="R2692">
        <v>772993</v>
      </c>
    </row>
    <row r="2693" spans="1:18" x14ac:dyDescent="0.25">
      <c r="A2693" s="170">
        <v>45971</v>
      </c>
      <c r="B2693" s="116">
        <v>54.84</v>
      </c>
      <c r="C2693" s="116">
        <v>54.05</v>
      </c>
      <c r="D2693" s="116">
        <v>54</v>
      </c>
      <c r="E2693" s="116">
        <v>54.24</v>
      </c>
      <c r="F2693" s="116">
        <v>54.05</v>
      </c>
      <c r="G2693">
        <v>174221</v>
      </c>
      <c r="H2693" s="116"/>
      <c r="I2693" s="116"/>
      <c r="L2693" s="170">
        <v>45971</v>
      </c>
      <c r="M2693" s="116">
        <v>53.98</v>
      </c>
      <c r="N2693" s="116">
        <v>54.78</v>
      </c>
      <c r="O2693" s="116">
        <v>53.5</v>
      </c>
      <c r="P2693" s="116">
        <v>54.5</v>
      </c>
      <c r="Q2693" s="116">
        <v>53.98</v>
      </c>
      <c r="R2693">
        <v>589640</v>
      </c>
    </row>
    <row r="2694" spans="1:18" x14ac:dyDescent="0.25">
      <c r="A2694" s="170">
        <v>45972</v>
      </c>
      <c r="B2694" s="116">
        <v>54.4</v>
      </c>
      <c r="C2694" s="116">
        <v>54.06</v>
      </c>
      <c r="D2694" s="116">
        <v>53.74</v>
      </c>
      <c r="E2694" s="116">
        <v>54.09</v>
      </c>
      <c r="F2694" s="116">
        <v>54.06</v>
      </c>
      <c r="G2694">
        <v>172883</v>
      </c>
      <c r="H2694" s="116"/>
      <c r="I2694" s="116"/>
      <c r="L2694" s="170">
        <v>45972</v>
      </c>
      <c r="M2694" s="116">
        <v>54.01</v>
      </c>
      <c r="N2694" s="116">
        <v>54.59</v>
      </c>
      <c r="O2694" s="116">
        <v>53.75</v>
      </c>
      <c r="P2694" s="116">
        <v>54.03</v>
      </c>
      <c r="Q2694" s="116">
        <v>54.01</v>
      </c>
      <c r="R2694">
        <v>1041132</v>
      </c>
    </row>
    <row r="2695" spans="1:18" x14ac:dyDescent="0.25">
      <c r="A2695" s="170">
        <v>45973</v>
      </c>
      <c r="B2695" s="116">
        <v>55.6</v>
      </c>
      <c r="C2695" s="116">
        <v>54.41</v>
      </c>
      <c r="D2695" s="116">
        <v>54.06</v>
      </c>
      <c r="E2695" s="116">
        <v>54.14</v>
      </c>
      <c r="F2695" s="116">
        <v>54.41</v>
      </c>
      <c r="G2695">
        <v>216145</v>
      </c>
      <c r="H2695" s="116"/>
      <c r="I2695" s="116"/>
      <c r="L2695" s="170">
        <v>45973</v>
      </c>
      <c r="M2695" s="116">
        <v>54.38</v>
      </c>
      <c r="N2695" s="116">
        <v>55.59</v>
      </c>
      <c r="O2695" s="116">
        <v>53.98</v>
      </c>
      <c r="P2695" s="116">
        <v>54.22</v>
      </c>
      <c r="Q2695" s="116">
        <v>54.38</v>
      </c>
      <c r="R2695">
        <v>1539860</v>
      </c>
    </row>
    <row r="2696" spans="1:18" x14ac:dyDescent="0.25">
      <c r="A2696" s="170">
        <v>45974</v>
      </c>
      <c r="B2696" s="116">
        <v>54.54</v>
      </c>
      <c r="C2696" s="116">
        <v>53.99</v>
      </c>
      <c r="D2696" s="116">
        <v>53.91</v>
      </c>
      <c r="E2696" s="116">
        <v>54.26</v>
      </c>
      <c r="F2696" s="116">
        <v>53.99</v>
      </c>
      <c r="G2696">
        <v>242059</v>
      </c>
      <c r="H2696" s="116"/>
      <c r="I2696" s="116"/>
      <c r="L2696" s="170">
        <v>45974</v>
      </c>
      <c r="M2696" s="116">
        <v>53.98</v>
      </c>
      <c r="N2696" s="116">
        <v>54.48</v>
      </c>
      <c r="O2696" s="116">
        <v>53.9</v>
      </c>
      <c r="P2696" s="116">
        <v>54.48</v>
      </c>
      <c r="Q2696" s="116">
        <v>53.98</v>
      </c>
      <c r="R2696">
        <v>677462</v>
      </c>
    </row>
    <row r="2697" spans="1:18" x14ac:dyDescent="0.25">
      <c r="A2697" s="170">
        <v>45975</v>
      </c>
      <c r="B2697" s="116">
        <v>54.7</v>
      </c>
      <c r="C2697" s="116">
        <v>54.01</v>
      </c>
      <c r="D2697" s="116">
        <v>53.69</v>
      </c>
      <c r="E2697" s="116">
        <v>53.69</v>
      </c>
      <c r="F2697" s="116">
        <v>54.01</v>
      </c>
      <c r="G2697">
        <v>176165</v>
      </c>
      <c r="H2697" s="116"/>
      <c r="I2697" s="116"/>
      <c r="L2697" s="170">
        <v>45975</v>
      </c>
      <c r="M2697" s="116">
        <v>54.02</v>
      </c>
      <c r="N2697" s="116">
        <v>54.74</v>
      </c>
      <c r="O2697" s="116">
        <v>53.9</v>
      </c>
      <c r="P2697" s="116">
        <v>53.98</v>
      </c>
      <c r="Q2697" s="116">
        <v>54.02</v>
      </c>
      <c r="R2697">
        <v>540270</v>
      </c>
    </row>
    <row r="2698" spans="1:18" x14ac:dyDescent="0.25">
      <c r="A2698" s="170">
        <v>45978</v>
      </c>
      <c r="B2698" s="116">
        <v>54.4</v>
      </c>
      <c r="C2698" s="116">
        <v>53.75</v>
      </c>
      <c r="D2698" s="116">
        <v>53.62</v>
      </c>
      <c r="E2698" s="116">
        <v>53.81</v>
      </c>
      <c r="F2698" s="116">
        <v>53.75</v>
      </c>
      <c r="G2698">
        <v>111994</v>
      </c>
      <c r="H2698" s="116"/>
      <c r="I2698" s="116"/>
      <c r="L2698" s="170">
        <v>45978</v>
      </c>
      <c r="M2698" s="116">
        <v>53.69</v>
      </c>
      <c r="N2698" s="116">
        <v>54.37</v>
      </c>
      <c r="O2698" s="116">
        <v>53.64</v>
      </c>
      <c r="P2698" s="116">
        <v>53.9</v>
      </c>
      <c r="Q2698" s="116">
        <v>53.69</v>
      </c>
      <c r="R2698">
        <v>750388</v>
      </c>
    </row>
    <row r="2699" spans="1:18" x14ac:dyDescent="0.25">
      <c r="A2699" s="170">
        <v>45979</v>
      </c>
      <c r="B2699" s="116">
        <v>53.99</v>
      </c>
      <c r="C2699" s="116">
        <v>52.51</v>
      </c>
      <c r="D2699" s="116">
        <v>52.42</v>
      </c>
      <c r="E2699" s="116">
        <v>53.75</v>
      </c>
      <c r="F2699" s="116">
        <v>52.51</v>
      </c>
      <c r="G2699">
        <v>241596</v>
      </c>
      <c r="H2699" s="116"/>
      <c r="I2699" s="116"/>
      <c r="L2699" s="170">
        <v>45979</v>
      </c>
      <c r="M2699" s="116">
        <v>52.49</v>
      </c>
      <c r="N2699" s="116">
        <v>53.99</v>
      </c>
      <c r="O2699" s="116">
        <v>52.36</v>
      </c>
      <c r="P2699" s="116">
        <v>53.7</v>
      </c>
      <c r="Q2699" s="116">
        <v>52.49</v>
      </c>
      <c r="R2699">
        <v>1372369</v>
      </c>
    </row>
    <row r="2700" spans="1:18" x14ac:dyDescent="0.25">
      <c r="A2700" s="170">
        <v>45980</v>
      </c>
      <c r="B2700" s="116">
        <v>52.71</v>
      </c>
      <c r="C2700" s="116">
        <v>51.95</v>
      </c>
      <c r="D2700" s="116">
        <v>51.66</v>
      </c>
      <c r="E2700" s="116">
        <v>52.47</v>
      </c>
      <c r="F2700" s="116">
        <v>51.95</v>
      </c>
      <c r="G2700">
        <v>182235</v>
      </c>
      <c r="H2700" s="116"/>
      <c r="I2700" s="116"/>
      <c r="L2700" s="170">
        <v>45980</v>
      </c>
      <c r="M2700" s="116">
        <v>51.92</v>
      </c>
      <c r="N2700" s="116">
        <v>52.68</v>
      </c>
      <c r="O2700" s="116">
        <v>51.7</v>
      </c>
      <c r="P2700" s="116">
        <v>52.54</v>
      </c>
      <c r="Q2700" s="116">
        <v>51.92</v>
      </c>
      <c r="R2700">
        <v>951906</v>
      </c>
    </row>
    <row r="2701" spans="1:18" x14ac:dyDescent="0.25">
      <c r="A2701" s="170">
        <v>45981</v>
      </c>
      <c r="B2701" s="116">
        <v>52.26</v>
      </c>
      <c r="C2701" s="116">
        <v>51.48</v>
      </c>
      <c r="D2701" s="116">
        <v>51.41</v>
      </c>
      <c r="E2701" s="116">
        <v>51.68</v>
      </c>
      <c r="F2701" s="116">
        <v>51.48</v>
      </c>
      <c r="G2701">
        <v>186443</v>
      </c>
      <c r="H2701" s="116"/>
      <c r="I2701" s="116"/>
      <c r="L2701" s="170">
        <v>45981</v>
      </c>
      <c r="M2701" s="116">
        <v>51.48</v>
      </c>
      <c r="N2701" s="116">
        <v>52.26</v>
      </c>
      <c r="O2701" s="116">
        <v>51.37</v>
      </c>
      <c r="P2701" s="116">
        <v>51.92</v>
      </c>
      <c r="Q2701" s="116">
        <v>51.48</v>
      </c>
      <c r="R2701">
        <v>698877</v>
      </c>
    </row>
    <row r="2702" spans="1:18" x14ac:dyDescent="0.25">
      <c r="A2702" s="170">
        <v>45982</v>
      </c>
      <c r="B2702" s="116">
        <v>51.48</v>
      </c>
      <c r="C2702" s="116">
        <v>50.91</v>
      </c>
      <c r="D2702" s="116">
        <v>50.81</v>
      </c>
      <c r="E2702" s="116">
        <v>51.32</v>
      </c>
      <c r="F2702" s="116">
        <v>50.91</v>
      </c>
      <c r="G2702">
        <v>241766</v>
      </c>
      <c r="H2702" s="116"/>
      <c r="I2702" s="116"/>
      <c r="L2702" s="170">
        <v>45982</v>
      </c>
      <c r="M2702" s="116">
        <v>50.91</v>
      </c>
      <c r="N2702" s="116">
        <v>51.53</v>
      </c>
      <c r="O2702" s="116">
        <v>50.81</v>
      </c>
      <c r="P2702" s="116">
        <v>51.49</v>
      </c>
      <c r="Q2702" s="116">
        <v>50.91</v>
      </c>
      <c r="R2702">
        <v>801850</v>
      </c>
    </row>
    <row r="2703" spans="1:18" x14ac:dyDescent="0.25">
      <c r="A2703" s="170">
        <v>45985</v>
      </c>
      <c r="B2703" s="116">
        <v>51.71</v>
      </c>
      <c r="C2703" s="116">
        <v>50.59</v>
      </c>
      <c r="D2703" s="116">
        <v>50.41</v>
      </c>
      <c r="E2703" s="116">
        <v>50.64</v>
      </c>
      <c r="F2703" s="116">
        <v>50.59</v>
      </c>
      <c r="G2703">
        <v>257407</v>
      </c>
      <c r="H2703" s="116"/>
      <c r="I2703" s="116"/>
      <c r="L2703" s="170">
        <v>45985</v>
      </c>
      <c r="M2703" s="116">
        <v>50.66</v>
      </c>
      <c r="N2703" s="116">
        <v>51.75</v>
      </c>
      <c r="O2703" s="116">
        <v>50.4</v>
      </c>
      <c r="P2703" s="116">
        <v>50.88</v>
      </c>
      <c r="Q2703" s="116">
        <v>50.66</v>
      </c>
      <c r="R2703">
        <v>1690076</v>
      </c>
    </row>
    <row r="2704" spans="1:18" x14ac:dyDescent="0.25">
      <c r="A2704" s="170">
        <v>45986</v>
      </c>
      <c r="B2704" s="116">
        <v>51.07</v>
      </c>
      <c r="C2704" s="116">
        <v>50.9</v>
      </c>
      <c r="D2704" s="116">
        <v>50.29</v>
      </c>
      <c r="E2704" s="116">
        <v>50.29</v>
      </c>
      <c r="F2704" s="116">
        <v>50.9</v>
      </c>
      <c r="G2704">
        <v>185364</v>
      </c>
      <c r="H2704" s="116"/>
      <c r="I2704" s="116"/>
      <c r="L2704" s="170">
        <v>45986</v>
      </c>
      <c r="M2704" s="116">
        <v>50.8</v>
      </c>
      <c r="N2704" s="116">
        <v>51.15</v>
      </c>
      <c r="O2704" s="116">
        <v>50.4</v>
      </c>
      <c r="P2704" s="116">
        <v>51</v>
      </c>
      <c r="Q2704" s="116">
        <v>50.8</v>
      </c>
      <c r="R2704">
        <v>863655</v>
      </c>
    </row>
    <row r="2705" spans="1:18" x14ac:dyDescent="0.25">
      <c r="A2705" s="170">
        <v>45987</v>
      </c>
      <c r="B2705" s="116">
        <v>51.25</v>
      </c>
      <c r="C2705" s="116">
        <v>50.83</v>
      </c>
      <c r="D2705" s="116">
        <v>50.16</v>
      </c>
      <c r="E2705" s="116">
        <v>50.76</v>
      </c>
      <c r="F2705" s="116">
        <v>50.83</v>
      </c>
      <c r="G2705">
        <v>168937</v>
      </c>
      <c r="H2705" s="116"/>
      <c r="I2705" s="116"/>
      <c r="L2705" s="170">
        <v>45987</v>
      </c>
      <c r="M2705" s="116">
        <v>50.82</v>
      </c>
      <c r="N2705" s="116">
        <v>51.25</v>
      </c>
      <c r="O2705" s="116">
        <v>50.42</v>
      </c>
      <c r="P2705" s="116">
        <v>50.61</v>
      </c>
      <c r="Q2705" s="116">
        <v>50.82</v>
      </c>
      <c r="R2705">
        <v>647027</v>
      </c>
    </row>
    <row r="2706" spans="1:18" x14ac:dyDescent="0.25">
      <c r="A2706" s="170">
        <v>45988</v>
      </c>
      <c r="B2706" s="116">
        <v>54.4</v>
      </c>
      <c r="C2706" s="116">
        <v>52.95</v>
      </c>
      <c r="D2706" s="116">
        <v>50.82</v>
      </c>
      <c r="E2706" s="116">
        <v>50.83</v>
      </c>
      <c r="F2706" s="116">
        <v>52.95</v>
      </c>
      <c r="G2706">
        <v>1113257</v>
      </c>
      <c r="H2706" s="116"/>
      <c r="I2706" s="116"/>
      <c r="L2706" s="170">
        <v>45988</v>
      </c>
      <c r="M2706" s="116">
        <v>52.94</v>
      </c>
      <c r="N2706" s="116">
        <v>54.6</v>
      </c>
      <c r="O2706" s="116">
        <v>50.82</v>
      </c>
      <c r="P2706" s="116">
        <v>50.82</v>
      </c>
      <c r="Q2706" s="116">
        <v>52.94</v>
      </c>
      <c r="R2706">
        <v>8030389</v>
      </c>
    </row>
    <row r="2707" spans="1:18" x14ac:dyDescent="0.25">
      <c r="A2707" s="170">
        <v>45989</v>
      </c>
      <c r="B2707" s="116">
        <v>52.96</v>
      </c>
      <c r="C2707" s="116">
        <v>51.81</v>
      </c>
      <c r="D2707" s="116">
        <v>51.29</v>
      </c>
      <c r="E2707" s="116">
        <v>52.95</v>
      </c>
      <c r="F2707" s="116">
        <v>51.81</v>
      </c>
      <c r="G2707">
        <v>214995</v>
      </c>
      <c r="H2707" s="116"/>
      <c r="I2707" s="116"/>
      <c r="L2707" s="170">
        <v>45989</v>
      </c>
      <c r="M2707" s="116">
        <v>51.84</v>
      </c>
      <c r="N2707" s="116">
        <v>52.94</v>
      </c>
      <c r="O2707" s="116">
        <v>51.27</v>
      </c>
      <c r="P2707" s="116">
        <v>52.9</v>
      </c>
      <c r="Q2707" s="116">
        <v>51.84</v>
      </c>
      <c r="R2707">
        <v>1127052</v>
      </c>
    </row>
    <row r="2708" spans="1:18" x14ac:dyDescent="0.25">
      <c r="A2708" s="170">
        <v>45992</v>
      </c>
      <c r="B2708" s="116">
        <v>52.67</v>
      </c>
      <c r="C2708" s="116">
        <v>52.36</v>
      </c>
      <c r="D2708" s="116">
        <v>51.41</v>
      </c>
      <c r="E2708" s="116">
        <v>51.92</v>
      </c>
      <c r="F2708" s="116">
        <v>52.36</v>
      </c>
      <c r="G2708">
        <v>101178</v>
      </c>
      <c r="H2708" s="116"/>
      <c r="I2708" s="116"/>
      <c r="L2708" s="170">
        <v>45992</v>
      </c>
      <c r="M2708" s="116">
        <v>52.23</v>
      </c>
      <c r="N2708" s="116">
        <v>52.8</v>
      </c>
      <c r="O2708" s="116">
        <v>51.4</v>
      </c>
      <c r="P2708" s="116">
        <v>52</v>
      </c>
      <c r="Q2708" s="116">
        <v>52.23</v>
      </c>
      <c r="R2708">
        <v>1627838</v>
      </c>
    </row>
    <row r="2709" spans="1:18" x14ac:dyDescent="0.25">
      <c r="A2709" s="170">
        <v>45993</v>
      </c>
      <c r="B2709">
        <v>52.7</v>
      </c>
      <c r="C2709">
        <v>51.81</v>
      </c>
      <c r="D2709">
        <v>51.5</v>
      </c>
      <c r="E2709">
        <v>52.47</v>
      </c>
      <c r="F2709">
        <v>51.81</v>
      </c>
      <c r="G2709">
        <v>117526</v>
      </c>
      <c r="H2709" s="116"/>
      <c r="I2709" s="116"/>
      <c r="L2709" s="170">
        <v>45993</v>
      </c>
      <c r="M2709" s="116">
        <v>51.83</v>
      </c>
      <c r="N2709" s="116">
        <v>52.67</v>
      </c>
      <c r="O2709" s="116">
        <v>51.46</v>
      </c>
      <c r="P2709" s="116">
        <v>52.24</v>
      </c>
      <c r="Q2709" s="116">
        <v>51.83</v>
      </c>
      <c r="R2709">
        <v>580528</v>
      </c>
    </row>
    <row r="2710" spans="1:18" x14ac:dyDescent="0.25">
      <c r="A2710" s="170">
        <v>45994</v>
      </c>
      <c r="B2710">
        <v>51.74</v>
      </c>
      <c r="C2710">
        <v>50.77</v>
      </c>
      <c r="D2710">
        <v>50.61</v>
      </c>
      <c r="E2710">
        <v>51.49</v>
      </c>
      <c r="F2710">
        <v>50.77</v>
      </c>
      <c r="G2710">
        <v>143328</v>
      </c>
      <c r="H2710" s="116"/>
      <c r="I2710" s="116"/>
      <c r="L2710" s="170">
        <v>45994</v>
      </c>
      <c r="M2710" s="116">
        <v>50.73</v>
      </c>
      <c r="N2710" s="116">
        <v>51.8</v>
      </c>
      <c r="O2710" s="116">
        <v>50.6</v>
      </c>
      <c r="P2710" s="116">
        <v>51.8</v>
      </c>
      <c r="Q2710" s="116">
        <v>50.73</v>
      </c>
      <c r="R2710">
        <v>844913</v>
      </c>
    </row>
    <row r="2711" spans="1:18" x14ac:dyDescent="0.25">
      <c r="A2711" s="170">
        <v>45995</v>
      </c>
      <c r="B2711">
        <v>50.97</v>
      </c>
      <c r="C2711">
        <v>50.27</v>
      </c>
      <c r="D2711">
        <v>50.13</v>
      </c>
      <c r="E2711">
        <v>50.81</v>
      </c>
      <c r="F2711">
        <v>50.27</v>
      </c>
      <c r="G2711">
        <v>130468</v>
      </c>
      <c r="H2711" s="116"/>
      <c r="I2711" s="116"/>
      <c r="L2711" s="170">
        <v>45995</v>
      </c>
      <c r="M2711" s="116">
        <v>50.32</v>
      </c>
      <c r="N2711" s="116">
        <v>51.05</v>
      </c>
      <c r="O2711" s="116">
        <v>50.05</v>
      </c>
      <c r="P2711" s="116">
        <v>50.7</v>
      </c>
      <c r="Q2711" s="116">
        <v>50.32</v>
      </c>
      <c r="R2711">
        <v>772997</v>
      </c>
    </row>
    <row r="2712" spans="1:18" x14ac:dyDescent="0.25">
      <c r="A2712" s="170">
        <v>45996</v>
      </c>
      <c r="B2712">
        <v>50.31</v>
      </c>
      <c r="C2712">
        <v>49.16</v>
      </c>
      <c r="D2712">
        <v>49.01</v>
      </c>
      <c r="E2712">
        <v>50.27</v>
      </c>
      <c r="F2712">
        <v>49.16</v>
      </c>
      <c r="G2712">
        <v>178130</v>
      </c>
      <c r="H2712" s="116"/>
      <c r="I2712" s="116"/>
      <c r="L2712" s="170">
        <v>45996</v>
      </c>
      <c r="M2712" s="116">
        <v>49.14</v>
      </c>
      <c r="N2712" s="116">
        <v>50.46</v>
      </c>
      <c r="O2712" s="116">
        <v>48.83</v>
      </c>
      <c r="P2712" s="116">
        <v>50.32</v>
      </c>
      <c r="Q2712" s="116">
        <v>49.14</v>
      </c>
      <c r="R2712">
        <v>1529001</v>
      </c>
    </row>
    <row r="2713" spans="1:18" x14ac:dyDescent="0.25">
      <c r="A2713" s="170">
        <v>45999</v>
      </c>
      <c r="B2713">
        <v>50.49</v>
      </c>
      <c r="C2713">
        <v>45.68</v>
      </c>
      <c r="D2713">
        <v>44.6</v>
      </c>
      <c r="E2713">
        <v>50.49</v>
      </c>
      <c r="F2713">
        <v>45.68</v>
      </c>
      <c r="G2713">
        <v>987074</v>
      </c>
      <c r="H2713" s="116"/>
      <c r="I2713" s="116"/>
      <c r="L2713" s="170">
        <v>45999</v>
      </c>
      <c r="M2713" s="116">
        <v>45.65</v>
      </c>
      <c r="N2713" s="116">
        <v>49.5</v>
      </c>
      <c r="O2713" s="116">
        <v>44.52</v>
      </c>
      <c r="P2713" s="116">
        <v>49.16</v>
      </c>
      <c r="Q2713" s="116">
        <v>45.65</v>
      </c>
      <c r="R2713">
        <v>6447323</v>
      </c>
    </row>
    <row r="2714" spans="1:18" x14ac:dyDescent="0.25">
      <c r="A2714" s="170">
        <v>46000</v>
      </c>
      <c r="B2714">
        <v>54.63</v>
      </c>
      <c r="C2714">
        <v>53.81</v>
      </c>
      <c r="D2714">
        <v>45.73</v>
      </c>
      <c r="E2714">
        <v>45.84</v>
      </c>
      <c r="F2714">
        <v>53.81</v>
      </c>
      <c r="G2714">
        <v>16480719</v>
      </c>
      <c r="H2714" s="116"/>
      <c r="I2714" s="116"/>
      <c r="L2714" s="170">
        <v>46000</v>
      </c>
      <c r="M2714" s="116">
        <v>53.77</v>
      </c>
      <c r="N2714" s="116">
        <v>54.78</v>
      </c>
      <c r="O2714" s="116">
        <v>45.66</v>
      </c>
      <c r="P2714" s="116">
        <v>45.95</v>
      </c>
      <c r="Q2714" s="116">
        <v>53.77</v>
      </c>
      <c r="R2714">
        <v>115198841</v>
      </c>
    </row>
    <row r="2715" spans="1:18" x14ac:dyDescent="0.25">
      <c r="A2715" s="170">
        <v>46001</v>
      </c>
      <c r="B2715">
        <v>53.2</v>
      </c>
      <c r="C2715">
        <v>51.28</v>
      </c>
      <c r="D2715">
        <v>50.24</v>
      </c>
      <c r="E2715">
        <v>52.29</v>
      </c>
      <c r="F2715">
        <v>51.28</v>
      </c>
      <c r="G2715">
        <v>3873792</v>
      </c>
      <c r="H2715" s="116"/>
      <c r="I2715" s="116"/>
      <c r="L2715" s="170">
        <v>46001</v>
      </c>
      <c r="M2715" s="116">
        <v>51.49</v>
      </c>
      <c r="N2715" s="116">
        <v>53.23</v>
      </c>
      <c r="O2715" s="116">
        <v>50.01</v>
      </c>
      <c r="P2715" s="116">
        <v>52.3</v>
      </c>
      <c r="Q2715" s="116">
        <v>51.49</v>
      </c>
      <c r="R2715">
        <v>36612088</v>
      </c>
    </row>
    <row r="2716" spans="1:18" x14ac:dyDescent="0.25">
      <c r="A2716" s="170">
        <v>46002</v>
      </c>
      <c r="B2716">
        <v>51.14</v>
      </c>
      <c r="C2716">
        <v>50.71</v>
      </c>
      <c r="D2716">
        <v>48.86</v>
      </c>
      <c r="E2716">
        <v>51.1</v>
      </c>
      <c r="F2716">
        <v>50.71</v>
      </c>
      <c r="G2716">
        <v>1118418</v>
      </c>
      <c r="H2716" s="116"/>
      <c r="I2716" s="116"/>
      <c r="L2716" s="170">
        <v>46002</v>
      </c>
      <c r="M2716" s="116">
        <v>50.72</v>
      </c>
      <c r="N2716" s="116">
        <v>51.39</v>
      </c>
      <c r="O2716" s="116">
        <v>48.83</v>
      </c>
      <c r="P2716" s="116">
        <v>51.06</v>
      </c>
      <c r="Q2716" s="116">
        <v>50.72</v>
      </c>
      <c r="R2716">
        <v>13697185</v>
      </c>
    </row>
    <row r="2717" spans="1:18" x14ac:dyDescent="0.25">
      <c r="A2717" s="170">
        <v>46003</v>
      </c>
      <c r="B2717">
        <v>50.72</v>
      </c>
      <c r="C2717">
        <v>49.06</v>
      </c>
      <c r="D2717">
        <v>48.67</v>
      </c>
      <c r="E2717">
        <v>50.33</v>
      </c>
      <c r="F2717">
        <v>49.06</v>
      </c>
      <c r="G2717">
        <v>545160</v>
      </c>
      <c r="H2717" s="116"/>
      <c r="I2717" s="116"/>
      <c r="L2717" s="170">
        <v>46003</v>
      </c>
      <c r="M2717" s="116">
        <v>49.1</v>
      </c>
      <c r="N2717" s="116">
        <v>50.73</v>
      </c>
      <c r="O2717" s="116">
        <v>48.62</v>
      </c>
      <c r="P2717" s="116">
        <v>50.44</v>
      </c>
      <c r="Q2717" s="116">
        <v>49.1</v>
      </c>
      <c r="R2717">
        <v>7030695</v>
      </c>
    </row>
    <row r="2718" spans="1:18" x14ac:dyDescent="0.25">
      <c r="A2718" s="170">
        <v>46006</v>
      </c>
      <c r="B2718">
        <v>49.08</v>
      </c>
      <c r="C2718">
        <v>48.68</v>
      </c>
      <c r="D2718">
        <v>48.4</v>
      </c>
      <c r="E2718">
        <v>48.62</v>
      </c>
      <c r="F2718">
        <v>48.68</v>
      </c>
      <c r="G2718">
        <v>187725</v>
      </c>
      <c r="H2718" s="116"/>
      <c r="I2718" s="116"/>
      <c r="L2718" s="170">
        <v>46006</v>
      </c>
      <c r="M2718" s="116">
        <v>48.69</v>
      </c>
      <c r="N2718" s="116">
        <v>49.05</v>
      </c>
      <c r="O2718" s="116">
        <v>48.4</v>
      </c>
      <c r="P2718" s="116">
        <v>49.04</v>
      </c>
      <c r="Q2718" s="116">
        <v>48.69</v>
      </c>
      <c r="R2718">
        <v>2522358</v>
      </c>
    </row>
    <row r="2719" spans="1:18" x14ac:dyDescent="0.25">
      <c r="A2719" s="170">
        <v>46007</v>
      </c>
      <c r="B2719">
        <v>54.71</v>
      </c>
      <c r="C2719">
        <v>51.43</v>
      </c>
      <c r="D2719">
        <v>48.5</v>
      </c>
      <c r="E2719">
        <v>48.51</v>
      </c>
      <c r="F2719">
        <v>51.43</v>
      </c>
      <c r="G2719">
        <v>9022089</v>
      </c>
      <c r="H2719" s="116"/>
      <c r="I2719" s="116"/>
      <c r="L2719" s="170">
        <v>46007</v>
      </c>
      <c r="M2719" s="116">
        <v>51.36</v>
      </c>
      <c r="N2719" s="116">
        <v>54.7</v>
      </c>
      <c r="O2719" s="116">
        <v>48.5</v>
      </c>
      <c r="P2719" s="116">
        <v>48.74</v>
      </c>
      <c r="Q2719" s="116">
        <v>51.36</v>
      </c>
      <c r="R2719">
        <v>133468601</v>
      </c>
    </row>
    <row r="2720" spans="1:18" x14ac:dyDescent="0.25">
      <c r="A2720" s="170">
        <v>46008</v>
      </c>
      <c r="B2720">
        <v>51.36</v>
      </c>
      <c r="C2720">
        <v>50.71</v>
      </c>
      <c r="D2720">
        <v>49.91</v>
      </c>
      <c r="E2720">
        <v>50.94</v>
      </c>
      <c r="F2720">
        <v>50.71</v>
      </c>
      <c r="G2720">
        <v>1065997</v>
      </c>
      <c r="H2720" s="116"/>
      <c r="I2720" s="116"/>
      <c r="L2720" s="170">
        <v>46008</v>
      </c>
      <c r="M2720" s="116">
        <v>50.63</v>
      </c>
      <c r="N2720" s="116">
        <v>51.3</v>
      </c>
      <c r="O2720" s="116">
        <v>49.86</v>
      </c>
      <c r="P2720" s="116">
        <v>50.9</v>
      </c>
      <c r="Q2720" s="116">
        <v>50.63</v>
      </c>
      <c r="R2720">
        <v>8293139</v>
      </c>
    </row>
    <row r="2721" spans="1:18" x14ac:dyDescent="0.25">
      <c r="A2721" s="170">
        <v>46009</v>
      </c>
      <c r="B2721">
        <v>50.51</v>
      </c>
      <c r="C2721">
        <v>49.9</v>
      </c>
      <c r="D2721">
        <v>49.14</v>
      </c>
      <c r="E2721">
        <v>50.51</v>
      </c>
      <c r="F2721">
        <v>49.9</v>
      </c>
      <c r="G2721">
        <v>680581</v>
      </c>
      <c r="H2721" s="116"/>
      <c r="I2721" s="116"/>
      <c r="L2721" s="170">
        <v>46009</v>
      </c>
      <c r="M2721" s="116">
        <v>49.9</v>
      </c>
      <c r="N2721" s="116">
        <v>50.47</v>
      </c>
      <c r="O2721" s="116">
        <v>49.15</v>
      </c>
      <c r="P2721" s="116">
        <v>50.45</v>
      </c>
      <c r="Q2721" s="116">
        <v>49.9</v>
      </c>
      <c r="R2721">
        <v>4483136</v>
      </c>
    </row>
    <row r="2722" spans="1:18" x14ac:dyDescent="0.25">
      <c r="A2722" s="170">
        <v>46010</v>
      </c>
      <c r="B2722">
        <v>50.85</v>
      </c>
      <c r="C2722">
        <v>49.81</v>
      </c>
      <c r="D2722">
        <v>49.52</v>
      </c>
      <c r="E2722">
        <v>50.36</v>
      </c>
      <c r="F2722">
        <v>49.81</v>
      </c>
      <c r="G2722">
        <v>580356</v>
      </c>
      <c r="H2722" s="116"/>
      <c r="I2722" s="116"/>
      <c r="L2722" s="170">
        <v>46010</v>
      </c>
      <c r="M2722" s="116">
        <v>49.87</v>
      </c>
      <c r="N2722" s="116">
        <v>50.86</v>
      </c>
      <c r="O2722" s="116">
        <v>49.51</v>
      </c>
      <c r="P2722" s="116">
        <v>49.9</v>
      </c>
      <c r="Q2722" s="116">
        <v>49.87</v>
      </c>
      <c r="R2722">
        <v>5649410</v>
      </c>
    </row>
    <row r="2723" spans="1:18" x14ac:dyDescent="0.25">
      <c r="A2723" s="170">
        <v>46013</v>
      </c>
      <c r="B2723">
        <v>50.48</v>
      </c>
      <c r="C2723">
        <v>49.93</v>
      </c>
      <c r="D2723">
        <v>49.7</v>
      </c>
      <c r="E2723">
        <v>50.18</v>
      </c>
      <c r="F2723">
        <v>49.93</v>
      </c>
      <c r="G2723">
        <v>169449</v>
      </c>
      <c r="H2723" s="116"/>
      <c r="I2723" s="116"/>
      <c r="L2723" s="170">
        <v>46013</v>
      </c>
      <c r="M2723" s="116">
        <v>49.93</v>
      </c>
      <c r="N2723" s="116">
        <v>50.6</v>
      </c>
      <c r="O2723" s="116">
        <v>49.62</v>
      </c>
      <c r="P2723" s="116">
        <v>50.4</v>
      </c>
      <c r="Q2723" s="116">
        <v>49.93</v>
      </c>
      <c r="R2723">
        <v>1988428</v>
      </c>
    </row>
    <row r="2724" spans="1:18" x14ac:dyDescent="0.25">
      <c r="A2724" s="170">
        <v>46014</v>
      </c>
      <c r="B2724">
        <v>50.22</v>
      </c>
      <c r="C2724">
        <v>49.57</v>
      </c>
      <c r="D2724">
        <v>49.5</v>
      </c>
      <c r="E2724">
        <v>50.17</v>
      </c>
      <c r="F2724">
        <v>49.57</v>
      </c>
      <c r="G2724">
        <v>433635</v>
      </c>
      <c r="H2724" s="116"/>
      <c r="I2724" s="116"/>
      <c r="L2724" s="170">
        <v>46014</v>
      </c>
      <c r="M2724" s="116">
        <v>49.57</v>
      </c>
      <c r="N2724" s="116">
        <v>50.15</v>
      </c>
      <c r="O2724" s="116">
        <v>49.4</v>
      </c>
      <c r="P2724" s="116">
        <v>50.1</v>
      </c>
      <c r="Q2724" s="116">
        <v>49.57</v>
      </c>
      <c r="R2724">
        <v>2226070</v>
      </c>
    </row>
    <row r="2725" spans="1:18" x14ac:dyDescent="0.25">
      <c r="A2725" s="170">
        <v>46015</v>
      </c>
      <c r="B2725">
        <v>53.13</v>
      </c>
      <c r="C2725">
        <v>50.97</v>
      </c>
      <c r="D2725">
        <v>49.65</v>
      </c>
      <c r="E2725">
        <v>50.01</v>
      </c>
      <c r="F2725">
        <v>50.97</v>
      </c>
      <c r="G2725">
        <v>2008188</v>
      </c>
      <c r="H2725" s="116"/>
      <c r="I2725" s="116"/>
      <c r="L2725" s="170">
        <v>46015</v>
      </c>
      <c r="M2725" s="116">
        <v>50.97</v>
      </c>
      <c r="N2725" s="116">
        <v>53.14</v>
      </c>
      <c r="O2725" s="116">
        <v>49.7</v>
      </c>
      <c r="P2725" s="116">
        <v>49.94</v>
      </c>
      <c r="Q2725" s="116">
        <v>50.97</v>
      </c>
      <c r="R2725">
        <v>17135791</v>
      </c>
    </row>
    <row r="2726" spans="1:18" x14ac:dyDescent="0.25">
      <c r="A2726" s="170">
        <v>46017</v>
      </c>
      <c r="B2726">
        <v>50.99</v>
      </c>
      <c r="C2726">
        <v>50.19</v>
      </c>
      <c r="D2726">
        <v>50.01</v>
      </c>
      <c r="E2726">
        <v>50.9</v>
      </c>
      <c r="F2726">
        <v>50.19</v>
      </c>
      <c r="G2726">
        <v>588854</v>
      </c>
      <c r="H2726" s="116"/>
      <c r="I2726" s="116"/>
      <c r="L2726" s="170">
        <v>46017</v>
      </c>
      <c r="M2726" s="116">
        <v>50.14</v>
      </c>
      <c r="N2726" s="116">
        <v>50.68</v>
      </c>
      <c r="O2726" s="116">
        <v>50.05</v>
      </c>
      <c r="P2726" s="116">
        <v>50.2</v>
      </c>
      <c r="Q2726" s="116">
        <v>50.14</v>
      </c>
      <c r="R2726">
        <v>1919847</v>
      </c>
    </row>
    <row r="2727" spans="1:18" x14ac:dyDescent="0.25">
      <c r="A2727" s="170">
        <v>46020</v>
      </c>
      <c r="B2727">
        <v>50.22</v>
      </c>
      <c r="C2727">
        <v>49.27</v>
      </c>
      <c r="D2727">
        <v>49.05</v>
      </c>
      <c r="E2727">
        <v>50.07</v>
      </c>
      <c r="F2727">
        <v>49.27</v>
      </c>
      <c r="G2727">
        <v>598971</v>
      </c>
      <c r="H2727" s="116"/>
      <c r="I2727" s="116"/>
      <c r="L2727" s="170">
        <v>46020</v>
      </c>
      <c r="M2727" s="116">
        <v>49.23</v>
      </c>
      <c r="N2727" s="116">
        <v>50.3</v>
      </c>
      <c r="O2727" s="116">
        <v>49</v>
      </c>
      <c r="P2727" s="116">
        <v>50.14</v>
      </c>
      <c r="Q2727" s="116">
        <v>49.23</v>
      </c>
      <c r="R2727">
        <v>2377403</v>
      </c>
    </row>
    <row r="2728" spans="1:18" x14ac:dyDescent="0.25">
      <c r="A2728" s="170">
        <v>46021</v>
      </c>
      <c r="B2728">
        <v>50.29</v>
      </c>
      <c r="C2728">
        <v>49.73</v>
      </c>
      <c r="D2728">
        <v>49.06</v>
      </c>
      <c r="E2728">
        <v>49.2</v>
      </c>
      <c r="F2728">
        <v>49.73</v>
      </c>
      <c r="G2728">
        <v>573411</v>
      </c>
      <c r="H2728" s="116"/>
      <c r="I2728" s="116"/>
      <c r="L2728" s="170">
        <v>46021</v>
      </c>
      <c r="M2728" s="116">
        <v>49.71</v>
      </c>
      <c r="N2728" s="116">
        <v>50.36</v>
      </c>
      <c r="O2728" s="116">
        <v>49.1</v>
      </c>
      <c r="P2728" s="116">
        <v>49.23</v>
      </c>
      <c r="Q2728" s="116">
        <v>49.71</v>
      </c>
      <c r="R2728">
        <v>3643959</v>
      </c>
    </row>
    <row r="2729" spans="1:18" x14ac:dyDescent="0.25">
      <c r="A2729" s="170">
        <v>46022</v>
      </c>
      <c r="B2729">
        <v>50.39</v>
      </c>
      <c r="C2729">
        <v>49.59</v>
      </c>
      <c r="D2729">
        <v>49.4</v>
      </c>
      <c r="E2729">
        <v>49.77</v>
      </c>
      <c r="F2729">
        <v>49.59</v>
      </c>
      <c r="G2729">
        <v>529203</v>
      </c>
      <c r="H2729" s="116"/>
      <c r="I2729" s="116"/>
      <c r="L2729" s="170">
        <v>46022</v>
      </c>
      <c r="M2729" s="116">
        <v>49.57</v>
      </c>
      <c r="N2729" s="116">
        <v>50.41</v>
      </c>
      <c r="O2729" s="116">
        <v>49.4</v>
      </c>
      <c r="P2729" s="116">
        <v>49.84</v>
      </c>
      <c r="Q2729" s="116">
        <v>49.57</v>
      </c>
      <c r="R2729">
        <v>3110420</v>
      </c>
    </row>
    <row r="2730" spans="1:18" x14ac:dyDescent="0.25">
      <c r="A2730" s="170">
        <v>46023</v>
      </c>
      <c r="B2730">
        <v>49.9</v>
      </c>
      <c r="C2730">
        <v>49.57</v>
      </c>
      <c r="D2730">
        <v>49.39</v>
      </c>
      <c r="E2730">
        <v>49.51</v>
      </c>
      <c r="F2730">
        <v>49.57</v>
      </c>
      <c r="G2730">
        <v>320826</v>
      </c>
      <c r="H2730" s="116"/>
      <c r="I2730" s="116"/>
      <c r="L2730" s="170">
        <v>46023</v>
      </c>
      <c r="M2730" s="116">
        <v>49.56</v>
      </c>
      <c r="N2730" s="116">
        <v>49.92</v>
      </c>
      <c r="O2730" s="116">
        <v>49.4</v>
      </c>
      <c r="P2730" s="116">
        <v>49.57</v>
      </c>
      <c r="Q2730" s="116">
        <v>49.56</v>
      </c>
      <c r="R2730">
        <v>1394039</v>
      </c>
    </row>
    <row r="2731" spans="1:18" x14ac:dyDescent="0.25">
      <c r="A2731" s="170">
        <v>46024</v>
      </c>
      <c r="B2731">
        <v>49.95</v>
      </c>
      <c r="C2731">
        <v>49.79</v>
      </c>
      <c r="D2731">
        <v>49.31</v>
      </c>
      <c r="E2731">
        <v>49.63</v>
      </c>
      <c r="F2731">
        <v>49.79</v>
      </c>
      <c r="G2731">
        <v>334604</v>
      </c>
      <c r="H2731" s="116"/>
      <c r="I2731" s="116"/>
      <c r="L2731" s="170">
        <v>46024</v>
      </c>
      <c r="M2731" s="116">
        <v>49.79</v>
      </c>
      <c r="N2731" s="116">
        <v>49.98</v>
      </c>
      <c r="O2731" s="116">
        <v>49.28</v>
      </c>
      <c r="P2731" s="116">
        <v>49.8</v>
      </c>
      <c r="Q2731" s="116">
        <v>49.79</v>
      </c>
      <c r="R2731">
        <v>1549654</v>
      </c>
    </row>
    <row r="2732" spans="1:18" x14ac:dyDescent="0.25">
      <c r="A2732" s="170">
        <v>46027</v>
      </c>
      <c r="B2732">
        <v>50.15</v>
      </c>
      <c r="C2732">
        <v>49.54</v>
      </c>
      <c r="D2732">
        <v>49.4</v>
      </c>
      <c r="E2732">
        <v>49.55</v>
      </c>
      <c r="F2732">
        <v>49.54</v>
      </c>
      <c r="G2732">
        <v>289053</v>
      </c>
      <c r="H2732" s="116"/>
      <c r="I2732" s="116"/>
      <c r="L2732" s="170">
        <v>46027</v>
      </c>
      <c r="M2732" s="116">
        <v>49.47</v>
      </c>
      <c r="N2732" s="116">
        <v>50.1</v>
      </c>
      <c r="O2732" s="116">
        <v>49.4</v>
      </c>
      <c r="P2732" s="116">
        <v>49.89</v>
      </c>
      <c r="Q2732" s="116">
        <v>49.47</v>
      </c>
      <c r="R2732">
        <v>1163959</v>
      </c>
    </row>
    <row r="2733" spans="1:18" x14ac:dyDescent="0.25">
      <c r="A2733" s="170">
        <v>46028</v>
      </c>
      <c r="B2733">
        <v>49.58</v>
      </c>
      <c r="C2733">
        <v>48.59</v>
      </c>
      <c r="D2733">
        <v>48.26</v>
      </c>
      <c r="E2733">
        <v>49.31</v>
      </c>
      <c r="F2733">
        <v>48.59</v>
      </c>
      <c r="G2733">
        <v>543791</v>
      </c>
      <c r="H2733" s="116"/>
      <c r="I2733" s="116"/>
      <c r="L2733" s="170">
        <v>46028</v>
      </c>
      <c r="M2733" s="116">
        <v>48.49</v>
      </c>
      <c r="N2733" s="116">
        <v>49.6</v>
      </c>
      <c r="O2733" s="116">
        <v>48.25</v>
      </c>
      <c r="P2733" s="116">
        <v>49.47</v>
      </c>
      <c r="Q2733" s="116">
        <v>48.49</v>
      </c>
      <c r="R2733">
        <v>2710870</v>
      </c>
    </row>
    <row r="2734" spans="1:18" x14ac:dyDescent="0.25">
      <c r="A2734" s="170">
        <v>46029</v>
      </c>
      <c r="B2734">
        <v>48.69</v>
      </c>
      <c r="C2734">
        <v>48.31</v>
      </c>
      <c r="D2734">
        <v>48.01</v>
      </c>
      <c r="E2734">
        <v>48.11</v>
      </c>
      <c r="F2734">
        <v>48.31</v>
      </c>
      <c r="G2734">
        <v>267144</v>
      </c>
      <c r="H2734" s="116"/>
      <c r="I2734" s="116"/>
      <c r="L2734" s="170">
        <v>46029</v>
      </c>
      <c r="M2734" s="116">
        <v>48.3</v>
      </c>
      <c r="N2734" s="116">
        <v>48.68</v>
      </c>
      <c r="O2734" s="116">
        <v>48.05</v>
      </c>
      <c r="P2734" s="116">
        <v>48.49</v>
      </c>
      <c r="Q2734" s="116">
        <v>48.3</v>
      </c>
      <c r="R2734">
        <v>1525221</v>
      </c>
    </row>
    <row r="2735" spans="1:18" x14ac:dyDescent="0.25">
      <c r="A2735" s="170">
        <v>46030</v>
      </c>
      <c r="B2735">
        <v>48.43</v>
      </c>
      <c r="C2735">
        <v>47.75</v>
      </c>
      <c r="D2735">
        <v>47.42</v>
      </c>
      <c r="E2735">
        <v>48.2</v>
      </c>
      <c r="F2735">
        <v>47.75</v>
      </c>
      <c r="G2735">
        <v>385023</v>
      </c>
      <c r="H2735" s="116"/>
      <c r="I2735" s="116"/>
      <c r="L2735" s="170">
        <v>46030</v>
      </c>
      <c r="M2735" s="116">
        <v>47.68</v>
      </c>
      <c r="N2735" s="116">
        <v>48.42</v>
      </c>
      <c r="O2735" s="116">
        <v>47.4</v>
      </c>
      <c r="P2735" s="116">
        <v>48.28</v>
      </c>
      <c r="Q2735" s="116">
        <v>47.68</v>
      </c>
      <c r="R2735">
        <v>1461150</v>
      </c>
    </row>
    <row r="2736" spans="1:18" x14ac:dyDescent="0.25">
      <c r="A2736" s="170">
        <v>46031</v>
      </c>
      <c r="B2736">
        <v>48.18</v>
      </c>
      <c r="C2736">
        <v>46.88</v>
      </c>
      <c r="D2736">
        <v>45.5</v>
      </c>
      <c r="E2736">
        <v>47.92</v>
      </c>
      <c r="F2736">
        <v>46.88</v>
      </c>
      <c r="G2736">
        <v>528200</v>
      </c>
      <c r="H2736" s="116"/>
      <c r="I2736" s="116"/>
      <c r="L2736" s="170">
        <v>46031</v>
      </c>
      <c r="M2736" s="116">
        <v>46.7</v>
      </c>
      <c r="N2736" s="116">
        <v>48.22</v>
      </c>
      <c r="O2736" s="116">
        <v>45</v>
      </c>
      <c r="P2736" s="116">
        <v>48</v>
      </c>
      <c r="Q2736" s="116">
        <v>46.7</v>
      </c>
      <c r="R2736">
        <v>2440313</v>
      </c>
    </row>
    <row r="2737" spans="1:18" x14ac:dyDescent="0.25">
      <c r="A2737" s="170">
        <v>46034</v>
      </c>
      <c r="B2737">
        <v>46.88</v>
      </c>
      <c r="C2737">
        <v>46.1</v>
      </c>
      <c r="D2737">
        <v>45.01</v>
      </c>
      <c r="E2737">
        <v>46.38</v>
      </c>
      <c r="F2737">
        <v>46.1</v>
      </c>
      <c r="G2737">
        <v>519066</v>
      </c>
      <c r="H2737" s="116"/>
      <c r="I2737" s="116"/>
      <c r="L2737" s="170">
        <v>46034</v>
      </c>
      <c r="M2737" s="116">
        <v>46.1</v>
      </c>
      <c r="N2737" s="116">
        <v>47</v>
      </c>
      <c r="O2737" s="116">
        <v>45.03</v>
      </c>
      <c r="P2737" s="116">
        <v>46.73</v>
      </c>
      <c r="Q2737" s="116">
        <v>46.1</v>
      </c>
      <c r="R2737">
        <v>2085289</v>
      </c>
    </row>
    <row r="2738" spans="1:18" x14ac:dyDescent="0.25">
      <c r="A2738" s="170">
        <v>46035</v>
      </c>
      <c r="B2738">
        <v>47.69</v>
      </c>
      <c r="C2738">
        <v>46.71</v>
      </c>
      <c r="D2738">
        <v>46.08</v>
      </c>
      <c r="E2738">
        <v>46.5</v>
      </c>
      <c r="F2738">
        <v>46.71</v>
      </c>
      <c r="G2738">
        <v>343787</v>
      </c>
      <c r="H2738" s="116"/>
      <c r="I2738" s="116"/>
      <c r="L2738" s="170">
        <v>46035</v>
      </c>
      <c r="M2738" s="116">
        <v>46.7</v>
      </c>
      <c r="N2738" s="116">
        <v>47.71</v>
      </c>
      <c r="O2738" s="116">
        <v>46.22</v>
      </c>
      <c r="P2738" s="116">
        <v>46.58</v>
      </c>
      <c r="Q2738" s="116">
        <v>46.7</v>
      </c>
      <c r="R2738">
        <v>2821353</v>
      </c>
    </row>
    <row r="2739" spans="1:18" x14ac:dyDescent="0.25">
      <c r="A2739" s="170">
        <v>46036</v>
      </c>
      <c r="B2739">
        <v>46.98</v>
      </c>
      <c r="C2739">
        <v>46.51</v>
      </c>
      <c r="D2739">
        <v>46.3</v>
      </c>
      <c r="E2739">
        <v>46.75</v>
      </c>
      <c r="F2739">
        <v>46.51</v>
      </c>
      <c r="G2739">
        <v>228760</v>
      </c>
      <c r="H2739" s="116"/>
      <c r="I2739" s="116"/>
      <c r="L2739" s="170">
        <v>46036</v>
      </c>
      <c r="M2739" s="116">
        <v>46.5</v>
      </c>
      <c r="N2739" s="116">
        <v>47.02</v>
      </c>
      <c r="O2739" s="116">
        <v>46.27</v>
      </c>
      <c r="P2739" s="116">
        <v>46.7</v>
      </c>
      <c r="Q2739" s="116">
        <v>46.5</v>
      </c>
      <c r="R2739">
        <v>1161220</v>
      </c>
    </row>
    <row r="2740" spans="1:18" x14ac:dyDescent="0.25">
      <c r="A2740" s="170">
        <v>46038</v>
      </c>
      <c r="B2740">
        <v>46.67</v>
      </c>
      <c r="C2740">
        <v>46.01</v>
      </c>
      <c r="D2740">
        <v>45.91</v>
      </c>
      <c r="E2740">
        <v>46.25</v>
      </c>
      <c r="F2740">
        <v>46.01</v>
      </c>
      <c r="G2740">
        <v>208424</v>
      </c>
      <c r="H2740" s="116"/>
      <c r="I2740" s="116"/>
      <c r="L2740" s="170">
        <v>46038</v>
      </c>
      <c r="M2740" s="116">
        <v>46</v>
      </c>
      <c r="N2740" s="116">
        <v>46.64</v>
      </c>
      <c r="O2740" s="116">
        <v>45.9</v>
      </c>
      <c r="P2740" s="116">
        <v>46.51</v>
      </c>
      <c r="Q2740" s="116">
        <v>46</v>
      </c>
      <c r="R2740">
        <v>1129965</v>
      </c>
    </row>
    <row r="2741" spans="1:18" x14ac:dyDescent="0.25">
      <c r="A2741" s="170">
        <v>46041</v>
      </c>
      <c r="B2741">
        <v>45.99</v>
      </c>
      <c r="C2741">
        <v>45.05</v>
      </c>
      <c r="D2741">
        <v>44.9</v>
      </c>
      <c r="E2741">
        <v>45.79</v>
      </c>
      <c r="F2741">
        <v>45.05</v>
      </c>
      <c r="G2741">
        <v>294125</v>
      </c>
      <c r="H2741" s="116"/>
      <c r="I2741" s="116"/>
      <c r="L2741" s="170">
        <v>46041</v>
      </c>
      <c r="M2741" s="116">
        <v>45.02</v>
      </c>
      <c r="N2741" s="116">
        <v>45.99</v>
      </c>
      <c r="O2741" s="116">
        <v>44.95</v>
      </c>
      <c r="P2741" s="116">
        <v>45.9</v>
      </c>
      <c r="Q2741" s="116">
        <v>45.02</v>
      </c>
      <c r="R2741">
        <v>1496212</v>
      </c>
    </row>
    <row r="2742" spans="1:18" x14ac:dyDescent="0.25">
      <c r="A2742" s="170">
        <v>46042</v>
      </c>
      <c r="B2742">
        <v>45.4</v>
      </c>
      <c r="C2742">
        <v>43.56</v>
      </c>
      <c r="D2742">
        <v>42.7</v>
      </c>
      <c r="E2742">
        <v>45</v>
      </c>
      <c r="F2742">
        <v>43.56</v>
      </c>
      <c r="G2742">
        <v>980644</v>
      </c>
      <c r="H2742" s="116"/>
      <c r="I2742" s="116"/>
      <c r="L2742" s="170">
        <v>46042</v>
      </c>
      <c r="M2742" s="116">
        <v>43.66</v>
      </c>
      <c r="N2742" s="116">
        <v>45.44</v>
      </c>
      <c r="O2742" s="116">
        <v>42.63</v>
      </c>
      <c r="P2742" s="116">
        <v>45</v>
      </c>
      <c r="Q2742" s="116">
        <v>43.66</v>
      </c>
      <c r="R2742">
        <v>6849913</v>
      </c>
    </row>
    <row r="2743" spans="1:18" x14ac:dyDescent="0.25">
      <c r="A2743" s="170">
        <v>46043</v>
      </c>
      <c r="B2743">
        <v>43.78</v>
      </c>
      <c r="C2743">
        <v>42.78</v>
      </c>
      <c r="D2743">
        <v>41.87</v>
      </c>
      <c r="E2743">
        <v>43.6</v>
      </c>
      <c r="F2743">
        <v>42.78</v>
      </c>
      <c r="G2743">
        <v>397072</v>
      </c>
      <c r="H2743" s="116"/>
      <c r="I2743" s="116"/>
      <c r="L2743" s="170">
        <v>46043</v>
      </c>
      <c r="M2743" s="116">
        <v>42.75</v>
      </c>
      <c r="N2743" s="116">
        <v>43.89</v>
      </c>
      <c r="O2743" s="116">
        <v>41.9</v>
      </c>
      <c r="P2743" s="116">
        <v>43.65</v>
      </c>
      <c r="Q2743" s="116">
        <v>42.75</v>
      </c>
      <c r="R2743">
        <v>3938496</v>
      </c>
    </row>
    <row r="2744" spans="1:18" x14ac:dyDescent="0.25">
      <c r="A2744" s="170">
        <v>46044</v>
      </c>
      <c r="B2744">
        <v>44.63</v>
      </c>
      <c r="C2744">
        <v>43.56</v>
      </c>
      <c r="D2744">
        <v>42.89</v>
      </c>
      <c r="E2744">
        <v>43</v>
      </c>
      <c r="F2744">
        <v>43.56</v>
      </c>
      <c r="G2744">
        <v>420028</v>
      </c>
      <c r="H2744" s="116"/>
      <c r="I2744" s="116"/>
      <c r="L2744" s="170">
        <v>46044</v>
      </c>
      <c r="M2744" s="116">
        <v>43.48</v>
      </c>
      <c r="N2744" s="116">
        <v>44.57</v>
      </c>
      <c r="O2744" s="116">
        <v>42.9</v>
      </c>
      <c r="P2744" s="116">
        <v>43</v>
      </c>
      <c r="Q2744" s="116">
        <v>43.48</v>
      </c>
      <c r="R2744">
        <v>1906215</v>
      </c>
    </row>
    <row r="2745" spans="1:18" x14ac:dyDescent="0.25">
      <c r="A2745" s="170">
        <v>46045</v>
      </c>
      <c r="B2745">
        <v>43.49</v>
      </c>
      <c r="C2745">
        <v>42.39</v>
      </c>
      <c r="D2745">
        <v>42</v>
      </c>
      <c r="E2745">
        <v>43.04</v>
      </c>
      <c r="F2745">
        <v>42.39</v>
      </c>
      <c r="G2745">
        <v>273642</v>
      </c>
      <c r="H2745" s="116"/>
      <c r="I2745" s="116"/>
      <c r="L2745" s="170">
        <v>46045</v>
      </c>
      <c r="M2745" s="116">
        <v>42.4</v>
      </c>
      <c r="N2745" s="116">
        <v>43.45</v>
      </c>
      <c r="O2745" s="116">
        <v>42</v>
      </c>
      <c r="P2745" s="116">
        <v>43.4</v>
      </c>
      <c r="Q2745" s="116">
        <v>42.4</v>
      </c>
      <c r="R2745">
        <v>1263690</v>
      </c>
    </row>
    <row r="2746" spans="1:18" x14ac:dyDescent="0.25">
      <c r="A2746" s="170">
        <v>46049</v>
      </c>
      <c r="B2746">
        <v>42.88</v>
      </c>
      <c r="C2746">
        <v>42.37</v>
      </c>
      <c r="D2746">
        <v>41.09</v>
      </c>
      <c r="E2746">
        <v>42.4</v>
      </c>
      <c r="F2746">
        <v>42.37</v>
      </c>
      <c r="G2746">
        <v>207103</v>
      </c>
      <c r="H2746" s="116"/>
      <c r="I2746" s="116"/>
      <c r="L2746" s="170">
        <v>46049</v>
      </c>
      <c r="M2746" s="116">
        <v>42.41</v>
      </c>
      <c r="N2746" s="116">
        <v>42.83</v>
      </c>
      <c r="O2746" s="116">
        <v>41.07</v>
      </c>
      <c r="P2746" s="116">
        <v>42.55</v>
      </c>
      <c r="Q2746" s="116">
        <v>42.41</v>
      </c>
      <c r="R2746">
        <v>2497000</v>
      </c>
    </row>
    <row r="2747" spans="1:18" x14ac:dyDescent="0.25">
      <c r="A2747" s="170">
        <v>46050</v>
      </c>
      <c r="B2747">
        <v>43.91</v>
      </c>
      <c r="C2747">
        <v>43.76</v>
      </c>
      <c r="D2747">
        <v>42.38</v>
      </c>
      <c r="E2747">
        <v>42.38</v>
      </c>
      <c r="F2747">
        <v>43.76</v>
      </c>
      <c r="G2747">
        <v>139093</v>
      </c>
      <c r="H2747" s="116"/>
      <c r="I2747" s="116"/>
      <c r="L2747" s="170">
        <v>46050</v>
      </c>
      <c r="M2747" s="116">
        <v>43.77</v>
      </c>
      <c r="N2747" s="116">
        <v>43.95</v>
      </c>
      <c r="O2747" s="116">
        <v>42.59</v>
      </c>
      <c r="P2747" s="116">
        <v>42.6</v>
      </c>
      <c r="Q2747" s="116">
        <v>43.77</v>
      </c>
      <c r="R2747">
        <v>1873637</v>
      </c>
    </row>
    <row r="2748" spans="1:18" x14ac:dyDescent="0.25">
      <c r="A2748" s="170">
        <v>46051</v>
      </c>
      <c r="B2748">
        <v>44</v>
      </c>
      <c r="C2748">
        <v>42.55</v>
      </c>
      <c r="D2748">
        <v>42.13</v>
      </c>
      <c r="E2748">
        <v>43.84</v>
      </c>
      <c r="F2748">
        <v>42.55</v>
      </c>
      <c r="G2748">
        <v>169935</v>
      </c>
      <c r="H2748" s="116"/>
      <c r="I2748" s="116"/>
      <c r="L2748" s="170">
        <v>46051</v>
      </c>
      <c r="M2748" s="116">
        <v>42.57</v>
      </c>
      <c r="N2748" s="116">
        <v>44.02</v>
      </c>
      <c r="O2748" s="116">
        <v>42.17</v>
      </c>
      <c r="P2748" s="116">
        <v>44</v>
      </c>
      <c r="Q2748" s="116">
        <v>42.57</v>
      </c>
      <c r="R2748">
        <v>1505726</v>
      </c>
    </row>
    <row r="2749" spans="1:18" x14ac:dyDescent="0.25">
      <c r="A2749" s="170">
        <v>46052</v>
      </c>
      <c r="B2749">
        <v>47.5</v>
      </c>
      <c r="C2749">
        <v>45.83</v>
      </c>
      <c r="D2749">
        <v>41.71</v>
      </c>
      <c r="E2749">
        <v>41.93</v>
      </c>
      <c r="F2749">
        <v>45.83</v>
      </c>
      <c r="G2749">
        <v>2211231</v>
      </c>
      <c r="H2749" s="116"/>
      <c r="I2749" s="116"/>
      <c r="L2749" s="170">
        <v>46052</v>
      </c>
      <c r="M2749" s="116">
        <v>45.66</v>
      </c>
      <c r="N2749" s="116">
        <v>47.5</v>
      </c>
      <c r="O2749" s="116">
        <v>41.7</v>
      </c>
      <c r="P2749" s="116">
        <v>42</v>
      </c>
      <c r="Q2749" s="116">
        <v>45.66</v>
      </c>
      <c r="R2749">
        <v>30824611</v>
      </c>
    </row>
    <row r="2750" spans="1:18" x14ac:dyDescent="0.25">
      <c r="A2750" s="170">
        <v>46054</v>
      </c>
      <c r="B2750">
        <v>46.41</v>
      </c>
      <c r="C2750">
        <v>45.09</v>
      </c>
      <c r="D2750">
        <v>44.65</v>
      </c>
      <c r="E2750">
        <v>46.23</v>
      </c>
      <c r="F2750">
        <v>45.09</v>
      </c>
      <c r="G2750">
        <v>345683</v>
      </c>
      <c r="H2750" s="116"/>
      <c r="I2750" s="116"/>
      <c r="L2750" s="170">
        <v>46054</v>
      </c>
      <c r="M2750" s="116">
        <v>45.14</v>
      </c>
      <c r="N2750" s="116">
        <v>46.4</v>
      </c>
      <c r="O2750" s="116">
        <v>44.56</v>
      </c>
      <c r="P2750" s="116">
        <v>45.9</v>
      </c>
      <c r="Q2750" s="116">
        <v>45.14</v>
      </c>
      <c r="R2750">
        <v>2658821</v>
      </c>
    </row>
    <row r="2751" spans="1:18" x14ac:dyDescent="0.25">
      <c r="A2751" s="170">
        <v>46055</v>
      </c>
      <c r="B2751">
        <v>45.22</v>
      </c>
      <c r="C2751">
        <v>44.01</v>
      </c>
      <c r="D2751">
        <v>42.66</v>
      </c>
      <c r="E2751">
        <v>45.22</v>
      </c>
      <c r="F2751">
        <v>44.01</v>
      </c>
      <c r="G2751">
        <v>217033</v>
      </c>
      <c r="H2751" s="116"/>
      <c r="I2751" s="116"/>
      <c r="L2751" s="170">
        <v>46055</v>
      </c>
      <c r="M2751" s="116">
        <v>43.96</v>
      </c>
      <c r="N2751" s="116">
        <v>45.18</v>
      </c>
      <c r="O2751" s="116">
        <v>42.66</v>
      </c>
      <c r="P2751" s="116">
        <v>45.06</v>
      </c>
      <c r="Q2751" s="116">
        <v>43.96</v>
      </c>
      <c r="R2751">
        <v>2666277</v>
      </c>
    </row>
    <row r="2752" spans="1:18" x14ac:dyDescent="0.25">
      <c r="A2752" s="170">
        <v>46056</v>
      </c>
      <c r="B2752">
        <v>46.01</v>
      </c>
      <c r="C2752">
        <v>44.11</v>
      </c>
      <c r="D2752">
        <v>43.96</v>
      </c>
      <c r="E2752">
        <v>44.62</v>
      </c>
      <c r="F2752">
        <v>44.11</v>
      </c>
      <c r="G2752">
        <v>357863</v>
      </c>
      <c r="H2752" s="116"/>
      <c r="I2752" s="116"/>
      <c r="L2752" s="170">
        <v>46056</v>
      </c>
      <c r="M2752" s="116">
        <v>44.06</v>
      </c>
      <c r="N2752" s="116">
        <v>46.5</v>
      </c>
      <c r="O2752" s="116">
        <v>43.87</v>
      </c>
      <c r="P2752" s="116">
        <v>45</v>
      </c>
      <c r="Q2752" s="116">
        <v>44.06</v>
      </c>
      <c r="R2752">
        <v>2525053</v>
      </c>
    </row>
    <row r="2753" spans="1:18" x14ac:dyDescent="0.25">
      <c r="A2753" s="170">
        <v>46057</v>
      </c>
      <c r="B2753">
        <v>45.5</v>
      </c>
      <c r="C2753">
        <v>45</v>
      </c>
      <c r="D2753">
        <v>44</v>
      </c>
      <c r="E2753">
        <v>44.22</v>
      </c>
      <c r="F2753">
        <v>45</v>
      </c>
      <c r="G2753">
        <v>223592</v>
      </c>
      <c r="H2753" s="116"/>
      <c r="I2753" s="116"/>
      <c r="L2753" s="170">
        <v>46057</v>
      </c>
      <c r="M2753" s="116">
        <v>44.96</v>
      </c>
      <c r="N2753" s="116">
        <v>45.58</v>
      </c>
      <c r="O2753" s="116">
        <v>44.06</v>
      </c>
      <c r="P2753" s="116">
        <v>44.41</v>
      </c>
      <c r="Q2753" s="116">
        <v>44.96</v>
      </c>
      <c r="R2753">
        <v>1747466</v>
      </c>
    </row>
    <row r="2754" spans="1:18" x14ac:dyDescent="0.25">
      <c r="A2754" s="170">
        <v>46058</v>
      </c>
      <c r="B2754">
        <v>44.97</v>
      </c>
      <c r="C2754">
        <v>44.06</v>
      </c>
      <c r="D2754">
        <v>43.8</v>
      </c>
      <c r="E2754">
        <v>44.58</v>
      </c>
      <c r="F2754">
        <v>44.06</v>
      </c>
      <c r="G2754">
        <v>202638</v>
      </c>
      <c r="H2754" s="116"/>
      <c r="I2754" s="116"/>
      <c r="L2754" s="170">
        <v>46058</v>
      </c>
      <c r="M2754" s="116">
        <v>43.95</v>
      </c>
      <c r="N2754" s="116">
        <v>44.96</v>
      </c>
      <c r="O2754" s="116">
        <v>43.72</v>
      </c>
      <c r="P2754" s="116">
        <v>44.96</v>
      </c>
      <c r="Q2754" s="116">
        <v>43.95</v>
      </c>
      <c r="R2754">
        <v>1038854</v>
      </c>
    </row>
    <row r="2755" spans="1:18" x14ac:dyDescent="0.25">
      <c r="A2755" s="170">
        <v>46059</v>
      </c>
      <c r="B2755">
        <v>44.11</v>
      </c>
      <c r="C2755">
        <v>43.8</v>
      </c>
      <c r="D2755">
        <v>42.97</v>
      </c>
      <c r="E2755">
        <v>44.1</v>
      </c>
      <c r="F2755">
        <v>43.8</v>
      </c>
      <c r="G2755">
        <v>145632</v>
      </c>
      <c r="H2755" s="116"/>
      <c r="I2755" s="116"/>
      <c r="L2755" s="170">
        <v>46059</v>
      </c>
      <c r="M2755" s="116">
        <v>43.77</v>
      </c>
      <c r="N2755" s="116">
        <v>44.28</v>
      </c>
      <c r="O2755" s="116">
        <v>43</v>
      </c>
      <c r="P2755" s="116">
        <v>43.98</v>
      </c>
      <c r="Q2755" s="116">
        <v>43.77</v>
      </c>
      <c r="R2755">
        <v>1335697</v>
      </c>
    </row>
    <row r="2756" spans="1:18" x14ac:dyDescent="0.25">
      <c r="A2756" s="170">
        <v>46062</v>
      </c>
      <c r="B2756">
        <v>45.5</v>
      </c>
      <c r="C2756">
        <v>44.97</v>
      </c>
      <c r="D2756">
        <v>43.65</v>
      </c>
      <c r="E2756">
        <v>43.65</v>
      </c>
      <c r="F2756">
        <v>44.97</v>
      </c>
      <c r="G2756">
        <v>367050</v>
      </c>
      <c r="H2756" s="116"/>
      <c r="I2756" s="116"/>
      <c r="L2756" s="170">
        <v>46062</v>
      </c>
      <c r="M2756" s="116">
        <v>44.96</v>
      </c>
      <c r="N2756" s="116">
        <v>45.55</v>
      </c>
      <c r="O2756" s="116">
        <v>43.82</v>
      </c>
      <c r="P2756" s="116">
        <v>44.11</v>
      </c>
      <c r="Q2756" s="116">
        <v>44.96</v>
      </c>
      <c r="R2756">
        <v>2545787</v>
      </c>
    </row>
    <row r="2757" spans="1:18" x14ac:dyDescent="0.25">
      <c r="A2757" s="170">
        <v>46063</v>
      </c>
      <c r="B2757">
        <v>47.81</v>
      </c>
      <c r="C2757">
        <v>46.45</v>
      </c>
      <c r="D2757">
        <v>44.88</v>
      </c>
      <c r="E2757">
        <v>44.88</v>
      </c>
      <c r="F2757">
        <v>46.45</v>
      </c>
      <c r="G2757">
        <v>1049465</v>
      </c>
      <c r="H2757" s="116"/>
      <c r="I2757" s="116"/>
      <c r="L2757" s="170">
        <v>46063</v>
      </c>
      <c r="M2757" s="116">
        <v>46.41</v>
      </c>
      <c r="N2757" s="116">
        <v>47.85</v>
      </c>
      <c r="O2757" s="116">
        <v>45.13</v>
      </c>
      <c r="P2757" s="116">
        <v>45.13</v>
      </c>
      <c r="Q2757" s="116">
        <v>46.41</v>
      </c>
      <c r="R2757">
        <v>7082897</v>
      </c>
    </row>
    <row r="2758" spans="1:18" x14ac:dyDescent="0.25">
      <c r="A2758" s="170">
        <v>46064</v>
      </c>
      <c r="B2758">
        <v>46.84</v>
      </c>
      <c r="C2758">
        <v>45.5</v>
      </c>
      <c r="D2758">
        <v>45.22</v>
      </c>
      <c r="E2758">
        <v>46.56</v>
      </c>
      <c r="F2758">
        <v>45.5</v>
      </c>
      <c r="G2758">
        <v>219782</v>
      </c>
      <c r="H2758" s="116"/>
      <c r="I2758" s="116"/>
      <c r="L2758" s="170">
        <v>46064</v>
      </c>
      <c r="M2758" s="116">
        <v>45.44</v>
      </c>
      <c r="N2758" s="116">
        <v>46.75</v>
      </c>
      <c r="O2758" s="116">
        <v>45.19</v>
      </c>
      <c r="P2758" s="116">
        <v>46.7</v>
      </c>
      <c r="Q2758" s="116">
        <v>45.44</v>
      </c>
      <c r="R2758">
        <v>1618540</v>
      </c>
    </row>
    <row r="2759" spans="1:18" x14ac:dyDescent="0.25">
      <c r="A2759" s="170">
        <v>46065</v>
      </c>
      <c r="B2759">
        <v>45.67</v>
      </c>
      <c r="C2759">
        <v>44.7</v>
      </c>
      <c r="D2759">
        <v>44.5</v>
      </c>
      <c r="E2759">
        <v>45.46</v>
      </c>
      <c r="F2759">
        <v>44.7</v>
      </c>
      <c r="G2759">
        <v>160973</v>
      </c>
      <c r="H2759" s="116"/>
      <c r="I2759" s="116"/>
      <c r="L2759" s="170">
        <v>46065</v>
      </c>
      <c r="M2759" s="116">
        <v>44.7</v>
      </c>
      <c r="N2759" s="116">
        <v>45.56</v>
      </c>
      <c r="O2759" s="116">
        <v>44.52</v>
      </c>
      <c r="P2759" s="116">
        <v>45.41</v>
      </c>
      <c r="Q2759" s="116">
        <v>44.7</v>
      </c>
      <c r="R2759">
        <v>1471400</v>
      </c>
    </row>
    <row r="2760" spans="1:18" x14ac:dyDescent="0.25">
      <c r="A2760" s="170">
        <v>46066</v>
      </c>
      <c r="B2760">
        <v>44.31</v>
      </c>
      <c r="C2760">
        <v>43.52</v>
      </c>
      <c r="D2760">
        <v>43.22</v>
      </c>
      <c r="E2760">
        <v>44.23</v>
      </c>
      <c r="F2760">
        <v>43.52</v>
      </c>
      <c r="G2760">
        <v>248998</v>
      </c>
      <c r="H2760" s="116"/>
      <c r="I2760" s="116"/>
      <c r="L2760" s="170">
        <v>46066</v>
      </c>
      <c r="M2760" s="116">
        <v>43.54</v>
      </c>
      <c r="N2760" s="116">
        <v>44.48</v>
      </c>
      <c r="O2760" s="116">
        <v>43.3</v>
      </c>
      <c r="P2760" s="116">
        <v>44.48</v>
      </c>
      <c r="Q2760" s="116">
        <v>43.54</v>
      </c>
      <c r="R2760">
        <v>865854</v>
      </c>
    </row>
    <row r="2761" spans="1:18" x14ac:dyDescent="0.25">
      <c r="A2761" s="170">
        <v>46069</v>
      </c>
      <c r="B2761">
        <v>43.51</v>
      </c>
      <c r="C2761">
        <v>43.1</v>
      </c>
      <c r="D2761">
        <v>42.88</v>
      </c>
      <c r="E2761">
        <v>43.39</v>
      </c>
      <c r="F2761">
        <v>43.1</v>
      </c>
      <c r="G2761">
        <v>73752</v>
      </c>
      <c r="H2761" s="116"/>
      <c r="I2761" s="116"/>
      <c r="L2761" s="170">
        <v>46069</v>
      </c>
      <c r="M2761" s="116">
        <v>43.06</v>
      </c>
      <c r="N2761" s="116">
        <v>43.54</v>
      </c>
      <c r="O2761" s="116">
        <v>42.82</v>
      </c>
      <c r="P2761" s="116">
        <v>43.3</v>
      </c>
      <c r="Q2761" s="116">
        <v>43.06</v>
      </c>
      <c r="R2761">
        <v>966967</v>
      </c>
    </row>
    <row r="2762" spans="1:18" x14ac:dyDescent="0.25">
      <c r="A2762" s="170">
        <v>46070</v>
      </c>
      <c r="B2762">
        <v>44.89</v>
      </c>
      <c r="C2762">
        <v>43.51</v>
      </c>
      <c r="D2762">
        <v>43.2</v>
      </c>
      <c r="E2762">
        <v>43.25</v>
      </c>
      <c r="F2762">
        <v>43.51</v>
      </c>
      <c r="G2762">
        <v>239129</v>
      </c>
      <c r="H2762" s="116"/>
      <c r="I2762" s="116"/>
      <c r="L2762" s="170">
        <v>46070</v>
      </c>
      <c r="M2762" s="116">
        <v>43.38</v>
      </c>
      <c r="N2762" s="116">
        <v>44.89</v>
      </c>
      <c r="O2762" s="116">
        <v>43.11</v>
      </c>
      <c r="P2762" s="116">
        <v>43.34</v>
      </c>
      <c r="Q2762" s="116">
        <v>43.38</v>
      </c>
      <c r="R2762">
        <v>1841039</v>
      </c>
    </row>
    <row r="2763" spans="1:18" x14ac:dyDescent="0.25">
      <c r="A2763" s="170">
        <v>46071</v>
      </c>
      <c r="B2763">
        <v>43.79</v>
      </c>
      <c r="C2763">
        <v>43.25</v>
      </c>
      <c r="D2763">
        <v>43.03</v>
      </c>
      <c r="E2763">
        <v>43.68</v>
      </c>
      <c r="F2763">
        <v>43.25</v>
      </c>
      <c r="G2763">
        <v>162354</v>
      </c>
      <c r="H2763" s="116"/>
      <c r="I2763" s="116"/>
      <c r="L2763" s="170">
        <v>46071</v>
      </c>
      <c r="M2763" s="116">
        <v>43.21</v>
      </c>
      <c r="N2763" s="116">
        <v>43.82</v>
      </c>
      <c r="O2763" s="116">
        <v>42.99</v>
      </c>
      <c r="P2763" s="116">
        <v>43.53</v>
      </c>
      <c r="Q2763" s="116">
        <v>43.21</v>
      </c>
      <c r="R2763">
        <v>967108</v>
      </c>
    </row>
    <row r="2764" spans="1:18" x14ac:dyDescent="0.25">
      <c r="A2764" s="170">
        <v>46072</v>
      </c>
      <c r="B2764">
        <v>43.46</v>
      </c>
      <c r="C2764">
        <v>42.93</v>
      </c>
      <c r="D2764">
        <v>42.72</v>
      </c>
      <c r="E2764">
        <v>43.23</v>
      </c>
      <c r="F2764">
        <v>42.93</v>
      </c>
      <c r="G2764">
        <v>181412</v>
      </c>
      <c r="H2764" s="116"/>
      <c r="I2764" s="116"/>
      <c r="L2764" s="170">
        <v>46072</v>
      </c>
      <c r="M2764" s="116">
        <v>42.91</v>
      </c>
      <c r="N2764" s="116">
        <v>43.53</v>
      </c>
      <c r="O2764" s="116">
        <v>42.71</v>
      </c>
      <c r="P2764" s="116">
        <v>43.35</v>
      </c>
      <c r="Q2764" s="116">
        <v>42.91</v>
      </c>
      <c r="R2764">
        <v>1260425</v>
      </c>
    </row>
    <row r="2765" spans="1:18" x14ac:dyDescent="0.25">
      <c r="A2765" s="170">
        <v>46073</v>
      </c>
      <c r="B2765">
        <v>43.22</v>
      </c>
      <c r="C2765">
        <v>42.88</v>
      </c>
      <c r="D2765">
        <v>42.26</v>
      </c>
      <c r="E2765">
        <v>42.28</v>
      </c>
      <c r="F2765">
        <v>42.88</v>
      </c>
      <c r="G2765">
        <v>175776</v>
      </c>
      <c r="H2765" s="116"/>
      <c r="I2765" s="116"/>
      <c r="L2765" s="170">
        <v>46073</v>
      </c>
      <c r="M2765" s="116">
        <v>42.91</v>
      </c>
      <c r="N2765" s="116">
        <v>43.21</v>
      </c>
      <c r="O2765" s="116">
        <v>42.27</v>
      </c>
      <c r="P2765" s="116">
        <v>42.91</v>
      </c>
      <c r="Q2765" s="116">
        <v>42.91</v>
      </c>
      <c r="R2765">
        <v>979147</v>
      </c>
    </row>
    <row r="2766" spans="1:18" x14ac:dyDescent="0.25">
      <c r="A2766" s="170">
        <v>46076</v>
      </c>
      <c r="B2766">
        <v>43.44</v>
      </c>
      <c r="C2766">
        <v>42.7</v>
      </c>
      <c r="D2766">
        <v>42.31</v>
      </c>
      <c r="E2766">
        <v>42.93</v>
      </c>
      <c r="F2766">
        <v>42.7</v>
      </c>
      <c r="G2766">
        <v>91682</v>
      </c>
      <c r="H2766" s="116"/>
      <c r="I2766" s="116"/>
      <c r="L2766" s="170">
        <v>46076</v>
      </c>
      <c r="M2766" s="116">
        <v>42.71</v>
      </c>
      <c r="N2766" s="116">
        <v>43.39</v>
      </c>
      <c r="O2766" s="116">
        <v>42.31</v>
      </c>
      <c r="P2766" s="116">
        <v>43</v>
      </c>
      <c r="Q2766" s="116">
        <v>42.71</v>
      </c>
      <c r="R2766">
        <v>1241182</v>
      </c>
    </row>
    <row r="2767" spans="1:18" x14ac:dyDescent="0.25">
      <c r="A2767" s="170">
        <v>46077</v>
      </c>
      <c r="B2767">
        <v>43.02</v>
      </c>
      <c r="C2767">
        <v>42.4</v>
      </c>
      <c r="D2767">
        <v>41.62</v>
      </c>
      <c r="E2767">
        <v>42.59</v>
      </c>
      <c r="F2767">
        <v>42.4</v>
      </c>
      <c r="G2767">
        <v>136498</v>
      </c>
      <c r="H2767" s="116"/>
      <c r="I2767" s="116"/>
      <c r="L2767" s="170">
        <v>46077</v>
      </c>
      <c r="M2767" s="116">
        <v>42.33</v>
      </c>
      <c r="N2767" s="116">
        <v>43.1</v>
      </c>
      <c r="O2767" s="116">
        <v>41.63</v>
      </c>
      <c r="P2767" s="116">
        <v>42.7</v>
      </c>
      <c r="Q2767" s="116">
        <v>42.33</v>
      </c>
      <c r="R2767">
        <v>1414230</v>
      </c>
    </row>
    <row r="2768" spans="1:18" x14ac:dyDescent="0.25">
      <c r="A2768" s="170">
        <v>46078</v>
      </c>
      <c r="B2768">
        <v>42.7</v>
      </c>
      <c r="C2768">
        <v>41.88</v>
      </c>
      <c r="D2768">
        <v>41.75</v>
      </c>
      <c r="E2768">
        <v>42.44</v>
      </c>
      <c r="F2768">
        <v>41.88</v>
      </c>
      <c r="G2768">
        <v>208768</v>
      </c>
      <c r="H2768" s="116"/>
      <c r="I2768" s="116"/>
      <c r="L2768" s="170">
        <v>46078</v>
      </c>
      <c r="M2768" s="116">
        <v>41.94</v>
      </c>
      <c r="N2768" s="116">
        <v>42.67</v>
      </c>
      <c r="O2768" s="116">
        <v>41.6</v>
      </c>
      <c r="P2768" s="116">
        <v>42.56</v>
      </c>
      <c r="Q2768" s="116">
        <v>41.94</v>
      </c>
      <c r="R2768">
        <v>915015</v>
      </c>
    </row>
    <row r="2769" spans="1:18" x14ac:dyDescent="0.25">
      <c r="A2769" s="170">
        <v>46079</v>
      </c>
      <c r="B2769">
        <v>42.35</v>
      </c>
      <c r="C2769">
        <v>41.99</v>
      </c>
      <c r="D2769">
        <v>41.5</v>
      </c>
      <c r="E2769">
        <v>41.94</v>
      </c>
      <c r="F2769">
        <v>41.99</v>
      </c>
      <c r="G2769">
        <v>122591</v>
      </c>
      <c r="H2769" s="116"/>
      <c r="I2769" s="116"/>
      <c r="L2769" s="170">
        <v>46079</v>
      </c>
      <c r="M2769" s="116">
        <v>41.89</v>
      </c>
      <c r="N2769" s="116">
        <v>42.39</v>
      </c>
      <c r="O2769" s="116">
        <v>41.5</v>
      </c>
      <c r="P2769" s="116">
        <v>42</v>
      </c>
      <c r="Q2769" s="116">
        <v>41.89</v>
      </c>
      <c r="R2769">
        <v>1292449</v>
      </c>
    </row>
    <row r="2770" spans="1:18" x14ac:dyDescent="0.25">
      <c r="A2770" s="170">
        <v>46080</v>
      </c>
      <c r="B2770">
        <v>41.99</v>
      </c>
      <c r="C2770">
        <v>41.66</v>
      </c>
      <c r="D2770">
        <v>41.11</v>
      </c>
      <c r="E2770">
        <v>41.99</v>
      </c>
      <c r="F2770">
        <v>41.66</v>
      </c>
      <c r="G2770">
        <v>201282</v>
      </c>
      <c r="H2770" s="116"/>
      <c r="I2770" s="116"/>
      <c r="L2770" s="170">
        <v>46080</v>
      </c>
      <c r="M2770" s="116">
        <v>41.59</v>
      </c>
      <c r="N2770" s="116">
        <v>41.99</v>
      </c>
      <c r="O2770" s="116">
        <v>41.14</v>
      </c>
      <c r="P2770" s="116">
        <v>41.89</v>
      </c>
      <c r="Q2770" s="116">
        <v>41.59</v>
      </c>
      <c r="R2770">
        <v>1025507</v>
      </c>
    </row>
    <row r="2771" spans="1:18" x14ac:dyDescent="0.25">
      <c r="A2771" s="170">
        <v>46083</v>
      </c>
      <c r="B2771">
        <v>40.4</v>
      </c>
      <c r="C2771">
        <v>39.9</v>
      </c>
      <c r="D2771">
        <v>38.229999999999997</v>
      </c>
      <c r="E2771">
        <v>38.229999999999997</v>
      </c>
      <c r="F2771">
        <v>39.9</v>
      </c>
      <c r="G2771">
        <v>607940</v>
      </c>
      <c r="H2771" s="116"/>
      <c r="I2771" s="116"/>
      <c r="L2771" s="170">
        <v>46083</v>
      </c>
      <c r="M2771" s="116">
        <v>39.869999999999997</v>
      </c>
      <c r="N2771" s="116">
        <v>40.42</v>
      </c>
      <c r="O2771" s="116">
        <v>38.99</v>
      </c>
      <c r="P2771" s="116">
        <v>39</v>
      </c>
      <c r="Q2771" s="116">
        <v>39.869999999999997</v>
      </c>
      <c r="R2771">
        <v>2286684</v>
      </c>
    </row>
    <row r="2772" spans="1:18" x14ac:dyDescent="0.25">
      <c r="A2772" s="170">
        <v>46085</v>
      </c>
      <c r="B2772">
        <v>39</v>
      </c>
      <c r="C2772">
        <v>38.72</v>
      </c>
      <c r="D2772">
        <v>38.270000000000003</v>
      </c>
      <c r="E2772">
        <v>38.270000000000003</v>
      </c>
      <c r="F2772">
        <v>38.72</v>
      </c>
      <c r="G2772">
        <v>444461</v>
      </c>
      <c r="H2772" s="116"/>
      <c r="I2772" s="116"/>
      <c r="L2772" s="170">
        <v>46085</v>
      </c>
      <c r="M2772" s="116">
        <v>38.700000000000003</v>
      </c>
      <c r="N2772" s="116">
        <v>39</v>
      </c>
      <c r="O2772" s="116">
        <v>38</v>
      </c>
      <c r="P2772" s="116">
        <v>39</v>
      </c>
      <c r="Q2772" s="116">
        <v>38.700000000000003</v>
      </c>
      <c r="R2772">
        <v>1535658</v>
      </c>
    </row>
    <row r="2773" spans="1:18" x14ac:dyDescent="0.25">
      <c r="A2773" s="170">
        <v>46086</v>
      </c>
      <c r="B2773">
        <v>39.47</v>
      </c>
      <c r="C2773">
        <v>39.130000000000003</v>
      </c>
      <c r="D2773">
        <v>38.119999999999997</v>
      </c>
      <c r="E2773">
        <v>38.119999999999997</v>
      </c>
      <c r="F2773">
        <v>39.130000000000003</v>
      </c>
      <c r="G2773">
        <v>266830</v>
      </c>
      <c r="H2773" s="116"/>
      <c r="I2773" s="116"/>
      <c r="L2773" s="170">
        <v>46086</v>
      </c>
      <c r="M2773" s="116">
        <v>39.11</v>
      </c>
      <c r="N2773" s="116">
        <v>39.380000000000003</v>
      </c>
      <c r="O2773" s="116">
        <v>38.72</v>
      </c>
      <c r="P2773" s="116">
        <v>38.799999999999997</v>
      </c>
      <c r="Q2773" s="116">
        <v>39.11</v>
      </c>
      <c r="R2773">
        <v>1167354</v>
      </c>
    </row>
    <row r="2774" spans="1:18" x14ac:dyDescent="0.25">
      <c r="A2774" s="170">
        <v>46087</v>
      </c>
      <c r="B2774">
        <v>42.1</v>
      </c>
      <c r="C2774">
        <v>40.04</v>
      </c>
      <c r="D2774">
        <v>39.07</v>
      </c>
      <c r="E2774">
        <v>39.24</v>
      </c>
      <c r="F2774">
        <v>40.04</v>
      </c>
      <c r="G2774">
        <v>647779</v>
      </c>
      <c r="H2774" s="116"/>
      <c r="I2774" s="116"/>
      <c r="L2774" s="170">
        <v>46087</v>
      </c>
      <c r="M2774" s="116">
        <v>39.99</v>
      </c>
      <c r="N2774" s="116">
        <v>42.12</v>
      </c>
      <c r="O2774" s="116">
        <v>39.15</v>
      </c>
      <c r="P2774" s="116">
        <v>39.42</v>
      </c>
      <c r="Q2774" s="116">
        <v>39.99</v>
      </c>
      <c r="R2774">
        <v>5959512</v>
      </c>
    </row>
    <row r="2775" spans="1:18" x14ac:dyDescent="0.25">
      <c r="A2775" s="170">
        <v>46090</v>
      </c>
      <c r="B2775">
        <v>39.69</v>
      </c>
      <c r="C2775">
        <v>38.46</v>
      </c>
      <c r="D2775">
        <v>38</v>
      </c>
      <c r="E2775">
        <v>39.119999999999997</v>
      </c>
      <c r="F2775">
        <v>38.46</v>
      </c>
      <c r="G2775">
        <v>383542</v>
      </c>
      <c r="H2775" s="116"/>
      <c r="I2775" s="116"/>
      <c r="L2775" s="170">
        <v>46090</v>
      </c>
      <c r="M2775" s="116">
        <v>38.450000000000003</v>
      </c>
      <c r="N2775" s="116">
        <v>39.5</v>
      </c>
      <c r="O2775" s="116">
        <v>37.950000000000003</v>
      </c>
      <c r="P2775" s="116">
        <v>39.200000000000003</v>
      </c>
      <c r="Q2775" s="116">
        <v>38.450000000000003</v>
      </c>
      <c r="R2775">
        <v>2028349</v>
      </c>
    </row>
    <row r="2776" spans="1:18" x14ac:dyDescent="0.25">
      <c r="A2776" s="170">
        <v>46091</v>
      </c>
      <c r="B2776">
        <v>39.49</v>
      </c>
      <c r="C2776">
        <v>39.32</v>
      </c>
      <c r="D2776">
        <v>38.53</v>
      </c>
      <c r="E2776">
        <v>38.74</v>
      </c>
      <c r="F2776">
        <v>39.32</v>
      </c>
      <c r="G2776">
        <v>244494</v>
      </c>
      <c r="H2776" s="116"/>
      <c r="I2776" s="116"/>
      <c r="L2776" s="170">
        <v>46091</v>
      </c>
      <c r="M2776" s="116">
        <v>39.32</v>
      </c>
      <c r="N2776" s="116">
        <v>39.479999999999997</v>
      </c>
      <c r="O2776" s="116">
        <v>38.51</v>
      </c>
      <c r="P2776" s="116">
        <v>39.119999999999997</v>
      </c>
      <c r="Q2776" s="116">
        <v>39.32</v>
      </c>
      <c r="R2776">
        <v>1835541</v>
      </c>
    </row>
    <row r="2777" spans="1:18" x14ac:dyDescent="0.25">
      <c r="A2777" s="170">
        <v>46092</v>
      </c>
      <c r="B2777">
        <v>39.979999999999997</v>
      </c>
      <c r="C2777">
        <v>38.99</v>
      </c>
      <c r="D2777">
        <v>38.78</v>
      </c>
      <c r="E2777">
        <v>39.65</v>
      </c>
      <c r="F2777">
        <v>38.99</v>
      </c>
      <c r="G2777">
        <v>200425</v>
      </c>
      <c r="H2777" s="116"/>
      <c r="I2777" s="116"/>
      <c r="L2777" s="170">
        <v>46092</v>
      </c>
      <c r="M2777" s="116">
        <v>38.97</v>
      </c>
      <c r="N2777" s="116">
        <v>39.979999999999997</v>
      </c>
      <c r="O2777" s="116">
        <v>38.79</v>
      </c>
      <c r="P2777" s="116">
        <v>39.700000000000003</v>
      </c>
      <c r="Q2777" s="116">
        <v>38.97</v>
      </c>
      <c r="R2777">
        <v>1304623</v>
      </c>
    </row>
    <row r="2778" spans="1:18" x14ac:dyDescent="0.25">
      <c r="A2778" s="170">
        <v>46093</v>
      </c>
      <c r="B2778">
        <v>40.549999999999997</v>
      </c>
      <c r="C2778">
        <v>39.31</v>
      </c>
      <c r="D2778">
        <v>37.909999999999997</v>
      </c>
      <c r="E2778">
        <v>38.229999999999997</v>
      </c>
      <c r="F2778">
        <v>39.31</v>
      </c>
      <c r="G2778">
        <v>319407</v>
      </c>
      <c r="H2778" s="116"/>
      <c r="I2778" s="116"/>
      <c r="L2778" s="170">
        <v>46093</v>
      </c>
      <c r="M2778" s="116">
        <v>39.33</v>
      </c>
      <c r="N2778" s="116">
        <v>40.6</v>
      </c>
      <c r="O2778" s="116">
        <v>37.9</v>
      </c>
      <c r="P2778" s="116">
        <v>38.6</v>
      </c>
      <c r="Q2778" s="116">
        <v>39.33</v>
      </c>
      <c r="R2778">
        <v>3094319</v>
      </c>
    </row>
    <row r="2779" spans="1:18" x14ac:dyDescent="0.25">
      <c r="A2779" s="170">
        <v>46094</v>
      </c>
      <c r="B2779">
        <v>39.700000000000003</v>
      </c>
      <c r="C2779">
        <v>38.25</v>
      </c>
      <c r="D2779">
        <v>38</v>
      </c>
      <c r="E2779">
        <v>39.159999999999997</v>
      </c>
      <c r="F2779">
        <v>38.25</v>
      </c>
      <c r="G2779">
        <v>132020</v>
      </c>
      <c r="H2779" s="116"/>
      <c r="I2779" s="116"/>
      <c r="L2779" s="170">
        <v>46094</v>
      </c>
      <c r="M2779" s="116">
        <v>38.24</v>
      </c>
      <c r="N2779" s="116">
        <v>39.72</v>
      </c>
      <c r="O2779" s="116">
        <v>38.020000000000003</v>
      </c>
      <c r="P2779" s="116">
        <v>39</v>
      </c>
      <c r="Q2779" s="116">
        <v>38.24</v>
      </c>
      <c r="R2779">
        <v>1865500</v>
      </c>
    </row>
    <row r="2780" spans="1:18" x14ac:dyDescent="0.25">
      <c r="A2780" s="170">
        <v>46097</v>
      </c>
      <c r="B2780">
        <v>38.85</v>
      </c>
      <c r="C2780">
        <v>38.159999999999997</v>
      </c>
      <c r="D2780">
        <v>37.1</v>
      </c>
      <c r="E2780">
        <v>37.97</v>
      </c>
      <c r="F2780">
        <v>38.159999999999997</v>
      </c>
      <c r="G2780">
        <v>398439</v>
      </c>
      <c r="H2780" s="116"/>
      <c r="I2780" s="116"/>
      <c r="L2780" s="170">
        <v>46097</v>
      </c>
      <c r="M2780" s="116">
        <v>38.119999999999997</v>
      </c>
      <c r="N2780" s="116">
        <v>38.83</v>
      </c>
      <c r="O2780" s="116">
        <v>37.1</v>
      </c>
      <c r="P2780" s="116">
        <v>38.049999999999997</v>
      </c>
      <c r="Q2780" s="116">
        <v>38.119999999999997</v>
      </c>
      <c r="R2780">
        <v>2435392</v>
      </c>
    </row>
    <row r="2781" spans="1:18" x14ac:dyDescent="0.25">
      <c r="A2781" s="170">
        <v>46098</v>
      </c>
      <c r="B2781">
        <v>39.159999999999997</v>
      </c>
      <c r="C2781">
        <v>38.07</v>
      </c>
      <c r="D2781">
        <v>37.9</v>
      </c>
      <c r="E2781">
        <v>38.21</v>
      </c>
      <c r="F2781">
        <v>38.07</v>
      </c>
      <c r="G2781">
        <v>290465</v>
      </c>
      <c r="H2781" s="116"/>
      <c r="I2781" s="116"/>
      <c r="L2781" s="170">
        <v>46098</v>
      </c>
      <c r="M2781" s="116">
        <v>38.04</v>
      </c>
      <c r="N2781" s="116">
        <v>39.11</v>
      </c>
      <c r="O2781" s="116">
        <v>37.61</v>
      </c>
      <c r="P2781" s="116">
        <v>38.83</v>
      </c>
      <c r="Q2781" s="116">
        <v>38.04</v>
      </c>
      <c r="R2781">
        <v>1723914</v>
      </c>
    </row>
    <row r="2782" spans="1:18" x14ac:dyDescent="0.25">
      <c r="A2782" s="170">
        <v>46099</v>
      </c>
      <c r="B2782">
        <v>39.96</v>
      </c>
      <c r="C2782">
        <v>39.79</v>
      </c>
      <c r="D2782">
        <v>38.01</v>
      </c>
      <c r="E2782">
        <v>38.01</v>
      </c>
      <c r="F2782">
        <v>39.79</v>
      </c>
      <c r="G2782">
        <v>453880</v>
      </c>
      <c r="H2782" s="116"/>
      <c r="I2782" s="116"/>
      <c r="L2782" s="170">
        <v>46099</v>
      </c>
      <c r="M2782" s="116">
        <v>39.82</v>
      </c>
      <c r="N2782" s="116">
        <v>40</v>
      </c>
      <c r="O2782" s="116">
        <v>38.01</v>
      </c>
      <c r="P2782" s="116">
        <v>38.39</v>
      </c>
      <c r="Q2782" s="116">
        <v>39.82</v>
      </c>
      <c r="R2782">
        <v>3316874</v>
      </c>
    </row>
    <row r="2783" spans="1:18" x14ac:dyDescent="0.25">
      <c r="A2783" s="170">
        <v>46100</v>
      </c>
      <c r="B2783">
        <v>39.47</v>
      </c>
      <c r="C2783">
        <v>37.93</v>
      </c>
      <c r="D2783">
        <v>37.79</v>
      </c>
      <c r="E2783">
        <v>39.47</v>
      </c>
      <c r="F2783">
        <v>37.93</v>
      </c>
      <c r="G2783">
        <v>204955</v>
      </c>
      <c r="H2783" s="116"/>
      <c r="I2783" s="116"/>
      <c r="L2783" s="170">
        <v>46100</v>
      </c>
      <c r="M2783" s="116">
        <v>37.93</v>
      </c>
      <c r="N2783" s="116">
        <v>39.22</v>
      </c>
      <c r="O2783" s="116">
        <v>37.51</v>
      </c>
      <c r="P2783" s="116">
        <v>39</v>
      </c>
      <c r="Q2783" s="116">
        <v>37.93</v>
      </c>
      <c r="R2783">
        <v>1807371</v>
      </c>
    </row>
    <row r="2784" spans="1:18" x14ac:dyDescent="0.25">
      <c r="A2784" s="170">
        <v>46101</v>
      </c>
      <c r="B2784">
        <v>38.520000000000003</v>
      </c>
      <c r="C2784">
        <v>36.26</v>
      </c>
      <c r="D2784">
        <v>35.83</v>
      </c>
      <c r="E2784">
        <v>38.01</v>
      </c>
      <c r="F2784">
        <v>36.26</v>
      </c>
      <c r="G2784">
        <v>701349</v>
      </c>
      <c r="H2784" s="116"/>
      <c r="I2784" s="116"/>
      <c r="L2784" s="170">
        <v>46101</v>
      </c>
      <c r="M2784" s="116">
        <v>36.17</v>
      </c>
      <c r="N2784" s="116">
        <v>38.520000000000003</v>
      </c>
      <c r="O2784" s="116">
        <v>35.82</v>
      </c>
      <c r="P2784" s="116">
        <v>38.090000000000003</v>
      </c>
      <c r="Q2784" s="116">
        <v>36.17</v>
      </c>
      <c r="R2784">
        <v>10328368</v>
      </c>
    </row>
    <row r="2785" spans="1:18" x14ac:dyDescent="0.25">
      <c r="A2785" s="170">
        <v>46104</v>
      </c>
      <c r="B2785">
        <v>36.01</v>
      </c>
      <c r="C2785">
        <v>33.58</v>
      </c>
      <c r="D2785">
        <v>33.450000000000003</v>
      </c>
      <c r="E2785">
        <v>36.01</v>
      </c>
      <c r="F2785">
        <v>33.58</v>
      </c>
      <c r="G2785">
        <v>572280</v>
      </c>
      <c r="H2785" s="116"/>
      <c r="I2785" s="116"/>
      <c r="L2785" s="170">
        <v>46104</v>
      </c>
      <c r="M2785" s="116">
        <v>33.590000000000003</v>
      </c>
      <c r="N2785" s="116">
        <v>36.1</v>
      </c>
      <c r="O2785" s="116">
        <v>33.42</v>
      </c>
      <c r="P2785" s="116">
        <v>36.1</v>
      </c>
      <c r="Q2785" s="116">
        <v>33.590000000000003</v>
      </c>
      <c r="R2785">
        <v>3894689</v>
      </c>
    </row>
    <row r="2786" spans="1:18" x14ac:dyDescent="0.25">
      <c r="A2786" s="170">
        <v>46105</v>
      </c>
      <c r="B2786">
        <v>35.79</v>
      </c>
      <c r="C2786">
        <v>34.549999999999997</v>
      </c>
      <c r="D2786">
        <v>33.51</v>
      </c>
      <c r="E2786">
        <v>35.79</v>
      </c>
      <c r="F2786">
        <v>34.549999999999997</v>
      </c>
      <c r="G2786">
        <v>375184</v>
      </c>
      <c r="H2786" s="116"/>
      <c r="I2786" s="116"/>
      <c r="L2786" s="170">
        <v>46105</v>
      </c>
      <c r="M2786" s="116">
        <v>34.64</v>
      </c>
      <c r="N2786" s="116">
        <v>35.200000000000003</v>
      </c>
      <c r="O2786" s="116">
        <v>33.5</v>
      </c>
      <c r="P2786" s="116">
        <v>35.020000000000003</v>
      </c>
      <c r="Q2786" s="116">
        <v>34.64</v>
      </c>
      <c r="R2786">
        <v>3661693</v>
      </c>
    </row>
    <row r="2787" spans="1:18" x14ac:dyDescent="0.25">
      <c r="A2787" s="170">
        <v>46106</v>
      </c>
      <c r="B2787">
        <v>35.83</v>
      </c>
      <c r="C2787">
        <v>34.869999999999997</v>
      </c>
      <c r="D2787">
        <v>34.72</v>
      </c>
      <c r="E2787">
        <v>35</v>
      </c>
      <c r="F2787">
        <v>34.869999999999997</v>
      </c>
      <c r="G2787">
        <v>524299</v>
      </c>
      <c r="H2787" s="116"/>
      <c r="I2787" s="116"/>
      <c r="L2787" s="170">
        <v>46106</v>
      </c>
      <c r="M2787" s="116">
        <v>34.89</v>
      </c>
      <c r="N2787" s="116">
        <v>35.869999999999997</v>
      </c>
      <c r="O2787" s="116">
        <v>34.65</v>
      </c>
      <c r="P2787" s="116">
        <v>35</v>
      </c>
      <c r="Q2787" s="116">
        <v>34.89</v>
      </c>
      <c r="R2787">
        <v>4573395</v>
      </c>
    </row>
    <row r="2788" spans="1:18" x14ac:dyDescent="0.25">
      <c r="A2788" s="170">
        <v>46108</v>
      </c>
      <c r="B2788">
        <v>35.26</v>
      </c>
      <c r="C2788">
        <v>33.14</v>
      </c>
      <c r="D2788">
        <v>33.06</v>
      </c>
      <c r="E2788">
        <v>35.26</v>
      </c>
      <c r="F2788">
        <v>33.14</v>
      </c>
      <c r="G2788">
        <v>910162</v>
      </c>
      <c r="H2788" s="116"/>
      <c r="I2788" s="116"/>
      <c r="L2788" s="170">
        <v>46108</v>
      </c>
      <c r="M2788" s="116">
        <v>33.130000000000003</v>
      </c>
      <c r="N2788" s="116">
        <v>34.86</v>
      </c>
      <c r="O2788" s="116">
        <v>33.03</v>
      </c>
      <c r="P2788" s="116">
        <v>34.86</v>
      </c>
      <c r="Q2788" s="116">
        <v>33.130000000000003</v>
      </c>
      <c r="R2788">
        <v>4447155</v>
      </c>
    </row>
    <row r="2789" spans="1:18" x14ac:dyDescent="0.25">
      <c r="A2789" s="170">
        <v>46111</v>
      </c>
      <c r="B2789">
        <v>33</v>
      </c>
      <c r="C2789">
        <v>31.29</v>
      </c>
      <c r="D2789">
        <v>30.12</v>
      </c>
      <c r="E2789">
        <v>30.12</v>
      </c>
      <c r="F2789">
        <v>31.29</v>
      </c>
      <c r="G2789">
        <v>1119779</v>
      </c>
      <c r="H2789" s="116"/>
      <c r="I2789" s="116"/>
      <c r="L2789" s="170">
        <v>46111</v>
      </c>
      <c r="M2789" s="116">
        <v>31.36</v>
      </c>
      <c r="N2789" s="116">
        <v>32.97</v>
      </c>
      <c r="O2789" s="116">
        <v>31.22</v>
      </c>
      <c r="P2789" s="116">
        <v>32.97</v>
      </c>
      <c r="Q2789" s="116">
        <v>31.36</v>
      </c>
      <c r="R2789">
        <v>5191593</v>
      </c>
    </row>
    <row r="2790" spans="1:18" x14ac:dyDescent="0.25">
      <c r="A2790" s="170">
        <v>46113</v>
      </c>
      <c r="B2790">
        <v>36.75</v>
      </c>
      <c r="C2790">
        <v>35.14</v>
      </c>
      <c r="D2790">
        <v>32.17</v>
      </c>
      <c r="E2790">
        <v>32.17</v>
      </c>
      <c r="F2790">
        <v>35.14</v>
      </c>
      <c r="G2790">
        <v>1490944</v>
      </c>
      <c r="H2790" s="116"/>
      <c r="I2790" s="116"/>
      <c r="L2790" s="170">
        <v>46113</v>
      </c>
      <c r="M2790" s="116">
        <v>35.19</v>
      </c>
      <c r="N2790" s="116">
        <v>36.78</v>
      </c>
      <c r="O2790" s="116">
        <v>32.54</v>
      </c>
      <c r="P2790" s="116">
        <v>32.93</v>
      </c>
      <c r="Q2790" s="116">
        <v>35.19</v>
      </c>
      <c r="R2790">
        <v>45111226</v>
      </c>
    </row>
    <row r="2791" spans="1:18" x14ac:dyDescent="0.25">
      <c r="A2791" s="170">
        <v>46114</v>
      </c>
      <c r="B2791">
        <v>36.619999999999997</v>
      </c>
      <c r="C2791">
        <v>36.33</v>
      </c>
      <c r="D2791">
        <v>33.119999999999997</v>
      </c>
      <c r="E2791">
        <v>34.479999999999997</v>
      </c>
      <c r="F2791">
        <v>36.33</v>
      </c>
      <c r="G2791">
        <v>1259437</v>
      </c>
      <c r="H2791" s="116"/>
      <c r="I2791" s="116"/>
      <c r="L2791" s="170">
        <v>46114</v>
      </c>
      <c r="M2791" s="116">
        <v>36.36</v>
      </c>
      <c r="N2791" s="116">
        <v>36.69</v>
      </c>
      <c r="O2791" s="116">
        <v>33.17</v>
      </c>
      <c r="P2791" s="116">
        <v>34.43</v>
      </c>
      <c r="Q2791" s="116">
        <v>36.36</v>
      </c>
      <c r="R2791">
        <v>16891242</v>
      </c>
    </row>
    <row r="2792" spans="1:18" x14ac:dyDescent="0.25">
      <c r="A2792" s="170">
        <v>46118</v>
      </c>
      <c r="B2792">
        <v>37.64</v>
      </c>
      <c r="C2792">
        <v>37.49</v>
      </c>
      <c r="D2792">
        <v>35.4</v>
      </c>
      <c r="E2792">
        <v>36.71</v>
      </c>
      <c r="F2792">
        <v>37.49</v>
      </c>
      <c r="G2792">
        <v>558045</v>
      </c>
      <c r="H2792" s="116"/>
      <c r="I2792" s="116"/>
      <c r="L2792" s="170">
        <v>46118</v>
      </c>
      <c r="M2792" s="116">
        <v>37.5</v>
      </c>
      <c r="N2792" s="116">
        <v>37.67</v>
      </c>
      <c r="O2792" s="116">
        <v>35.369999999999997</v>
      </c>
      <c r="P2792" s="116">
        <v>36.5</v>
      </c>
      <c r="Q2792" s="116">
        <v>37.5</v>
      </c>
      <c r="R2792">
        <v>4917773</v>
      </c>
    </row>
    <row r="2793" spans="1:18" x14ac:dyDescent="0.25">
      <c r="A2793" s="170">
        <v>46119</v>
      </c>
      <c r="B2793">
        <v>38.590000000000003</v>
      </c>
      <c r="C2793">
        <v>38.06</v>
      </c>
      <c r="D2793">
        <v>36.9</v>
      </c>
      <c r="E2793">
        <v>37.46</v>
      </c>
      <c r="F2793">
        <v>38.06</v>
      </c>
      <c r="G2793">
        <v>327309</v>
      </c>
      <c r="H2793" s="116"/>
      <c r="I2793" s="116"/>
      <c r="L2793" s="170">
        <v>46119</v>
      </c>
      <c r="M2793" s="116">
        <v>37.979999999999997</v>
      </c>
      <c r="N2793" s="116">
        <v>38.549999999999997</v>
      </c>
      <c r="O2793" s="116">
        <v>37.020000000000003</v>
      </c>
      <c r="P2793" s="116">
        <v>37.31</v>
      </c>
      <c r="Q2793" s="116">
        <v>37.979999999999997</v>
      </c>
      <c r="R2793">
        <v>4486841</v>
      </c>
    </row>
    <row r="2794" spans="1:18" x14ac:dyDescent="0.25">
      <c r="A2794" s="170">
        <v>46120</v>
      </c>
      <c r="B2794">
        <v>41.3</v>
      </c>
      <c r="C2794">
        <v>40.71</v>
      </c>
      <c r="D2794">
        <v>38.11</v>
      </c>
      <c r="E2794">
        <v>38.11</v>
      </c>
      <c r="F2794">
        <v>40.71</v>
      </c>
      <c r="G2794">
        <v>815040</v>
      </c>
      <c r="H2794" s="116"/>
      <c r="I2794" s="116"/>
      <c r="L2794" s="170">
        <v>46120</v>
      </c>
      <c r="M2794" s="116">
        <v>40.71</v>
      </c>
      <c r="N2794" s="116">
        <v>41.3</v>
      </c>
      <c r="O2794" s="116">
        <v>38.92</v>
      </c>
      <c r="P2794" s="116">
        <v>39.619999999999997</v>
      </c>
      <c r="Q2794" s="116">
        <v>40.71</v>
      </c>
      <c r="R2794">
        <v>8157874</v>
      </c>
    </row>
    <row r="2795" spans="1:18" x14ac:dyDescent="0.25">
      <c r="A2795" s="170">
        <v>46121</v>
      </c>
      <c r="B2795">
        <v>41.68</v>
      </c>
      <c r="C2795">
        <v>40.43</v>
      </c>
      <c r="D2795">
        <v>40.049999999999997</v>
      </c>
      <c r="E2795">
        <v>40.98</v>
      </c>
      <c r="F2795">
        <v>40.43</v>
      </c>
      <c r="G2795">
        <v>310289</v>
      </c>
      <c r="H2795" s="116"/>
      <c r="I2795" s="116"/>
      <c r="L2795" s="170">
        <v>46121</v>
      </c>
      <c r="M2795" s="116">
        <v>40.409999999999997</v>
      </c>
      <c r="N2795" s="116">
        <v>41.67</v>
      </c>
      <c r="O2795" s="116">
        <v>40</v>
      </c>
      <c r="P2795" s="116">
        <v>40.9</v>
      </c>
      <c r="Q2795" s="116">
        <v>40.409999999999997</v>
      </c>
      <c r="R2795">
        <v>3080438</v>
      </c>
    </row>
    <row r="2796" spans="1:18" x14ac:dyDescent="0.25">
      <c r="A2796" s="170">
        <v>46122</v>
      </c>
      <c r="B2796">
        <v>44.74</v>
      </c>
      <c r="C2796">
        <v>41.92</v>
      </c>
      <c r="D2796">
        <v>40.46</v>
      </c>
      <c r="E2796">
        <v>40.6</v>
      </c>
      <c r="F2796">
        <v>41.92</v>
      </c>
      <c r="G2796">
        <v>1204801</v>
      </c>
      <c r="H2796" s="116"/>
      <c r="I2796" s="116"/>
      <c r="L2796" s="170">
        <v>46122</v>
      </c>
      <c r="M2796" s="116">
        <v>41.94</v>
      </c>
      <c r="N2796" s="116">
        <v>44.73</v>
      </c>
      <c r="O2796" s="116">
        <v>40.5</v>
      </c>
      <c r="P2796" s="116">
        <v>40.86</v>
      </c>
      <c r="Q2796" s="116">
        <v>41.94</v>
      </c>
      <c r="R2796">
        <v>20412467</v>
      </c>
    </row>
    <row r="2797" spans="1:18" x14ac:dyDescent="0.25">
      <c r="A2797" s="170">
        <v>46125</v>
      </c>
      <c r="B2797">
        <v>42.4</v>
      </c>
      <c r="C2797">
        <v>41.61</v>
      </c>
      <c r="D2797">
        <v>40</v>
      </c>
      <c r="E2797">
        <v>41.06</v>
      </c>
      <c r="F2797">
        <v>41.61</v>
      </c>
      <c r="G2797">
        <v>442283</v>
      </c>
      <c r="H2797" s="116"/>
      <c r="I2797" s="116"/>
      <c r="L2797" s="170">
        <v>46125</v>
      </c>
      <c r="M2797" s="116">
        <v>41.66</v>
      </c>
      <c r="N2797" s="116">
        <v>42.42</v>
      </c>
      <c r="O2797" s="116">
        <v>40</v>
      </c>
      <c r="P2797" s="116">
        <v>41</v>
      </c>
      <c r="Q2797" s="116">
        <v>41.66</v>
      </c>
      <c r="R2797">
        <v>5909833</v>
      </c>
    </row>
    <row r="2798" spans="1:18" x14ac:dyDescent="0.25">
      <c r="A2798" s="170">
        <v>46127</v>
      </c>
      <c r="B2798">
        <v>43.77</v>
      </c>
      <c r="C2798">
        <v>43.15</v>
      </c>
      <c r="D2798">
        <v>42.49</v>
      </c>
      <c r="E2798">
        <v>42.74</v>
      </c>
      <c r="F2798">
        <v>43.15</v>
      </c>
      <c r="G2798">
        <v>244953</v>
      </c>
      <c r="H2798" s="116"/>
      <c r="I2798" s="116"/>
      <c r="L2798" s="170">
        <v>46127</v>
      </c>
      <c r="M2798" s="116">
        <v>43.15</v>
      </c>
      <c r="N2798" s="116">
        <v>43.8</v>
      </c>
      <c r="O2798" s="116">
        <v>42.49</v>
      </c>
      <c r="P2798" s="116">
        <v>42.49</v>
      </c>
      <c r="Q2798" s="116">
        <v>43.15</v>
      </c>
      <c r="R2798">
        <v>4766573</v>
      </c>
    </row>
    <row r="2799" spans="1:18" x14ac:dyDescent="0.25">
      <c r="A2799" s="170">
        <v>46128</v>
      </c>
      <c r="B2799">
        <v>44.34</v>
      </c>
      <c r="C2799">
        <v>43.84</v>
      </c>
      <c r="D2799">
        <v>42.99</v>
      </c>
      <c r="E2799">
        <v>43.27</v>
      </c>
      <c r="F2799">
        <v>43.84</v>
      </c>
      <c r="G2799">
        <v>404713</v>
      </c>
      <c r="H2799" s="116"/>
      <c r="I2799" s="116"/>
      <c r="L2799" s="170">
        <v>46128</v>
      </c>
      <c r="M2799" s="116">
        <v>43.77</v>
      </c>
      <c r="N2799" s="116">
        <v>44.3</v>
      </c>
      <c r="O2799" s="116">
        <v>42.9</v>
      </c>
      <c r="P2799" s="116">
        <v>43.5</v>
      </c>
      <c r="Q2799" s="116">
        <v>43.77</v>
      </c>
      <c r="R2799">
        <v>5690597</v>
      </c>
    </row>
    <row r="2800" spans="1:18" x14ac:dyDescent="0.25">
      <c r="A2800" s="170">
        <v>46129</v>
      </c>
      <c r="B2800">
        <v>48.25</v>
      </c>
      <c r="C2800">
        <v>45.65</v>
      </c>
      <c r="D2800">
        <v>43.94</v>
      </c>
      <c r="E2800">
        <v>43.94</v>
      </c>
      <c r="F2800">
        <v>45.65</v>
      </c>
      <c r="G2800">
        <v>1702773</v>
      </c>
      <c r="H2800" s="116"/>
      <c r="I2800" s="116"/>
      <c r="L2800" s="170">
        <v>46129</v>
      </c>
      <c r="M2800" s="116">
        <v>45.68</v>
      </c>
      <c r="N2800" s="116">
        <v>48.28</v>
      </c>
      <c r="O2800" s="116">
        <v>44</v>
      </c>
      <c r="P2800" s="116">
        <v>44</v>
      </c>
      <c r="Q2800" s="116">
        <v>45.68</v>
      </c>
      <c r="R2800">
        <v>19938975</v>
      </c>
    </row>
    <row r="2801" spans="1:18" x14ac:dyDescent="0.25">
      <c r="A2801" s="170">
        <v>46132</v>
      </c>
      <c r="B2801">
        <v>45.99</v>
      </c>
      <c r="C2801">
        <v>44.5</v>
      </c>
      <c r="D2801">
        <v>43.79</v>
      </c>
      <c r="E2801">
        <v>45.99</v>
      </c>
      <c r="F2801">
        <v>44.5</v>
      </c>
      <c r="G2801">
        <v>382373</v>
      </c>
      <c r="H2801" s="116"/>
      <c r="I2801" s="116"/>
      <c r="L2801" s="170">
        <v>46132</v>
      </c>
      <c r="M2801" s="116">
        <v>44.3</v>
      </c>
      <c r="N2801" s="116">
        <v>45.98</v>
      </c>
      <c r="O2801" s="116">
        <v>43.74</v>
      </c>
      <c r="P2801" s="116">
        <v>45.98</v>
      </c>
      <c r="Q2801" s="116">
        <v>44.3</v>
      </c>
      <c r="R2801">
        <v>4079816</v>
      </c>
    </row>
    <row r="2802" spans="1:18" x14ac:dyDescent="0.25">
      <c r="A2802" s="170">
        <v>46133</v>
      </c>
      <c r="B2802">
        <v>44.64</v>
      </c>
      <c r="C2802">
        <v>43.63</v>
      </c>
      <c r="D2802">
        <v>43.2</v>
      </c>
      <c r="E2802">
        <v>44.51</v>
      </c>
      <c r="F2802">
        <v>43.63</v>
      </c>
      <c r="G2802">
        <v>344409</v>
      </c>
      <c r="H2802" s="116"/>
      <c r="I2802" s="116"/>
      <c r="L2802" s="170">
        <v>46133</v>
      </c>
      <c r="M2802" s="116">
        <v>43.61</v>
      </c>
      <c r="N2802" s="116">
        <v>44.6</v>
      </c>
      <c r="O2802" s="116">
        <v>43.19</v>
      </c>
      <c r="P2802" s="116">
        <v>44.6</v>
      </c>
      <c r="Q2802" s="116">
        <v>43.61</v>
      </c>
      <c r="R2802">
        <v>3321618</v>
      </c>
    </row>
    <row r="2803" spans="1:18" x14ac:dyDescent="0.25">
      <c r="A2803" s="170">
        <v>46134</v>
      </c>
      <c r="B2803">
        <v>44.55</v>
      </c>
      <c r="C2803">
        <v>44.32</v>
      </c>
      <c r="D2803">
        <v>43.55</v>
      </c>
      <c r="E2803">
        <v>43.7</v>
      </c>
      <c r="F2803">
        <v>44.32</v>
      </c>
      <c r="G2803">
        <v>518674</v>
      </c>
      <c r="H2803" s="116"/>
      <c r="I2803" s="116"/>
      <c r="L2803" s="170">
        <v>46134</v>
      </c>
      <c r="M2803" s="116">
        <v>44.33</v>
      </c>
      <c r="N2803" s="116">
        <v>44.59</v>
      </c>
      <c r="O2803" s="116">
        <v>43.56</v>
      </c>
      <c r="P2803" s="116">
        <v>43.75</v>
      </c>
      <c r="Q2803" s="116">
        <v>44.33</v>
      </c>
      <c r="R2803">
        <v>3489065</v>
      </c>
    </row>
    <row r="2804" spans="1:18" x14ac:dyDescent="0.25">
      <c r="A2804" s="170">
        <v>46135</v>
      </c>
      <c r="B2804">
        <v>49.81</v>
      </c>
      <c r="C2804">
        <v>45.28</v>
      </c>
      <c r="D2804">
        <v>43.9</v>
      </c>
      <c r="E2804">
        <v>44.59</v>
      </c>
      <c r="F2804">
        <v>45.28</v>
      </c>
      <c r="G2804">
        <v>2188362</v>
      </c>
      <c r="H2804" s="116"/>
      <c r="I2804" s="116"/>
      <c r="L2804" s="170">
        <v>46135</v>
      </c>
      <c r="M2804" s="116">
        <v>45.27</v>
      </c>
      <c r="N2804" s="116">
        <v>49.74</v>
      </c>
      <c r="O2804" s="116">
        <v>43.9</v>
      </c>
      <c r="P2804" s="116">
        <v>44.41</v>
      </c>
      <c r="Q2804" s="116">
        <v>45.27</v>
      </c>
      <c r="R2804">
        <v>39009282</v>
      </c>
    </row>
    <row r="2805" spans="1:18" x14ac:dyDescent="0.25">
      <c r="A2805" s="170">
        <v>46136</v>
      </c>
      <c r="B2805">
        <v>47.25</v>
      </c>
      <c r="C2805">
        <v>44.54</v>
      </c>
      <c r="D2805">
        <v>43.44</v>
      </c>
      <c r="E2805">
        <v>46.35</v>
      </c>
      <c r="F2805">
        <v>44.54</v>
      </c>
      <c r="G2805">
        <v>1356537</v>
      </c>
      <c r="H2805" s="116"/>
      <c r="I2805" s="116"/>
      <c r="L2805" s="170">
        <v>46136</v>
      </c>
      <c r="M2805" s="116">
        <v>44.63</v>
      </c>
      <c r="N2805" s="116">
        <v>47.4</v>
      </c>
      <c r="O2805" s="116">
        <v>43.4</v>
      </c>
      <c r="P2805" s="116">
        <v>46.3</v>
      </c>
      <c r="Q2805" s="116">
        <v>44.63</v>
      </c>
      <c r="R2805">
        <v>13735769</v>
      </c>
    </row>
    <row r="2806" spans="1:18" x14ac:dyDescent="0.25">
      <c r="A2806" s="170">
        <v>46139</v>
      </c>
      <c r="B2806">
        <v>45.66</v>
      </c>
      <c r="C2806">
        <v>44.69</v>
      </c>
      <c r="D2806">
        <v>43.71</v>
      </c>
      <c r="E2806">
        <v>44.75</v>
      </c>
      <c r="F2806">
        <v>44.69</v>
      </c>
      <c r="G2806">
        <v>616943</v>
      </c>
      <c r="H2806" s="116"/>
      <c r="I2806" s="116"/>
      <c r="L2806" s="170">
        <v>46139</v>
      </c>
      <c r="M2806" s="116">
        <v>44.66</v>
      </c>
      <c r="N2806" s="116">
        <v>45.69</v>
      </c>
      <c r="O2806" s="116">
        <v>43.71</v>
      </c>
      <c r="P2806" s="116">
        <v>44.63</v>
      </c>
      <c r="Q2806" s="116">
        <v>44.66</v>
      </c>
      <c r="R2806">
        <v>6578169</v>
      </c>
    </row>
    <row r="2807" spans="1:18" x14ac:dyDescent="0.25">
      <c r="A2807" s="170">
        <v>46140</v>
      </c>
      <c r="B2807">
        <v>44.97</v>
      </c>
      <c r="C2807">
        <v>44.37</v>
      </c>
      <c r="D2807">
        <v>44.04</v>
      </c>
      <c r="E2807">
        <v>44.51</v>
      </c>
      <c r="F2807">
        <v>44.37</v>
      </c>
      <c r="G2807">
        <v>555641</v>
      </c>
      <c r="H2807" s="116"/>
      <c r="I2807" s="116"/>
      <c r="L2807" s="170">
        <v>46140</v>
      </c>
      <c r="M2807" s="116">
        <v>44.29</v>
      </c>
      <c r="N2807" s="116">
        <v>44.98</v>
      </c>
      <c r="O2807" s="116">
        <v>44.07</v>
      </c>
      <c r="P2807" s="116">
        <v>44.56</v>
      </c>
      <c r="Q2807" s="116">
        <v>44.29</v>
      </c>
      <c r="R2807">
        <v>2572394</v>
      </c>
    </row>
    <row r="2808" spans="1:18" x14ac:dyDescent="0.25">
      <c r="A2808" s="170">
        <v>46141</v>
      </c>
      <c r="B2808">
        <v>44.6</v>
      </c>
      <c r="C2808">
        <v>43.97</v>
      </c>
      <c r="D2808">
        <v>43.5</v>
      </c>
      <c r="E2808">
        <v>44.46</v>
      </c>
      <c r="F2808">
        <v>43.97</v>
      </c>
      <c r="G2808">
        <v>509115</v>
      </c>
      <c r="H2808" s="116"/>
      <c r="I2808" s="116"/>
      <c r="L2808" s="170">
        <v>46141</v>
      </c>
      <c r="M2808" s="116">
        <v>43.9</v>
      </c>
      <c r="N2808" s="116">
        <v>44.6</v>
      </c>
      <c r="O2808" s="116">
        <v>43.27</v>
      </c>
      <c r="P2808" s="116">
        <v>44.49</v>
      </c>
      <c r="Q2808" s="116">
        <v>43.9</v>
      </c>
      <c r="R2808">
        <v>2812755</v>
      </c>
    </row>
    <row r="2809" spans="1:18" x14ac:dyDescent="0.25">
      <c r="A2809" s="170">
        <v>46142</v>
      </c>
      <c r="B2809">
        <v>43.78</v>
      </c>
      <c r="C2809">
        <v>42.96</v>
      </c>
      <c r="D2809">
        <v>42.55</v>
      </c>
      <c r="E2809">
        <v>43.25</v>
      </c>
      <c r="F2809">
        <v>42.96</v>
      </c>
      <c r="G2809">
        <v>454629</v>
      </c>
      <c r="H2809" s="116"/>
      <c r="I2809" s="116"/>
      <c r="L2809" s="170">
        <v>46142</v>
      </c>
      <c r="M2809" s="116">
        <v>42.93</v>
      </c>
      <c r="N2809" s="116">
        <v>43.64</v>
      </c>
      <c r="O2809" s="116">
        <v>42.56</v>
      </c>
      <c r="P2809" s="116">
        <v>43.2</v>
      </c>
      <c r="Q2809" s="116">
        <v>42.93</v>
      </c>
      <c r="R2809">
        <v>2380869</v>
      </c>
    </row>
    <row r="2810" spans="1:18" x14ac:dyDescent="0.25">
      <c r="A2810" s="170">
        <v>46146</v>
      </c>
      <c r="B2810">
        <v>43.85</v>
      </c>
      <c r="C2810">
        <v>43</v>
      </c>
      <c r="D2810">
        <v>42.73</v>
      </c>
      <c r="E2810">
        <v>43.52</v>
      </c>
      <c r="F2810">
        <v>43</v>
      </c>
      <c r="G2810">
        <v>361952</v>
      </c>
      <c r="H2810" s="116"/>
      <c r="I2810" s="116"/>
      <c r="L2810" s="170">
        <v>46146</v>
      </c>
      <c r="M2810" s="116">
        <v>42.92</v>
      </c>
      <c r="N2810" s="116">
        <v>43.99</v>
      </c>
      <c r="O2810" s="116">
        <v>42.74</v>
      </c>
      <c r="P2810" s="116">
        <v>43.8</v>
      </c>
      <c r="Q2810" s="116">
        <v>42.92</v>
      </c>
      <c r="R2810">
        <v>2185455</v>
      </c>
    </row>
    <row r="2811" spans="1:18" x14ac:dyDescent="0.25">
      <c r="A2811" s="170">
        <v>46147</v>
      </c>
      <c r="B2811">
        <v>43.77</v>
      </c>
      <c r="C2811">
        <v>42.79</v>
      </c>
      <c r="D2811">
        <v>42.63</v>
      </c>
      <c r="E2811">
        <v>42.79</v>
      </c>
      <c r="F2811">
        <v>42.79</v>
      </c>
      <c r="G2811">
        <v>357218</v>
      </c>
      <c r="H2811" s="116"/>
      <c r="I2811" s="116"/>
      <c r="L2811" s="170">
        <v>46147</v>
      </c>
      <c r="M2811" s="116">
        <v>42.77</v>
      </c>
      <c r="N2811" s="116">
        <v>43.76</v>
      </c>
      <c r="O2811" s="116">
        <v>42.6</v>
      </c>
      <c r="P2811" s="116">
        <v>42.85</v>
      </c>
      <c r="Q2811" s="116">
        <v>42.77</v>
      </c>
      <c r="R2811">
        <v>2085834</v>
      </c>
    </row>
    <row r="2812" spans="1:18" x14ac:dyDescent="0.25">
      <c r="A2812" s="170">
        <v>46148</v>
      </c>
      <c r="B2812">
        <v>43.75</v>
      </c>
      <c r="C2812">
        <v>43.44</v>
      </c>
      <c r="D2812">
        <v>42.9</v>
      </c>
      <c r="E2812">
        <v>43.32</v>
      </c>
      <c r="F2812">
        <v>43.44</v>
      </c>
      <c r="G2812">
        <v>242010</v>
      </c>
      <c r="H2812" s="116"/>
      <c r="I2812" s="116"/>
      <c r="L2812" s="170">
        <v>46148</v>
      </c>
      <c r="M2812" s="116">
        <v>43.46</v>
      </c>
      <c r="N2812" s="116">
        <v>43.6</v>
      </c>
      <c r="O2812" s="116">
        <v>42.86</v>
      </c>
      <c r="P2812" s="116">
        <v>43.49</v>
      </c>
      <c r="Q2812" s="116">
        <v>43.46</v>
      </c>
      <c r="R2812">
        <v>1948837</v>
      </c>
    </row>
    <row r="2813" spans="1:18" x14ac:dyDescent="0.25">
      <c r="A2813" s="170">
        <v>46149</v>
      </c>
      <c r="B2813">
        <v>45.75</v>
      </c>
      <c r="C2813">
        <v>44.82</v>
      </c>
      <c r="D2813">
        <v>43.6</v>
      </c>
      <c r="E2813">
        <v>43.65</v>
      </c>
      <c r="F2813">
        <v>44.82</v>
      </c>
      <c r="G2813">
        <v>527472</v>
      </c>
      <c r="H2813" s="116"/>
      <c r="I2813" s="116"/>
      <c r="L2813" s="170">
        <v>46149</v>
      </c>
      <c r="M2813" s="116">
        <v>44.86</v>
      </c>
      <c r="N2813" s="116">
        <v>45.79</v>
      </c>
      <c r="O2813" s="116">
        <v>43.54</v>
      </c>
      <c r="P2813" s="116">
        <v>43.89</v>
      </c>
      <c r="Q2813" s="116">
        <v>44.86</v>
      </c>
      <c r="R2813">
        <v>8170252</v>
      </c>
    </row>
    <row r="2814" spans="1:18" x14ac:dyDescent="0.25">
      <c r="A2814" s="170">
        <v>46150</v>
      </c>
      <c r="B2814">
        <v>44.85</v>
      </c>
      <c r="C2814">
        <v>44.14</v>
      </c>
      <c r="D2814">
        <v>43.72</v>
      </c>
      <c r="E2814">
        <v>44.85</v>
      </c>
      <c r="F2814">
        <v>44.14</v>
      </c>
      <c r="G2814">
        <v>195936</v>
      </c>
      <c r="H2814" s="116"/>
      <c r="I2814" s="116"/>
      <c r="L2814" s="170">
        <v>46150</v>
      </c>
      <c r="M2814" s="116">
        <v>44.1</v>
      </c>
      <c r="N2814" s="116">
        <v>44.79</v>
      </c>
      <c r="O2814" s="116">
        <v>43.7</v>
      </c>
      <c r="P2814" s="116">
        <v>44.78</v>
      </c>
      <c r="Q2814" s="116">
        <v>44.1</v>
      </c>
      <c r="R2814">
        <v>2235649</v>
      </c>
    </row>
    <row r="2815" spans="1:18" x14ac:dyDescent="0.25">
      <c r="A2815" s="170">
        <v>46153</v>
      </c>
      <c r="B2815">
        <v>43.99</v>
      </c>
      <c r="C2815">
        <v>43.02</v>
      </c>
      <c r="D2815">
        <v>42.56</v>
      </c>
      <c r="E2815">
        <v>43.55</v>
      </c>
      <c r="F2815">
        <v>43.02</v>
      </c>
      <c r="G2815">
        <v>364253</v>
      </c>
      <c r="H2815" s="116"/>
      <c r="I2815" s="116"/>
      <c r="L2815" s="170">
        <v>46153</v>
      </c>
      <c r="M2815" s="116">
        <v>42.98</v>
      </c>
      <c r="N2815" s="116">
        <v>43.9</v>
      </c>
      <c r="O2815" s="116">
        <v>42.45</v>
      </c>
      <c r="P2815" s="116">
        <v>43.9</v>
      </c>
      <c r="Q2815" s="116">
        <v>42.98</v>
      </c>
      <c r="R2815">
        <v>2080479</v>
      </c>
    </row>
    <row r="2816" spans="1:18" x14ac:dyDescent="0.25">
      <c r="A2816" s="170">
        <v>46154</v>
      </c>
      <c r="B2816">
        <v>42.99</v>
      </c>
      <c r="C2816">
        <v>41.23</v>
      </c>
      <c r="D2816">
        <v>41</v>
      </c>
      <c r="E2816">
        <v>42.8</v>
      </c>
      <c r="F2816">
        <v>41.23</v>
      </c>
      <c r="G2816">
        <v>351306</v>
      </c>
      <c r="H2816" s="116"/>
      <c r="I2816" s="116"/>
      <c r="L2816" s="170">
        <v>46154</v>
      </c>
      <c r="M2816" s="116">
        <v>41.21</v>
      </c>
      <c r="N2816" s="116">
        <v>43</v>
      </c>
      <c r="O2816" s="116">
        <v>41.04</v>
      </c>
      <c r="P2816" s="116">
        <v>42.69</v>
      </c>
      <c r="Q2816" s="116">
        <v>41.21</v>
      </c>
      <c r="R2816">
        <v>2156663</v>
      </c>
    </row>
    <row r="2817" spans="1:18" x14ac:dyDescent="0.25">
      <c r="A2817" s="170">
        <v>46155</v>
      </c>
      <c r="B2817">
        <v>42.29</v>
      </c>
      <c r="C2817">
        <v>41.91</v>
      </c>
      <c r="D2817">
        <v>40.840000000000003</v>
      </c>
      <c r="E2817">
        <v>41.23</v>
      </c>
      <c r="F2817">
        <v>41.91</v>
      </c>
      <c r="G2817">
        <v>307141</v>
      </c>
      <c r="H2817" s="116"/>
      <c r="I2817" s="116"/>
      <c r="L2817" s="170">
        <v>46155</v>
      </c>
      <c r="M2817" s="116">
        <v>41.84</v>
      </c>
      <c r="N2817" s="116">
        <v>42.33</v>
      </c>
      <c r="O2817" s="116">
        <v>40.869999999999997</v>
      </c>
      <c r="P2817" s="116">
        <v>41.22</v>
      </c>
      <c r="Q2817" s="116">
        <v>41.84</v>
      </c>
      <c r="R2817">
        <v>2000450</v>
      </c>
    </row>
    <row r="2818" spans="1:18" x14ac:dyDescent="0.25">
      <c r="A2818" s="170">
        <v>46156</v>
      </c>
      <c r="B2818">
        <v>43.26</v>
      </c>
      <c r="C2818">
        <v>42.54</v>
      </c>
      <c r="D2818">
        <v>41.4</v>
      </c>
      <c r="E2818">
        <v>42.52</v>
      </c>
      <c r="F2818">
        <v>42.54</v>
      </c>
      <c r="G2818">
        <v>429992</v>
      </c>
      <c r="H2818" s="116"/>
      <c r="I2818" s="116"/>
      <c r="L2818" s="170">
        <v>46156</v>
      </c>
      <c r="M2818" s="116">
        <v>42.56</v>
      </c>
      <c r="N2818" s="116">
        <v>43.28</v>
      </c>
      <c r="O2818" s="116">
        <v>41.32</v>
      </c>
      <c r="P2818" s="116">
        <v>42.68</v>
      </c>
      <c r="Q2818" s="116">
        <v>42.56</v>
      </c>
      <c r="R2818">
        <v>2649941</v>
      </c>
    </row>
    <row r="2819" spans="1:18" x14ac:dyDescent="0.25">
      <c r="A2819" s="170">
        <v>46157</v>
      </c>
      <c r="B2819">
        <v>43.46</v>
      </c>
      <c r="C2819">
        <v>42.11</v>
      </c>
      <c r="D2819">
        <v>41.7</v>
      </c>
      <c r="E2819">
        <v>42.95</v>
      </c>
      <c r="F2819">
        <v>42.11</v>
      </c>
      <c r="G2819">
        <v>206039</v>
      </c>
      <c r="H2819" s="116"/>
      <c r="I2819" s="116"/>
      <c r="L2819" s="170">
        <v>46157</v>
      </c>
      <c r="M2819" s="116">
        <v>42.01</v>
      </c>
      <c r="N2819" s="116">
        <v>43.5</v>
      </c>
      <c r="O2819" s="116">
        <v>41.5</v>
      </c>
      <c r="P2819" s="116">
        <v>42.9</v>
      </c>
      <c r="Q2819" s="116">
        <v>42.01</v>
      </c>
      <c r="R2819">
        <v>2016154</v>
      </c>
    </row>
    <row r="2820" spans="1:18" x14ac:dyDescent="0.25">
      <c r="A2820" s="170">
        <v>46160</v>
      </c>
      <c r="B2820">
        <v>42.14</v>
      </c>
      <c r="C2820">
        <v>41.66</v>
      </c>
      <c r="D2820">
        <v>41.01</v>
      </c>
      <c r="E2820">
        <v>41.39</v>
      </c>
      <c r="F2820">
        <v>41.66</v>
      </c>
      <c r="G2820">
        <v>381971</v>
      </c>
      <c r="H2820" s="116"/>
      <c r="I2820" s="116"/>
      <c r="L2820" s="170">
        <v>46160</v>
      </c>
      <c r="M2820" s="116">
        <v>41.67</v>
      </c>
      <c r="N2820" s="116">
        <v>42.09</v>
      </c>
      <c r="O2820" s="116">
        <v>41.02</v>
      </c>
      <c r="P2820" s="116">
        <v>41.35</v>
      </c>
      <c r="Q2820" s="116">
        <v>41.67</v>
      </c>
      <c r="R2820">
        <v>1833351</v>
      </c>
    </row>
    <row r="2821" spans="1:18" x14ac:dyDescent="0.25">
      <c r="A2821" s="170">
        <v>46161</v>
      </c>
      <c r="B2821">
        <v>42.79</v>
      </c>
      <c r="C2821">
        <v>42.13</v>
      </c>
      <c r="D2821">
        <v>41.65</v>
      </c>
      <c r="E2821">
        <v>42.04</v>
      </c>
      <c r="F2821">
        <v>42.13</v>
      </c>
      <c r="G2821">
        <v>150798</v>
      </c>
      <c r="H2821" s="116"/>
      <c r="I2821" s="116"/>
      <c r="L2821" s="170">
        <v>46161</v>
      </c>
      <c r="M2821" s="116">
        <v>42.07</v>
      </c>
      <c r="N2821" s="116">
        <v>42.8</v>
      </c>
      <c r="O2821" s="116">
        <v>41.62</v>
      </c>
      <c r="P2821" s="116">
        <v>42.5</v>
      </c>
      <c r="Q2821" s="116">
        <v>42.07</v>
      </c>
      <c r="R2821">
        <v>1824847</v>
      </c>
    </row>
    <row r="2822" spans="1:18" x14ac:dyDescent="0.25">
      <c r="A2822" s="170">
        <v>46162</v>
      </c>
      <c r="B2822">
        <v>42.29</v>
      </c>
      <c r="C2822">
        <v>42.1</v>
      </c>
      <c r="D2822">
        <v>41.44</v>
      </c>
      <c r="E2822">
        <v>41.84</v>
      </c>
      <c r="F2822">
        <v>42.1</v>
      </c>
      <c r="G2822">
        <v>202801</v>
      </c>
      <c r="H2822" s="116"/>
      <c r="I2822" s="116"/>
      <c r="L2822" s="170">
        <v>46162</v>
      </c>
      <c r="M2822" s="116">
        <v>42.12</v>
      </c>
      <c r="N2822" s="116">
        <v>42.29</v>
      </c>
      <c r="O2822" s="116">
        <v>41.4</v>
      </c>
      <c r="P2822" s="116">
        <v>42</v>
      </c>
      <c r="Q2822" s="116">
        <v>42.12</v>
      </c>
      <c r="R2822">
        <v>1281509</v>
      </c>
    </row>
    <row r="2823" spans="1:18" x14ac:dyDescent="0.25">
      <c r="A2823" s="170">
        <v>46163</v>
      </c>
      <c r="B2823">
        <v>43.13</v>
      </c>
      <c r="C2823">
        <v>42.23</v>
      </c>
      <c r="D2823">
        <v>42.05</v>
      </c>
      <c r="E2823">
        <v>42.91</v>
      </c>
      <c r="F2823">
        <v>42.23</v>
      </c>
      <c r="G2823">
        <v>118439</v>
      </c>
      <c r="H2823" s="116"/>
      <c r="I2823" s="116"/>
      <c r="L2823" s="170">
        <v>46163</v>
      </c>
      <c r="M2823" s="116">
        <v>42.18</v>
      </c>
      <c r="N2823" s="116">
        <v>43.11</v>
      </c>
      <c r="O2823" s="116">
        <v>42.06</v>
      </c>
      <c r="P2823" s="116">
        <v>42.6</v>
      </c>
      <c r="Q2823" s="116">
        <v>42.18</v>
      </c>
      <c r="R2823">
        <v>1444735</v>
      </c>
    </row>
    <row r="2824" spans="1:18" x14ac:dyDescent="0.25">
      <c r="A2824" s="170">
        <v>46164</v>
      </c>
      <c r="B2824">
        <v>42.68</v>
      </c>
      <c r="C2824">
        <v>42.19</v>
      </c>
      <c r="D2824">
        <v>42</v>
      </c>
      <c r="E2824">
        <v>42.18</v>
      </c>
      <c r="F2824">
        <v>42.19</v>
      </c>
      <c r="G2824">
        <v>210650</v>
      </c>
      <c r="H2824" s="116"/>
      <c r="I2824" s="116"/>
      <c r="L2824" s="170">
        <v>46164</v>
      </c>
      <c r="M2824" s="116">
        <v>42.19</v>
      </c>
      <c r="N2824" s="116">
        <v>42.65</v>
      </c>
      <c r="O2824" s="116">
        <v>42.05</v>
      </c>
      <c r="P2824" s="116">
        <v>42.05</v>
      </c>
      <c r="Q2824" s="116">
        <v>42.19</v>
      </c>
      <c r="R2824">
        <v>1488288</v>
      </c>
    </row>
    <row r="2825" spans="1:18" x14ac:dyDescent="0.25">
      <c r="A2825" s="170">
        <v>46167</v>
      </c>
      <c r="B2825">
        <v>43.2</v>
      </c>
      <c r="C2825">
        <v>42.85</v>
      </c>
      <c r="D2825">
        <v>42.36</v>
      </c>
      <c r="E2825">
        <v>42.36</v>
      </c>
      <c r="F2825">
        <v>42.85</v>
      </c>
      <c r="G2825">
        <v>233995</v>
      </c>
      <c r="H2825" s="116"/>
      <c r="I2825" s="116"/>
      <c r="L2825" s="170">
        <v>46167</v>
      </c>
      <c r="M2825" s="116">
        <v>42.86</v>
      </c>
      <c r="N2825" s="116">
        <v>43.2</v>
      </c>
      <c r="O2825" s="116">
        <v>42.45</v>
      </c>
      <c r="P2825" s="116">
        <v>42.45</v>
      </c>
      <c r="Q2825" s="116">
        <v>42.86</v>
      </c>
      <c r="R2825">
        <v>1472079</v>
      </c>
    </row>
    <row r="2826" spans="1:18" x14ac:dyDescent="0.25">
      <c r="A2826" s="170">
        <v>46168</v>
      </c>
      <c r="B2826">
        <v>44.35</v>
      </c>
      <c r="C2826">
        <v>42.96</v>
      </c>
      <c r="D2826">
        <v>42.64</v>
      </c>
      <c r="E2826">
        <v>42.89</v>
      </c>
      <c r="F2826">
        <v>42.96</v>
      </c>
      <c r="G2826">
        <v>144478</v>
      </c>
      <c r="H2826" s="116"/>
      <c r="I2826" s="116"/>
      <c r="L2826" s="170">
        <v>46168</v>
      </c>
      <c r="M2826" s="116">
        <v>42.95</v>
      </c>
      <c r="N2826" s="116">
        <v>44.39</v>
      </c>
      <c r="O2826" s="116">
        <v>42.63</v>
      </c>
      <c r="P2826" s="116">
        <v>42.8</v>
      </c>
      <c r="Q2826" s="116">
        <v>42.95</v>
      </c>
      <c r="R2826">
        <v>2643398</v>
      </c>
    </row>
    <row r="2827" spans="1:18" x14ac:dyDescent="0.25">
      <c r="A2827" s="170">
        <v>46169</v>
      </c>
      <c r="B2827">
        <v>43.85</v>
      </c>
      <c r="C2827">
        <v>43.06</v>
      </c>
      <c r="D2827">
        <v>42.57</v>
      </c>
      <c r="E2827">
        <v>42.57</v>
      </c>
      <c r="F2827">
        <v>43.06</v>
      </c>
      <c r="G2827">
        <v>302266</v>
      </c>
      <c r="H2827" s="116"/>
      <c r="I2827" s="116"/>
      <c r="L2827" s="170">
        <v>46169</v>
      </c>
      <c r="M2827" s="116">
        <v>43.07</v>
      </c>
      <c r="N2827" s="116">
        <v>43.89</v>
      </c>
      <c r="O2827" s="116">
        <v>42.76</v>
      </c>
      <c r="P2827" s="116">
        <v>42.9</v>
      </c>
      <c r="Q2827" s="116">
        <v>43.07</v>
      </c>
      <c r="R2827">
        <v>1661486</v>
      </c>
    </row>
    <row r="2828" spans="1:18" x14ac:dyDescent="0.25">
      <c r="A2828" s="170">
        <v>46171</v>
      </c>
      <c r="B2828">
        <v>43.7</v>
      </c>
      <c r="C2828">
        <v>42.83</v>
      </c>
      <c r="D2828">
        <v>42.55</v>
      </c>
      <c r="E2828">
        <v>43.05</v>
      </c>
      <c r="F2828">
        <v>42.83</v>
      </c>
      <c r="G2828">
        <v>184428</v>
      </c>
      <c r="H2828" s="116"/>
      <c r="I2828" s="116"/>
      <c r="L2828" s="170">
        <v>46171</v>
      </c>
      <c r="M2828" s="116">
        <v>42.81</v>
      </c>
      <c r="N2828" s="116">
        <v>43.72</v>
      </c>
      <c r="O2828" s="116">
        <v>42.52</v>
      </c>
      <c r="P2828" s="116">
        <v>43</v>
      </c>
      <c r="Q2828" s="116">
        <v>42.81</v>
      </c>
      <c r="R2828">
        <v>1902136</v>
      </c>
    </row>
    <row r="2829" spans="1:18" x14ac:dyDescent="0.25">
      <c r="A2829" s="170">
        <v>46174</v>
      </c>
      <c r="B2829">
        <v>43.68</v>
      </c>
      <c r="C2829">
        <v>42.45</v>
      </c>
      <c r="D2829">
        <v>42.01</v>
      </c>
      <c r="E2829">
        <v>43.57</v>
      </c>
      <c r="F2829">
        <v>42.45</v>
      </c>
      <c r="G2829">
        <v>269768</v>
      </c>
      <c r="H2829" s="116"/>
      <c r="I2829" s="116"/>
      <c r="L2829" s="170">
        <v>46174</v>
      </c>
      <c r="M2829" s="116">
        <v>42.49</v>
      </c>
      <c r="N2829" s="116">
        <v>43.65</v>
      </c>
      <c r="O2829" s="116">
        <v>42</v>
      </c>
      <c r="P2829" s="116">
        <v>42.92</v>
      </c>
      <c r="Q2829" s="116">
        <v>42.49</v>
      </c>
      <c r="R2829">
        <v>1508837</v>
      </c>
    </row>
    <row r="2830" spans="1:18" x14ac:dyDescent="0.25">
      <c r="A2830" s="170">
        <v>46175</v>
      </c>
      <c r="B2830">
        <v>43.5</v>
      </c>
      <c r="C2830">
        <v>43.19</v>
      </c>
      <c r="D2830">
        <v>41.85</v>
      </c>
      <c r="E2830">
        <v>42.13</v>
      </c>
      <c r="F2830">
        <v>43.19</v>
      </c>
      <c r="G2830">
        <v>312917</v>
      </c>
      <c r="H2830" s="116"/>
      <c r="I2830" s="116"/>
      <c r="L2830" s="170">
        <v>46175</v>
      </c>
      <c r="M2830" s="116">
        <v>43.15</v>
      </c>
      <c r="N2830" s="116">
        <v>43.4</v>
      </c>
      <c r="O2830" s="116">
        <v>41.81</v>
      </c>
      <c r="P2830" s="116">
        <v>42.48</v>
      </c>
      <c r="Q2830" s="116">
        <v>43.15</v>
      </c>
      <c r="R2830">
        <v>2055147</v>
      </c>
    </row>
    <row r="2831" spans="1:18" x14ac:dyDescent="0.25">
      <c r="A2831" s="170">
        <v>46176</v>
      </c>
      <c r="B2831">
        <v>43.94</v>
      </c>
      <c r="C2831">
        <v>43.61</v>
      </c>
      <c r="D2831">
        <v>42.21</v>
      </c>
      <c r="E2831">
        <v>42.71</v>
      </c>
      <c r="F2831">
        <v>43.61</v>
      </c>
      <c r="G2831">
        <v>390136</v>
      </c>
      <c r="H2831" s="116"/>
      <c r="I2831" s="116"/>
      <c r="L2831" s="170">
        <v>46176</v>
      </c>
      <c r="M2831" s="116">
        <v>43.59</v>
      </c>
      <c r="N2831" s="116">
        <v>43.94</v>
      </c>
      <c r="O2831" s="116">
        <v>42.2</v>
      </c>
      <c r="P2831" s="116">
        <v>42.85</v>
      </c>
      <c r="Q2831" s="116">
        <v>43.59</v>
      </c>
      <c r="R2831">
        <v>2554744</v>
      </c>
    </row>
    <row r="2832" spans="1:18" x14ac:dyDescent="0.25">
      <c r="A2832" s="170">
        <v>46177</v>
      </c>
      <c r="B2832">
        <v>44.8</v>
      </c>
      <c r="C2832">
        <v>44.19</v>
      </c>
      <c r="D2832">
        <v>43.4</v>
      </c>
      <c r="E2832">
        <v>43.62</v>
      </c>
      <c r="F2832">
        <v>44.19</v>
      </c>
      <c r="G2832">
        <v>581150</v>
      </c>
      <c r="H2832" s="116"/>
      <c r="I2832" s="116"/>
      <c r="L2832" s="170">
        <v>46177</v>
      </c>
      <c r="M2832" s="116">
        <v>44.18</v>
      </c>
      <c r="N2832" s="116">
        <v>44.84</v>
      </c>
      <c r="O2832" s="116">
        <v>43.43</v>
      </c>
      <c r="P2832" s="116">
        <v>43.71</v>
      </c>
      <c r="Q2832" s="116">
        <v>44.18</v>
      </c>
      <c r="R2832">
        <v>3749351</v>
      </c>
    </row>
    <row r="2833" spans="1:18" x14ac:dyDescent="0.25">
      <c r="A2833" s="170">
        <v>46178</v>
      </c>
      <c r="B2833">
        <v>48.08</v>
      </c>
      <c r="C2833">
        <v>46.15</v>
      </c>
      <c r="D2833">
        <v>44.19</v>
      </c>
      <c r="E2833">
        <v>44.32</v>
      </c>
      <c r="F2833">
        <v>46.15</v>
      </c>
      <c r="G2833">
        <v>2896057</v>
      </c>
      <c r="H2833" s="116"/>
      <c r="I2833" s="116"/>
      <c r="L2833" s="170">
        <v>46178</v>
      </c>
      <c r="M2833" s="116">
        <v>46.16</v>
      </c>
      <c r="N2833" s="116">
        <v>48.13</v>
      </c>
      <c r="O2833" s="116">
        <v>44.2</v>
      </c>
      <c r="P2833" s="116">
        <v>44.49</v>
      </c>
      <c r="Q2833" s="116">
        <v>46.16</v>
      </c>
      <c r="R2833">
        <v>32137615</v>
      </c>
    </row>
    <row r="2834" spans="1:18" x14ac:dyDescent="0.25">
      <c r="A2834" s="170">
        <v>46181</v>
      </c>
      <c r="B2834">
        <v>45.52</v>
      </c>
      <c r="C2834">
        <v>43.49</v>
      </c>
      <c r="D2834">
        <v>43.01</v>
      </c>
      <c r="E2834">
        <v>45.52</v>
      </c>
      <c r="F2834">
        <v>43.49</v>
      </c>
      <c r="G2834">
        <v>443272</v>
      </c>
      <c r="H2834" s="116"/>
      <c r="I2834" s="116"/>
      <c r="L2834" s="170">
        <v>46181</v>
      </c>
      <c r="M2834" s="116">
        <v>43.48</v>
      </c>
      <c r="N2834" s="116">
        <v>45.35</v>
      </c>
      <c r="O2834" s="116">
        <v>43</v>
      </c>
      <c r="P2834" s="116">
        <v>45.35</v>
      </c>
      <c r="Q2834" s="116">
        <v>43.48</v>
      </c>
      <c r="R2834">
        <v>6709333</v>
      </c>
    </row>
    <row r="2835" spans="1:18" x14ac:dyDescent="0.25">
      <c r="A2835" s="170">
        <v>46182</v>
      </c>
      <c r="B2835">
        <v>43.99</v>
      </c>
      <c r="C2835">
        <v>43.37</v>
      </c>
      <c r="D2835">
        <v>42.45</v>
      </c>
      <c r="E2835">
        <v>43.99</v>
      </c>
      <c r="F2835">
        <v>43.37</v>
      </c>
      <c r="G2835">
        <v>425881</v>
      </c>
      <c r="H2835" s="116"/>
      <c r="I2835" s="116"/>
      <c r="L2835" s="170">
        <v>46182</v>
      </c>
      <c r="M2835" s="116">
        <v>43.35</v>
      </c>
      <c r="N2835" s="116">
        <v>43.8</v>
      </c>
      <c r="O2835" s="116">
        <v>42.46</v>
      </c>
      <c r="P2835" s="116">
        <v>43.8</v>
      </c>
      <c r="Q2835" s="116">
        <v>43.35</v>
      </c>
      <c r="R2835">
        <v>3822280</v>
      </c>
    </row>
    <row r="2836" spans="1:18" x14ac:dyDescent="0.25">
      <c r="A2836" s="170">
        <v>46183</v>
      </c>
      <c r="B2836">
        <v>44.05</v>
      </c>
      <c r="C2836">
        <v>42.57</v>
      </c>
      <c r="D2836">
        <v>42.2</v>
      </c>
      <c r="E2836">
        <v>43</v>
      </c>
      <c r="F2836">
        <v>42.57</v>
      </c>
      <c r="G2836">
        <v>364123</v>
      </c>
      <c r="H2836" s="116"/>
      <c r="I2836" s="116"/>
      <c r="L2836" s="170">
        <v>46183</v>
      </c>
      <c r="M2836" s="116">
        <v>42.5</v>
      </c>
      <c r="N2836" s="116">
        <v>44.12</v>
      </c>
      <c r="O2836" s="116">
        <v>42.11</v>
      </c>
      <c r="P2836" s="116">
        <v>43.01</v>
      </c>
      <c r="Q2836" s="116">
        <v>42.5</v>
      </c>
      <c r="R2836">
        <v>2590466</v>
      </c>
    </row>
    <row r="2837" spans="1:18" x14ac:dyDescent="0.25">
      <c r="A2837" s="170">
        <v>46184</v>
      </c>
      <c r="B2837">
        <v>42.96</v>
      </c>
      <c r="C2837">
        <v>42.18</v>
      </c>
      <c r="D2837">
        <v>41.52</v>
      </c>
      <c r="E2837">
        <v>42.48</v>
      </c>
      <c r="F2837">
        <v>42.18</v>
      </c>
      <c r="G2837">
        <v>476516</v>
      </c>
      <c r="H2837" s="116"/>
      <c r="I2837" s="116"/>
      <c r="L2837" s="170">
        <v>46184</v>
      </c>
      <c r="M2837" s="116">
        <v>42.15</v>
      </c>
      <c r="N2837" s="116">
        <v>42.97</v>
      </c>
      <c r="O2837" s="116">
        <v>41.55</v>
      </c>
      <c r="P2837" s="116">
        <v>42.43</v>
      </c>
      <c r="Q2837" s="116">
        <v>42.15</v>
      </c>
      <c r="R2837">
        <v>3044064</v>
      </c>
    </row>
    <row r="2838" spans="1:18" x14ac:dyDescent="0.25">
      <c r="A2838" s="170">
        <v>46185</v>
      </c>
      <c r="B2838">
        <v>47.85</v>
      </c>
      <c r="C2838">
        <v>46.43</v>
      </c>
      <c r="D2838">
        <v>42.27</v>
      </c>
      <c r="E2838">
        <v>42.53</v>
      </c>
      <c r="F2838">
        <v>46.43</v>
      </c>
      <c r="G2838">
        <v>3412528</v>
      </c>
      <c r="H2838" s="116"/>
      <c r="I2838" s="116"/>
      <c r="L2838" s="170">
        <v>46185</v>
      </c>
      <c r="M2838" s="116">
        <v>46.44</v>
      </c>
      <c r="N2838" s="116">
        <v>47.89</v>
      </c>
      <c r="O2838" s="116">
        <v>42.22</v>
      </c>
      <c r="P2838" s="116">
        <v>42.86</v>
      </c>
      <c r="Q2838" s="116">
        <v>46.44</v>
      </c>
      <c r="R2838">
        <v>55068815</v>
      </c>
    </row>
    <row r="2839" spans="1:18" x14ac:dyDescent="0.25">
      <c r="A2839" s="170">
        <v>46188</v>
      </c>
      <c r="B2839">
        <v>47.23</v>
      </c>
      <c r="C2839">
        <v>45.69</v>
      </c>
      <c r="D2839">
        <v>45.53</v>
      </c>
      <c r="E2839">
        <v>47.23</v>
      </c>
      <c r="F2839">
        <v>45.69</v>
      </c>
      <c r="G2839">
        <v>478338</v>
      </c>
      <c r="H2839" s="116"/>
      <c r="I2839" s="116"/>
      <c r="L2839" s="170">
        <v>46188</v>
      </c>
      <c r="M2839" s="116">
        <v>45.66</v>
      </c>
      <c r="N2839" s="116">
        <v>47.19</v>
      </c>
      <c r="O2839" s="116">
        <v>45.52</v>
      </c>
      <c r="P2839" s="116">
        <v>47</v>
      </c>
      <c r="Q2839" s="116">
        <v>45.66</v>
      </c>
      <c r="R2839">
        <v>5955038</v>
      </c>
    </row>
    <row r="2840" spans="1:18" x14ac:dyDescent="0.25">
      <c r="H2840" s="116"/>
      <c r="I2840" s="116"/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2026-06-15T13:05:57Z</dcterms:modified>
  <cp:category/>
  <cp:contentStatus/>
</cp:coreProperties>
</file>